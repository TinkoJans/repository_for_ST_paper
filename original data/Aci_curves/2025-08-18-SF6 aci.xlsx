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3DFBD4E805FF7BF3D5F152D70638FFD5" xr6:coauthVersionLast="47" xr6:coauthVersionMax="47" xr10:uidLastSave="{848C6391-7613-4780-AE16-6441DFFCC9C9}"/>
  <bookViews>
    <workbookView xWindow="2124" yWindow="212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S27" i="1" s="1"/>
  <c r="AU27" i="1"/>
  <c r="AS27" i="1"/>
  <c r="AT27" i="1" s="1"/>
  <c r="AL27" i="1"/>
  <c r="AG27" i="1"/>
  <c r="AF27" i="1"/>
  <c r="I27" i="1" s="1"/>
  <c r="H27" i="1" s="1"/>
  <c r="AE27" i="1"/>
  <c r="J27" i="1" s="1"/>
  <c r="Y27" i="1"/>
  <c r="X27" i="1"/>
  <c r="W27" i="1" s="1"/>
  <c r="P27" i="1"/>
  <c r="N27" i="1"/>
  <c r="K27" i="1"/>
  <c r="AY26" i="1"/>
  <c r="AX26" i="1"/>
  <c r="AV26" i="1"/>
  <c r="AW26" i="1" s="1"/>
  <c r="AU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S26" i="1"/>
  <c r="P26" i="1"/>
  <c r="K26" i="1"/>
  <c r="AY25" i="1"/>
  <c r="AX25" i="1"/>
  <c r="AV25" i="1"/>
  <c r="AW25" i="1" s="1"/>
  <c r="AU25" i="1"/>
  <c r="AS25" i="1" s="1"/>
  <c r="AL25" i="1"/>
  <c r="AG25" i="1"/>
  <c r="Y25" i="1"/>
  <c r="X25" i="1"/>
  <c r="W25" i="1"/>
  <c r="S25" i="1"/>
  <c r="P25" i="1"/>
  <c r="AY24" i="1"/>
  <c r="AX24" i="1"/>
  <c r="AV24" i="1"/>
  <c r="S24" i="1" s="1"/>
  <c r="AU24" i="1"/>
  <c r="AS24" i="1" s="1"/>
  <c r="AL24" i="1"/>
  <c r="AG24" i="1"/>
  <c r="Y24" i="1"/>
  <c r="X24" i="1"/>
  <c r="W24" i="1"/>
  <c r="P24" i="1"/>
  <c r="AY23" i="1"/>
  <c r="AX23" i="1"/>
  <c r="AV23" i="1"/>
  <c r="S23" i="1" s="1"/>
  <c r="AU23" i="1"/>
  <c r="AS23" i="1"/>
  <c r="AT23" i="1" s="1"/>
  <c r="AL23" i="1"/>
  <c r="AG23" i="1"/>
  <c r="AF23" i="1"/>
  <c r="I23" i="1" s="1"/>
  <c r="H23" i="1" s="1"/>
  <c r="AE23" i="1"/>
  <c r="J23" i="1" s="1"/>
  <c r="Y23" i="1"/>
  <c r="X23" i="1"/>
  <c r="W23" i="1" s="1"/>
  <c r="P23" i="1"/>
  <c r="N23" i="1"/>
  <c r="K23" i="1"/>
  <c r="AY22" i="1"/>
  <c r="AX22" i="1"/>
  <c r="AV22" i="1"/>
  <c r="AW22" i="1" s="1"/>
  <c r="AU22" i="1"/>
  <c r="AS22" i="1"/>
  <c r="AE22" i="1" s="1"/>
  <c r="J22" i="1" s="1"/>
  <c r="AL22" i="1"/>
  <c r="AG22" i="1"/>
  <c r="AF22" i="1"/>
  <c r="I22" i="1" s="1"/>
  <c r="H22" i="1" s="1"/>
  <c r="Y22" i="1"/>
  <c r="X22" i="1"/>
  <c r="W22" i="1" s="1"/>
  <c r="S22" i="1"/>
  <c r="P22" i="1"/>
  <c r="K22" i="1"/>
  <c r="AY21" i="1"/>
  <c r="AX21" i="1"/>
  <c r="AV21" i="1"/>
  <c r="AW21" i="1" s="1"/>
  <c r="AU21" i="1"/>
  <c r="AS21" i="1" s="1"/>
  <c r="AL21" i="1"/>
  <c r="AG21" i="1"/>
  <c r="Y21" i="1"/>
  <c r="X21" i="1"/>
  <c r="W21" i="1"/>
  <c r="S21" i="1"/>
  <c r="P21" i="1"/>
  <c r="AY20" i="1"/>
  <c r="AX20" i="1"/>
  <c r="AV20" i="1"/>
  <c r="S20" i="1" s="1"/>
  <c r="AU20" i="1"/>
  <c r="AS20" i="1" s="1"/>
  <c r="AL20" i="1"/>
  <c r="AG20" i="1"/>
  <c r="Y20" i="1"/>
  <c r="X20" i="1"/>
  <c r="W20" i="1"/>
  <c r="P20" i="1"/>
  <c r="AY19" i="1"/>
  <c r="AX19" i="1"/>
  <c r="AV19" i="1"/>
  <c r="S19" i="1" s="1"/>
  <c r="AU19" i="1"/>
  <c r="AS19" i="1"/>
  <c r="AT19" i="1" s="1"/>
  <c r="AL19" i="1"/>
  <c r="AG19" i="1"/>
  <c r="AF19" i="1"/>
  <c r="I19" i="1" s="1"/>
  <c r="H19" i="1" s="1"/>
  <c r="AE19" i="1"/>
  <c r="J19" i="1" s="1"/>
  <c r="Y19" i="1"/>
  <c r="X19" i="1"/>
  <c r="W19" i="1" s="1"/>
  <c r="P19" i="1"/>
  <c r="N19" i="1"/>
  <c r="K19" i="1"/>
  <c r="AY18" i="1"/>
  <c r="AX18" i="1"/>
  <c r="AV18" i="1"/>
  <c r="AW18" i="1" s="1"/>
  <c r="AU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S18" i="1"/>
  <c r="P18" i="1"/>
  <c r="AY17" i="1"/>
  <c r="AX17" i="1"/>
  <c r="AV17" i="1"/>
  <c r="AW17" i="1" s="1"/>
  <c r="AU17" i="1"/>
  <c r="AS17" i="1" s="1"/>
  <c r="AT17" i="1"/>
  <c r="AL17" i="1"/>
  <c r="AG17" i="1"/>
  <c r="Y17" i="1"/>
  <c r="X17" i="1"/>
  <c r="W17" i="1"/>
  <c r="S17" i="1"/>
  <c r="P17" i="1"/>
  <c r="AA19" i="1" l="1"/>
  <c r="T19" i="1"/>
  <c r="U19" i="1" s="1"/>
  <c r="T23" i="1"/>
  <c r="U23" i="1" s="1"/>
  <c r="AB23" i="1" s="1"/>
  <c r="K20" i="1"/>
  <c r="AE20" i="1"/>
  <c r="J20" i="1" s="1"/>
  <c r="AF20" i="1"/>
  <c r="I20" i="1" s="1"/>
  <c r="H20" i="1" s="1"/>
  <c r="T20" i="1" s="1"/>
  <c r="U20" i="1" s="1"/>
  <c r="AT20" i="1"/>
  <c r="N20" i="1"/>
  <c r="T28" i="1"/>
  <c r="U28" i="1" s="1"/>
  <c r="T27" i="1"/>
  <c r="U27" i="1" s="1"/>
  <c r="K28" i="1"/>
  <c r="AF28" i="1"/>
  <c r="I28" i="1" s="1"/>
  <c r="H28" i="1" s="1"/>
  <c r="AE28" i="1"/>
  <c r="J28" i="1" s="1"/>
  <c r="N28" i="1"/>
  <c r="AT28" i="1"/>
  <c r="AA23" i="1"/>
  <c r="Q23" i="1"/>
  <c r="O23" i="1" s="1"/>
  <c r="R23" i="1" s="1"/>
  <c r="L23" i="1" s="1"/>
  <c r="M23" i="1" s="1"/>
  <c r="AA27" i="1"/>
  <c r="AF29" i="1"/>
  <c r="I29" i="1" s="1"/>
  <c r="H29" i="1" s="1"/>
  <c r="AE29" i="1"/>
  <c r="J29" i="1" s="1"/>
  <c r="N29" i="1"/>
  <c r="AT29" i="1"/>
  <c r="K29" i="1"/>
  <c r="K24" i="1"/>
  <c r="AF24" i="1"/>
  <c r="I24" i="1" s="1"/>
  <c r="H24" i="1" s="1"/>
  <c r="T24" i="1" s="1"/>
  <c r="U24" i="1" s="1"/>
  <c r="AE24" i="1"/>
  <c r="J24" i="1" s="1"/>
  <c r="AT24" i="1"/>
  <c r="N24" i="1"/>
  <c r="AA18" i="1"/>
  <c r="Q18" i="1"/>
  <c r="O18" i="1" s="1"/>
  <c r="R18" i="1" s="1"/>
  <c r="L18" i="1" s="1"/>
  <c r="M18" i="1" s="1"/>
  <c r="AF21" i="1"/>
  <c r="I21" i="1" s="1"/>
  <c r="H21" i="1" s="1"/>
  <c r="AE21" i="1"/>
  <c r="J21" i="1" s="1"/>
  <c r="N21" i="1"/>
  <c r="K21" i="1"/>
  <c r="AT21" i="1"/>
  <c r="AF25" i="1"/>
  <c r="I25" i="1" s="1"/>
  <c r="H25" i="1" s="1"/>
  <c r="AE25" i="1"/>
  <c r="J25" i="1" s="1"/>
  <c r="AT25" i="1"/>
  <c r="N25" i="1"/>
  <c r="K25" i="1"/>
  <c r="AA22" i="1"/>
  <c r="AA26" i="1"/>
  <c r="Q26" i="1"/>
  <c r="O26" i="1" s="1"/>
  <c r="R26" i="1" s="1"/>
  <c r="L26" i="1" s="1"/>
  <c r="M26" i="1" s="1"/>
  <c r="AF17" i="1"/>
  <c r="I17" i="1" s="1"/>
  <c r="H17" i="1" s="1"/>
  <c r="AE17" i="1"/>
  <c r="J17" i="1" s="1"/>
  <c r="N17" i="1"/>
  <c r="K17" i="1"/>
  <c r="AW19" i="1"/>
  <c r="AW23" i="1"/>
  <c r="AW27" i="1"/>
  <c r="S29" i="1"/>
  <c r="AW24" i="1"/>
  <c r="AW28" i="1"/>
  <c r="T18" i="1"/>
  <c r="U18" i="1" s="1"/>
  <c r="AT18" i="1"/>
  <c r="T22" i="1"/>
  <c r="U22" i="1" s="1"/>
  <c r="AT22" i="1"/>
  <c r="T26" i="1"/>
  <c r="U26" i="1" s="1"/>
  <c r="AB26" i="1" s="1"/>
  <c r="AT26" i="1"/>
  <c r="N18" i="1"/>
  <c r="N22" i="1"/>
  <c r="N26" i="1"/>
  <c r="K18" i="1"/>
  <c r="AW20" i="1"/>
  <c r="AC20" i="1" l="1"/>
  <c r="AB20" i="1"/>
  <c r="V20" i="1"/>
  <c r="Z20" i="1" s="1"/>
  <c r="AC24" i="1"/>
  <c r="AB24" i="1"/>
  <c r="V24" i="1"/>
  <c r="Z24" i="1" s="1"/>
  <c r="AC27" i="1"/>
  <c r="V27" i="1"/>
  <c r="Z27" i="1" s="1"/>
  <c r="V22" i="1"/>
  <c r="Z22" i="1" s="1"/>
  <c r="AC22" i="1"/>
  <c r="AA17" i="1"/>
  <c r="T17" i="1"/>
  <c r="U17" i="1" s="1"/>
  <c r="Q21" i="1"/>
  <c r="O21" i="1" s="1"/>
  <c r="R21" i="1" s="1"/>
  <c r="L21" i="1" s="1"/>
  <c r="M21" i="1" s="1"/>
  <c r="AA21" i="1"/>
  <c r="T21" i="1"/>
  <c r="U21" i="1" s="1"/>
  <c r="AC19" i="1"/>
  <c r="V19" i="1"/>
  <c r="Z19" i="1" s="1"/>
  <c r="V18" i="1"/>
  <c r="Z18" i="1" s="1"/>
  <c r="AC18" i="1"/>
  <c r="AA20" i="1"/>
  <c r="Q20" i="1"/>
  <c r="O20" i="1" s="1"/>
  <c r="R20" i="1" s="1"/>
  <c r="L20" i="1" s="1"/>
  <c r="M20" i="1" s="1"/>
  <c r="AB18" i="1"/>
  <c r="Q22" i="1"/>
  <c r="O22" i="1" s="1"/>
  <c r="R22" i="1" s="1"/>
  <c r="L22" i="1" s="1"/>
  <c r="M22" i="1" s="1"/>
  <c r="T25" i="1"/>
  <c r="U25" i="1" s="1"/>
  <c r="AA25" i="1"/>
  <c r="AA29" i="1"/>
  <c r="AA28" i="1"/>
  <c r="Q28" i="1"/>
  <c r="O28" i="1" s="1"/>
  <c r="R28" i="1" s="1"/>
  <c r="L28" i="1" s="1"/>
  <c r="M28" i="1" s="1"/>
  <c r="AB19" i="1"/>
  <c r="V28" i="1"/>
  <c r="Z28" i="1" s="1"/>
  <c r="AC28" i="1"/>
  <c r="AB28" i="1"/>
  <c r="T29" i="1"/>
  <c r="U29" i="1" s="1"/>
  <c r="AB22" i="1"/>
  <c r="Q27" i="1"/>
  <c r="O27" i="1" s="1"/>
  <c r="R27" i="1" s="1"/>
  <c r="L27" i="1" s="1"/>
  <c r="M27" i="1" s="1"/>
  <c r="V26" i="1"/>
  <c r="Z26" i="1" s="1"/>
  <c r="AC26" i="1"/>
  <c r="AD26" i="1" s="1"/>
  <c r="AB27" i="1"/>
  <c r="AA24" i="1"/>
  <c r="Q24" i="1"/>
  <c r="O24" i="1" s="1"/>
  <c r="R24" i="1" s="1"/>
  <c r="L24" i="1" s="1"/>
  <c r="M24" i="1" s="1"/>
  <c r="AC23" i="1"/>
  <c r="AD23" i="1" s="1"/>
  <c r="V23" i="1"/>
  <c r="Z23" i="1" s="1"/>
  <c r="Q19" i="1"/>
  <c r="O19" i="1" s="1"/>
  <c r="R19" i="1" s="1"/>
  <c r="L19" i="1" s="1"/>
  <c r="M19" i="1" s="1"/>
  <c r="AC21" i="1" l="1"/>
  <c r="V21" i="1"/>
  <c r="Z21" i="1" s="1"/>
  <c r="AB21" i="1"/>
  <c r="AD27" i="1"/>
  <c r="AB29" i="1"/>
  <c r="V29" i="1"/>
  <c r="Z29" i="1" s="1"/>
  <c r="AC29" i="1"/>
  <c r="AD29" i="1" s="1"/>
  <c r="V17" i="1"/>
  <c r="Z17" i="1" s="1"/>
  <c r="AC17" i="1"/>
  <c r="AB17" i="1"/>
  <c r="Q29" i="1"/>
  <c r="O29" i="1" s="1"/>
  <c r="R29" i="1" s="1"/>
  <c r="L29" i="1" s="1"/>
  <c r="M29" i="1" s="1"/>
  <c r="AD18" i="1"/>
  <c r="AD24" i="1"/>
  <c r="Q17" i="1"/>
  <c r="O17" i="1" s="1"/>
  <c r="R17" i="1" s="1"/>
  <c r="L17" i="1" s="1"/>
  <c r="M17" i="1" s="1"/>
  <c r="AD28" i="1"/>
  <c r="AB25" i="1"/>
  <c r="V25" i="1"/>
  <c r="Z25" i="1" s="1"/>
  <c r="AC25" i="1"/>
  <c r="AD22" i="1"/>
  <c r="Q25" i="1"/>
  <c r="O25" i="1" s="1"/>
  <c r="R25" i="1" s="1"/>
  <c r="L25" i="1" s="1"/>
  <c r="M25" i="1" s="1"/>
  <c r="AD19" i="1"/>
  <c r="AD20" i="1"/>
  <c r="AD25" i="1" l="1"/>
  <c r="AD17" i="1"/>
  <c r="AD21" i="1"/>
</calcChain>
</file>

<file path=xl/sharedStrings.xml><?xml version="1.0" encoding="utf-8"?>
<sst xmlns="http://schemas.openxmlformats.org/spreadsheetml/2006/main" count="814" uniqueCount="367">
  <si>
    <t>File opened</t>
  </si>
  <si>
    <t>2025-08-18 15:42:49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</si>
  <si>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</si>
  <si>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</si>
  <si>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</si>
  <si>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</si>
  <si>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</si>
  <si>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</si>
  <si>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</si>
  <si>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</si>
  <si>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</si>
  <si>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</si>
  <si>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</si>
  <si>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</si>
  <si>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</si>
  <si>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</si>
  <si>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</si>
  <si>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</si>
  <si>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</si>
  <si>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</si>
  <si>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</si>
  <si>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</si>
  <si>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</si>
  <si>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</si>
  <si>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</si>
  <si>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</si>
  <si>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</si>
  <si>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</si>
  <si>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15:42:49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</si>
  <si>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</si>
  <si>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</si>
  <si>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</si>
  <si>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</si>
  <si>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</si>
  <si>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</si>
  <si>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</si>
  <si>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</si>
  <si>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</si>
  <si>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</si>
  <si>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</si>
  <si>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</si>
  <si>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</si>
  <si>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</si>
  <si>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</si>
  <si>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</si>
  <si>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</si>
  <si>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</si>
  <si>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</si>
  <si>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</si>
  <si>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</si>
  <si>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</si>
  <si>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</si>
  <si>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</si>
  <si>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</si>
  <si>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</si>
  <si>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</si>
  <si>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</si>
  <si>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</si>
  <si>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</si>
  <si>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</si>
  <si>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</si>
  <si>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</si>
  <si>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</si>
  <si>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</si>
  <si>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</si>
  <si>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</si>
  <si>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</si>
  <si>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</si>
  <si>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</si>
  <si>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</si>
  <si>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</si>
  <si>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</si>
  <si>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</si>
  <si>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</si>
  <si>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</si>
  <si>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</si>
  <si>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</si>
  <si>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</si>
  <si>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</si>
  <si>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</si>
  <si>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3.25332 165.819 344.778 592.231 856.777 1059.73 1291.56 1494.82</t>
  </si>
  <si>
    <t>Fs_true</t>
  </si>
  <si>
    <t>0.980895 200.355 384.33 595.141 805.574 1001.42 1201.22 1401.31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</si>
  <si>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</si>
  <si>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</si>
  <si>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</si>
  <si>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</si>
  <si>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</si>
  <si>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</si>
  <si>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</si>
  <si>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</si>
  <si>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</si>
  <si>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</si>
  <si>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</si>
  <si>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</si>
  <si>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</si>
  <si>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</si>
  <si>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</si>
  <si>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</si>
  <si>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</si>
  <si>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</si>
  <si>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</si>
  <si>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</si>
  <si>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</si>
  <si>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</si>
  <si>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</si>
  <si>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</si>
  <si>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</si>
  <si>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</si>
  <si>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</si>
  <si>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</si>
  <si>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</si>
  <si>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</si>
  <si>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</si>
  <si>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</si>
  <si>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</si>
  <si>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</si>
  <si>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</si>
  <si>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</si>
  <si>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</si>
  <si>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</si>
  <si>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</si>
  <si>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</si>
  <si>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</si>
  <si>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</si>
  <si>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</si>
  <si>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</si>
  <si>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</si>
  <si>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</si>
  <si>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</si>
  <si>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</si>
  <si>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</si>
  <si>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</si>
  <si>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</si>
  <si>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</si>
  <si>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</si>
  <si>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</si>
  <si>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</si>
  <si>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</si>
  <si>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</si>
  <si>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</si>
  <si>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</si>
  <si>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</si>
  <si>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</si>
  <si>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</si>
  <si>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</si>
  <si>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</si>
  <si>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</si>
  <si>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</si>
  <si>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</si>
  <si>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</si>
  <si>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</si>
  <si>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</si>
  <si>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</si>
  <si>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</si>
  <si>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</si>
  <si>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</si>
  <si>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</si>
  <si>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</si>
  <si>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</si>
  <si>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</si>
  <si>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</si>
  <si>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</si>
  <si>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</si>
  <si>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</si>
  <si>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</si>
  <si>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</si>
  <si>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</si>
  <si>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</si>
  <si>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</si>
  <si>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</si>
  <si>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</si>
  <si>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</si>
  <si>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</si>
  <si>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</si>
  <si>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</si>
  <si>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</si>
  <si>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</si>
  <si>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</si>
  <si>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</si>
  <si>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</si>
  <si>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</si>
  <si>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</si>
  <si>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</si>
  <si>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</si>
  <si>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</si>
  <si>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</si>
  <si>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</si>
  <si>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</si>
  <si>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</si>
  <si>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</si>
  <si>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</si>
  <si>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</si>
  <si>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</si>
  <si>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</si>
  <si>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</si>
  <si>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</si>
  <si>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</si>
  <si>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</si>
  <si>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</si>
  <si>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</si>
  <si>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</si>
  <si>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</si>
  <si>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</si>
  <si>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</si>
  <si>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</si>
  <si>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</si>
  <si>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</si>
  <si>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</si>
  <si>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</si>
  <si>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</si>
  <si>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</si>
  <si>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</si>
  <si>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</si>
  <si>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</si>
  <si>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</si>
  <si>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</si>
  <si>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</si>
  <si>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</si>
  <si>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</si>
  <si>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</si>
  <si>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</si>
  <si>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</si>
  <si>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</si>
  <si>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</si>
  <si>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</si>
  <si>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</si>
  <si>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</si>
  <si>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</si>
  <si>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</si>
  <si>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</si>
  <si>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</si>
  <si>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</si>
  <si>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</si>
  <si>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</si>
  <si>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</si>
  <si>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</si>
  <si>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</si>
  <si>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</si>
  <si>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</si>
  <si>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</si>
  <si>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</si>
  <si>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</si>
  <si>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</si>
  <si>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</si>
  <si>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</si>
  <si>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</si>
  <si>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</si>
  <si>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</si>
  <si>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</si>
  <si>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</si>
  <si>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</si>
  <si>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</si>
  <si>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</si>
  <si>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</si>
  <si>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</si>
  <si>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</si>
  <si>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</si>
  <si>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</si>
  <si>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</si>
  <si>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</si>
  <si>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</si>
  <si>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</si>
  <si>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</si>
  <si>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</si>
  <si>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</si>
  <si>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</si>
  <si>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</si>
  <si>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</si>
  <si>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</si>
  <si>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</si>
  <si>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</si>
  <si>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</si>
  <si>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</si>
  <si>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</si>
  <si>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</si>
  <si>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</si>
  <si>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</si>
  <si>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</si>
  <si>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</si>
  <si>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</si>
  <si>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</si>
  <si>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</si>
  <si>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</si>
  <si>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</si>
  <si>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</si>
  <si>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</si>
  <si>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</si>
  <si>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</si>
  <si>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</si>
  <si>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</si>
  <si>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</si>
  <si>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</si>
  <si>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</si>
  <si>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</si>
  <si>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</si>
  <si>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</si>
  <si>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</si>
  <si>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</si>
  <si>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</si>
  <si>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</si>
  <si>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</si>
  <si>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</si>
  <si>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</si>
  <si>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</si>
  <si>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</si>
  <si>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</si>
  <si>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</si>
  <si>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</si>
  <si>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</si>
  <si>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</si>
  <si>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</si>
  <si>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</si>
  <si>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</si>
  <si>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</si>
  <si>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</si>
  <si>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</si>
  <si>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</si>
  <si>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</si>
  <si>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</si>
  <si>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</si>
  <si>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</si>
  <si>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</si>
  <si>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</si>
  <si>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</si>
  <si>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</si>
  <si>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</si>
  <si>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</si>
  <si>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</si>
  <si>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</si>
  <si>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</si>
  <si>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</si>
  <si>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</si>
  <si>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</si>
  <si>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20250818 16:09:14</t>
  </si>
  <si>
    <t>16:09:14</t>
  </si>
  <si>
    <t>0: Broadleaf</t>
  </si>
  <si>
    <t>16:05:50</t>
  </si>
  <si>
    <t>1/2</t>
  </si>
  <si>
    <t>11111111</t>
  </si>
  <si>
    <t>oooooooo</t>
  </si>
  <si>
    <t>on</t>
  </si>
  <si>
    <t>20250818 16:12:14</t>
  </si>
  <si>
    <t>16:12:14</t>
  </si>
  <si>
    <t>20250818 16:15:15</t>
  </si>
  <si>
    <t>16:15:15</t>
  </si>
  <si>
    <t>2/2</t>
  </si>
  <si>
    <t>20250818 16:18:15</t>
  </si>
  <si>
    <t>16:18:15</t>
  </si>
  <si>
    <t>20250818 16:21:16</t>
  </si>
  <si>
    <t>16:21:16</t>
  </si>
  <si>
    <t>20250818 16:24:16</t>
  </si>
  <si>
    <t>16:24:16</t>
  </si>
  <si>
    <t>20250818 16:27:17</t>
  </si>
  <si>
    <t>16:27:17</t>
  </si>
  <si>
    <t>20250818 16:30:17</t>
  </si>
  <si>
    <t>16:30:17</t>
  </si>
  <si>
    <t>20250818 16:33:18</t>
  </si>
  <si>
    <t>16:33:18</t>
  </si>
  <si>
    <t>20250818 16:36:18</t>
  </si>
  <si>
    <t>16:36:18</t>
  </si>
  <si>
    <t>20250818 16:39:19</t>
  </si>
  <si>
    <t>16:39:19</t>
  </si>
  <si>
    <t>20250818 16:42:19</t>
  </si>
  <si>
    <t>16:42:19</t>
  </si>
  <si>
    <t>20250818 16:45:20</t>
  </si>
  <si>
    <t>16:45:20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</si>
</sst>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T19" workbookViewId="0">
      <selection activeCell="BD17" sqref="BD17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1755526154</v>
      </c>
      <c r="C17">
        <v>0</v>
      </c>
      <c r="D17" t="s">
        <v>334</v>
      </c>
      <c r="E17" t="s">
        <v>335</v>
      </c>
      <c r="F17">
        <v>15</v>
      </c>
      <c r="G17">
        <v>1755526146</v>
      </c>
      <c r="H17">
        <f t="shared" ref="H17:H29" si="0">(I17)/1000</f>
        <v>3.3282420067112933E-3</v>
      </c>
      <c r="I17">
        <f t="shared" ref="I17:I29" si="1">IF(BD17, AL17, AF17)</f>
        <v>3.3282420067112932</v>
      </c>
      <c r="J17">
        <f t="shared" ref="J17:J29" si="2">IF(BD17, AG17, AE17)</f>
        <v>28.020407844919188</v>
      </c>
      <c r="K17">
        <f t="shared" ref="K17:K29" si="3">BF17 - IF(AS17&gt;1, J17*AZ17*100/(AU17), 0)</f>
        <v>384.08987096774189</v>
      </c>
      <c r="L17">
        <f t="shared" ref="L17:L29" si="4">((R17-H17/2)*K17-J17)/(R17+H17/2)</f>
        <v>286.84320093616969</v>
      </c>
      <c r="M17">
        <f t="shared" ref="M17:M29" si="5">L17*(BM17+BN17)/1000</f>
        <v>29.266167253953483</v>
      </c>
      <c r="N17">
        <f t="shared" ref="N17:N29" si="6">(BF17 - IF(AS17&gt;1, J17*AZ17*100/(AU17), 0))*(BM17+BN17)/1000</f>
        <v>39.18809428846366</v>
      </c>
      <c r="O17">
        <f t="shared" ref="O17:O29" si="7">2/((1/Q17-1/P17)+SIGN(Q17)*SQRT((1/Q17-1/P17)*(1/Q17-1/P17) + 4*BA17/((BA17+1)*(BA17+1))*(2*1/Q17*1/P17-1/P17*1/P17)))</f>
        <v>0.52410419812526576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2.4255394777347661</v>
      </c>
      <c r="Q17">
        <f t="shared" ref="Q17:Q29" si="9">H17*(1000-(1000*0.61365*EXP(17.502*U17/(240.97+U17))/(BM17+BN17)+BH17)/2)/(1000*0.61365*EXP(17.502*U17/(240.97+U17))/(BM17+BN17)-BH17)</f>
        <v>0.47262585650844335</v>
      </c>
      <c r="R17">
        <f t="shared" ref="R17:R29" si="10">1/((BA17+1)/(O17/1.6)+1/(P17/1.37)) + BA17/((BA17+1)/(O17/1.6) + BA17/(P17/1.37))</f>
        <v>0.29961870830395332</v>
      </c>
      <c r="S17">
        <f t="shared" ref="S17:S29" si="11">(AV17*AY17)</f>
        <v>219.65562903225805</v>
      </c>
      <c r="T17">
        <f t="shared" ref="T17:T29" si="12">(BO17+(S17+2*0.95*0.0000000567*(((BO17+$B$7)+273)^4-(BO17+273)^4)-44100*H17)/(1.84*29.3*P17+8*0.95*0.0000000567*(BO17+273)^3))</f>
        <v>27.618097647303532</v>
      </c>
      <c r="U17">
        <f t="shared" ref="U17:U29" si="13">($C$7*BP17+$D$7*BQ17+$E$7*T17)</f>
        <v>26.296716129032259</v>
      </c>
      <c r="V17">
        <f t="shared" ref="V17:V29" si="14">0.61365*EXP(17.502*U17/(240.97+U17))</f>
        <v>3.4339587710710759</v>
      </c>
      <c r="W17">
        <f t="shared" ref="W17:W29" si="15">(X17/Y17*100)</f>
        <v>76.000088374199422</v>
      </c>
      <c r="X17">
        <f t="shared" ref="X17:X29" si="16">BH17*(BM17+BN17)/1000</f>
        <v>2.7372008321447945</v>
      </c>
      <c r="Y17">
        <f t="shared" ref="Y17:Y29" si="17">0.61365*EXP(17.502*BO17/(240.97+BO17))</f>
        <v>3.6015758543170611</v>
      </c>
      <c r="Z17">
        <f t="shared" ref="Z17:Z29" si="18">(V17-BH17*(BM17+BN17)/1000)</f>
        <v>0.69675793892628146</v>
      </c>
      <c r="AA17">
        <f t="shared" ref="AA17:AA29" si="19">(-H17*44100)</f>
        <v>-146.77547249596805</v>
      </c>
      <c r="AB17">
        <f t="shared" ref="AB17:AB29" si="20">2*29.3*P17*0.92*(BO17-U17)</f>
        <v>105.87169445150924</v>
      </c>
      <c r="AC17">
        <f t="shared" ref="AC17:AC29" si="21">2*0.95*0.0000000567*(((BO17+$B$7)+273)^4-(U17+273)^4)</f>
        <v>9.3918338200279337</v>
      </c>
      <c r="AD17">
        <f t="shared" ref="AD17:AD29" si="22">S17+AC17+AA17+AB17</f>
        <v>188.14368480782719</v>
      </c>
      <c r="AE17">
        <f t="shared" ref="AE17:AE29" si="23">BL17*AS17*(BG17-BF17*(1000-AS17*BI17)/(1000-AS17*BH17))/(100*AZ17)</f>
        <v>28.020407844919188</v>
      </c>
      <c r="AF17">
        <f t="shared" ref="AF17:AF29" si="24">1000*BL17*AS17*(BH17-BI17)/(100*AZ17*(1000-AS17*BH17))</f>
        <v>3.3282420067112932</v>
      </c>
      <c r="AG17">
        <f t="shared" ref="AG17:AG29" si="25">(AH17 - AI17 - BM17*1000/(8.314*(BO17+273.15)) * AK17/BL17 * AJ17) * BL17/(100*AZ17) * (1000 - BI17)/1000</f>
        <v>28.049691167450892</v>
      </c>
      <c r="AH17">
        <v>458.98727360481911</v>
      </c>
      <c r="AI17">
        <v>394.62333333333328</v>
      </c>
      <c r="AJ17">
        <v>-1.6054006297183581E-4</v>
      </c>
      <c r="AK17">
        <v>84.013723895818373</v>
      </c>
      <c r="AL17">
        <f t="shared" ref="AL17:AL29" si="26">(AN17 - AM17 + BM17*1000/(8.314*(BO17+273.15)) * AP17/BL17 * AO17) * BL17/(100*AZ17) * 1000/(1000 - AN17)</f>
        <v>3.3320365060036718</v>
      </c>
      <c r="AM17">
        <v>19.540790615473671</v>
      </c>
      <c r="AN17">
        <v>26.836069624060141</v>
      </c>
      <c r="AO17">
        <v>1.3206055185841919E-5</v>
      </c>
      <c r="AP17">
        <v>90.508678322330766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53875.949604630157</v>
      </c>
      <c r="AV17">
        <f t="shared" ref="AV17:AV29" si="30">$B$11*BU17+$C$11*BV17</f>
        <v>1156.0822580645161</v>
      </c>
      <c r="AW17">
        <f t="shared" ref="AW17:AW29" si="31">AV17*AX17</f>
        <v>924.86580645161291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336</v>
      </c>
      <c r="BC17">
        <v>2</v>
      </c>
      <c r="BD17" t="b">
        <v>0</v>
      </c>
      <c r="BE17">
        <v>1755526146</v>
      </c>
      <c r="BF17">
        <v>384.08987096774189</v>
      </c>
      <c r="BG17">
        <v>450.00764516129033</v>
      </c>
      <c r="BH17">
        <v>26.827819354838709</v>
      </c>
      <c r="BI17">
        <v>19.540664516129031</v>
      </c>
      <c r="BJ17">
        <v>381.32935483870961</v>
      </c>
      <c r="BK17">
        <v>26.578351612903219</v>
      </c>
      <c r="BL17">
        <v>400.02680645161291</v>
      </c>
      <c r="BM17">
        <v>101.9284516129032</v>
      </c>
      <c r="BN17">
        <v>9.9998629032258049E-2</v>
      </c>
      <c r="BO17">
        <v>27.106345161290321</v>
      </c>
      <c r="BP17">
        <v>26.296716129032259</v>
      </c>
      <c r="BQ17">
        <v>999.90000000000032</v>
      </c>
      <c r="BR17">
        <v>0</v>
      </c>
      <c r="BS17">
        <v>0</v>
      </c>
      <c r="BT17">
        <v>9999.645161290322</v>
      </c>
      <c r="BU17">
        <v>1156.0822580645161</v>
      </c>
      <c r="BV17">
        <v>13.2273</v>
      </c>
      <c r="BW17">
        <v>-65.917770967741944</v>
      </c>
      <c r="BX17">
        <v>394.67819354838713</v>
      </c>
      <c r="BY17">
        <v>458.97622580645162</v>
      </c>
      <c r="BZ17">
        <v>7.2871622580645168</v>
      </c>
      <c r="CA17">
        <v>450.00764516129033</v>
      </c>
      <c r="CB17">
        <v>19.540664516129031</v>
      </c>
      <c r="CC17">
        <v>2.7345199999999998</v>
      </c>
      <c r="CD17">
        <v>1.991749677419355</v>
      </c>
      <c r="CE17">
        <v>22.49404516129032</v>
      </c>
      <c r="CF17">
        <v>17.37889354838709</v>
      </c>
      <c r="CG17">
        <v>1755525950.5</v>
      </c>
      <c r="CH17" t="s">
        <v>337</v>
      </c>
      <c r="CI17">
        <v>1755525948.5</v>
      </c>
      <c r="CJ17">
        <v>1755525950.5</v>
      </c>
      <c r="CK17">
        <v>4</v>
      </c>
      <c r="CL17">
        <v>-0.20799999999999999</v>
      </c>
      <c r="CM17">
        <v>4.4999999999999998E-2</v>
      </c>
      <c r="CN17">
        <v>3.339</v>
      </c>
      <c r="CO17">
        <v>0.249</v>
      </c>
      <c r="CP17">
        <v>450</v>
      </c>
      <c r="CQ17">
        <v>20</v>
      </c>
      <c r="CR17">
        <v>0.03</v>
      </c>
      <c r="CS17">
        <v>0.01</v>
      </c>
      <c r="CT17">
        <v>-65.884972500000003</v>
      </c>
      <c r="CU17">
        <v>-0.56347654784234391</v>
      </c>
      <c r="CV17">
        <v>6.3867483853286694E-2</v>
      </c>
      <c r="CW17">
        <v>0</v>
      </c>
      <c r="CX17">
        <v>0</v>
      </c>
      <c r="CY17">
        <v>0</v>
      </c>
      <c r="CZ17">
        <v>0</v>
      </c>
      <c r="DA17">
        <v>-1</v>
      </c>
      <c r="DB17">
        <v>7.2841792499999993</v>
      </c>
      <c r="DC17">
        <v>6.6855422138812876E-2</v>
      </c>
      <c r="DD17">
        <v>6.4456816503377099E-3</v>
      </c>
      <c r="DE17">
        <v>1</v>
      </c>
      <c r="DF17">
        <v>1</v>
      </c>
      <c r="DG17">
        <v>2</v>
      </c>
      <c r="DH17" t="s">
        <v>338</v>
      </c>
      <c r="DI17">
        <v>3.0245299999999999</v>
      </c>
      <c r="DJ17">
        <v>2.6911800000000001</v>
      </c>
      <c r="DK17">
        <v>9.0453500000000006E-2</v>
      </c>
      <c r="DL17">
        <v>0.103021</v>
      </c>
      <c r="DM17">
        <v>0.12997400000000001</v>
      </c>
      <c r="DN17">
        <v>0.105142</v>
      </c>
      <c r="DO17">
        <v>25322.6</v>
      </c>
      <c r="DP17">
        <v>16201.8</v>
      </c>
      <c r="DQ17">
        <v>26418</v>
      </c>
      <c r="DR17">
        <v>16404.2</v>
      </c>
      <c r="DS17">
        <v>32685.200000000001</v>
      </c>
      <c r="DT17">
        <v>19154.599999999999</v>
      </c>
      <c r="DU17">
        <v>38488.199999999997</v>
      </c>
      <c r="DV17">
        <v>21716.2</v>
      </c>
      <c r="DW17">
        <v>1.7992999999999999</v>
      </c>
      <c r="DX17">
        <v>2.1850999999999998</v>
      </c>
      <c r="DY17">
        <v>7.4118400000000001E-2</v>
      </c>
      <c r="DZ17">
        <v>0</v>
      </c>
      <c r="EA17">
        <v>25.0839</v>
      </c>
      <c r="EB17">
        <v>999.9</v>
      </c>
      <c r="EC17">
        <v>58</v>
      </c>
      <c r="ED17">
        <v>32.799999999999997</v>
      </c>
      <c r="EE17">
        <v>28.424700000000001</v>
      </c>
      <c r="EF17">
        <v>62.510899999999999</v>
      </c>
      <c r="EG17">
        <v>35.4968</v>
      </c>
      <c r="EH17">
        <v>1</v>
      </c>
      <c r="EI17">
        <v>6.4323199999999997E-2</v>
      </c>
      <c r="EJ17">
        <v>7.1219999999999999E-3</v>
      </c>
      <c r="EK17">
        <v>20.342099999999999</v>
      </c>
      <c r="EL17">
        <v>5.2474800000000004</v>
      </c>
      <c r="EM17">
        <v>11.962</v>
      </c>
      <c r="EN17">
        <v>4.9897600000000004</v>
      </c>
      <c r="EO17">
        <v>3.2912599999999999</v>
      </c>
      <c r="EP17">
        <v>9999</v>
      </c>
      <c r="EQ17">
        <v>9999</v>
      </c>
      <c r="ER17">
        <v>9999</v>
      </c>
      <c r="ES17">
        <v>999.9</v>
      </c>
      <c r="ET17">
        <v>4.9726699999999999</v>
      </c>
      <c r="EU17">
        <v>1.8717999999999999</v>
      </c>
      <c r="EV17">
        <v>1.8721000000000001</v>
      </c>
      <c r="EW17">
        <v>1.87713</v>
      </c>
      <c r="EX17">
        <v>1.87124</v>
      </c>
      <c r="EY17">
        <v>1.87202</v>
      </c>
      <c r="EZ17">
        <v>1.87165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2.76</v>
      </c>
      <c r="FP17">
        <v>0.2495</v>
      </c>
      <c r="FQ17">
        <v>-0.24908219306894219</v>
      </c>
      <c r="FR17">
        <v>7.0338458001993282E-3</v>
      </c>
      <c r="FS17">
        <v>2.3387658340725169E-6</v>
      </c>
      <c r="FT17">
        <v>-2.2874075696057401E-10</v>
      </c>
      <c r="FU17">
        <v>0.24945500000000109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3.4</v>
      </c>
      <c r="GD17">
        <v>3.4</v>
      </c>
      <c r="GE17">
        <v>1.10229</v>
      </c>
      <c r="GF17">
        <v>2.63428</v>
      </c>
      <c r="GG17">
        <v>1.7981</v>
      </c>
      <c r="GH17">
        <v>2.3754900000000001</v>
      </c>
      <c r="GI17">
        <v>1.5979000000000001</v>
      </c>
      <c r="GJ17">
        <v>2.49634</v>
      </c>
      <c r="GK17">
        <v>35.894399999999997</v>
      </c>
      <c r="GL17">
        <v>24.1663</v>
      </c>
      <c r="GM17">
        <v>18</v>
      </c>
      <c r="GN17">
        <v>367.26499999999999</v>
      </c>
      <c r="GO17">
        <v>671.46799999999996</v>
      </c>
      <c r="GP17">
        <v>25.829899999999999</v>
      </c>
      <c r="GQ17">
        <v>27.9099</v>
      </c>
      <c r="GR17">
        <v>30.0001</v>
      </c>
      <c r="GS17">
        <v>27.847000000000001</v>
      </c>
      <c r="GT17">
        <v>27.8856</v>
      </c>
      <c r="GU17">
        <v>22.036799999999999</v>
      </c>
      <c r="GV17">
        <v>37.558399999999999</v>
      </c>
      <c r="GW17">
        <v>0</v>
      </c>
      <c r="GX17">
        <v>25.83</v>
      </c>
      <c r="GY17">
        <v>450</v>
      </c>
      <c r="GZ17">
        <v>19.5</v>
      </c>
      <c r="HA17">
        <v>100.39100000000001</v>
      </c>
      <c r="HB17">
        <v>67.814099999999996</v>
      </c>
    </row>
    <row r="18" spans="1:210" x14ac:dyDescent="0.3">
      <c r="A18">
        <v>2</v>
      </c>
      <c r="B18">
        <v>1755526334.5</v>
      </c>
      <c r="C18">
        <v>180.5</v>
      </c>
      <c r="D18" t="s">
        <v>342</v>
      </c>
      <c r="E18" t="s">
        <v>343</v>
      </c>
      <c r="F18">
        <v>15</v>
      </c>
      <c r="G18">
        <v>1755526326.75</v>
      </c>
      <c r="H18">
        <f t="shared" si="0"/>
        <v>3.4398521575350186E-3</v>
      </c>
      <c r="I18">
        <f t="shared" si="1"/>
        <v>3.4398521575350185</v>
      </c>
      <c r="J18">
        <f t="shared" si="2"/>
        <v>17.310646574478834</v>
      </c>
      <c r="K18">
        <f t="shared" si="3"/>
        <v>259.03596666666658</v>
      </c>
      <c r="L18">
        <f t="shared" si="4"/>
        <v>202.29704175521968</v>
      </c>
      <c r="M18">
        <f t="shared" si="5"/>
        <v>20.638297997246138</v>
      </c>
      <c r="N18">
        <f t="shared" si="6"/>
        <v>26.426790158108886</v>
      </c>
      <c r="O18">
        <f t="shared" si="7"/>
        <v>0.56155104212518436</v>
      </c>
      <c r="P18">
        <f t="shared" si="8"/>
        <v>2.4250974811279375</v>
      </c>
      <c r="Q18">
        <f t="shared" si="9"/>
        <v>0.50285892181111636</v>
      </c>
      <c r="R18">
        <f t="shared" si="10"/>
        <v>0.31907734020190215</v>
      </c>
      <c r="S18">
        <f t="shared" si="11"/>
        <v>219.52441666666675</v>
      </c>
      <c r="T18">
        <f t="shared" si="12"/>
        <v>27.603624486617047</v>
      </c>
      <c r="U18">
        <f t="shared" si="13"/>
        <v>26.30894</v>
      </c>
      <c r="V18">
        <f t="shared" si="14"/>
        <v>3.4364379141672847</v>
      </c>
      <c r="W18">
        <f t="shared" si="15"/>
        <v>76.532233257887754</v>
      </c>
      <c r="X18">
        <f t="shared" si="16"/>
        <v>2.7597552053809986</v>
      </c>
      <c r="Y18">
        <f t="shared" si="17"/>
        <v>3.6060037554131683</v>
      </c>
      <c r="Z18">
        <f t="shared" si="18"/>
        <v>0.67668270878628611</v>
      </c>
      <c r="AA18">
        <f t="shared" si="19"/>
        <v>-151.69748014729433</v>
      </c>
      <c r="AB18">
        <f t="shared" si="20"/>
        <v>106.99172575632302</v>
      </c>
      <c r="AC18">
        <f t="shared" si="21"/>
        <v>9.4944972385360984</v>
      </c>
      <c r="AD18">
        <f t="shared" si="22"/>
        <v>184.31315951423153</v>
      </c>
      <c r="AE18">
        <f t="shared" si="23"/>
        <v>17.310646574478834</v>
      </c>
      <c r="AF18">
        <f t="shared" si="24"/>
        <v>3.4398521575350185</v>
      </c>
      <c r="AG18">
        <f t="shared" si="25"/>
        <v>17.291468316087467</v>
      </c>
      <c r="AH18">
        <v>305.96816879195961</v>
      </c>
      <c r="AI18">
        <v>266.28295151515141</v>
      </c>
      <c r="AJ18">
        <v>9.1773326368866346E-4</v>
      </c>
      <c r="AK18">
        <v>84.013723895818373</v>
      </c>
      <c r="AL18">
        <f t="shared" si="26"/>
        <v>3.4442885569238548</v>
      </c>
      <c r="AM18">
        <v>19.520875373786701</v>
      </c>
      <c r="AN18">
        <v>27.060243759398482</v>
      </c>
      <c r="AO18">
        <v>-1.1725447597403659E-6</v>
      </c>
      <c r="AP18">
        <v>90.508678322330766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53857.188068044488</v>
      </c>
      <c r="AV18">
        <f t="shared" si="30"/>
        <v>1155.3916666666671</v>
      </c>
      <c r="AW18">
        <f t="shared" si="31"/>
        <v>924.31333333333373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336</v>
      </c>
      <c r="BC18">
        <v>2</v>
      </c>
      <c r="BD18" t="b">
        <v>0</v>
      </c>
      <c r="BE18">
        <v>1755526326.75</v>
      </c>
      <c r="BF18">
        <v>259.03596666666658</v>
      </c>
      <c r="BG18">
        <v>299.98660000000001</v>
      </c>
      <c r="BH18">
        <v>27.051179999999999</v>
      </c>
      <c r="BI18">
        <v>19.52146333333333</v>
      </c>
      <c r="BJ18">
        <v>257.32416666666671</v>
      </c>
      <c r="BK18">
        <v>26.80172666666666</v>
      </c>
      <c r="BL18">
        <v>400.03100000000012</v>
      </c>
      <c r="BM18">
        <v>101.9197333333333</v>
      </c>
      <c r="BN18">
        <v>0.1000382766666667</v>
      </c>
      <c r="BO18">
        <v>27.127283333333331</v>
      </c>
      <c r="BP18">
        <v>26.30894</v>
      </c>
      <c r="BQ18">
        <v>999.9000000000002</v>
      </c>
      <c r="BR18">
        <v>0</v>
      </c>
      <c r="BS18">
        <v>0</v>
      </c>
      <c r="BT18">
        <v>9997.6333333333332</v>
      </c>
      <c r="BU18">
        <v>1155.3916666666671</v>
      </c>
      <c r="BV18">
        <v>13.2273</v>
      </c>
      <c r="BW18">
        <v>-40.950640000000007</v>
      </c>
      <c r="BX18">
        <v>266.23813333333328</v>
      </c>
      <c r="BY18">
        <v>305.9595333333333</v>
      </c>
      <c r="BZ18">
        <v>7.5297156666666671</v>
      </c>
      <c r="CA18">
        <v>299.98660000000001</v>
      </c>
      <c r="CB18">
        <v>19.52146333333333</v>
      </c>
      <c r="CC18">
        <v>2.7570486666666669</v>
      </c>
      <c r="CD18">
        <v>1.989622666666667</v>
      </c>
      <c r="CE18">
        <v>22.629153333333331</v>
      </c>
      <c r="CF18">
        <v>17.361993333333331</v>
      </c>
      <c r="CG18">
        <v>1755525950.5</v>
      </c>
      <c r="CH18" t="s">
        <v>337</v>
      </c>
      <c r="CI18">
        <v>1755525948.5</v>
      </c>
      <c r="CJ18">
        <v>1755525950.5</v>
      </c>
      <c r="CK18">
        <v>4</v>
      </c>
      <c r="CL18">
        <v>-0.20799999999999999</v>
      </c>
      <c r="CM18">
        <v>4.4999999999999998E-2</v>
      </c>
      <c r="CN18">
        <v>3.339</v>
      </c>
      <c r="CO18">
        <v>0.249</v>
      </c>
      <c r="CP18">
        <v>450</v>
      </c>
      <c r="CQ18">
        <v>20</v>
      </c>
      <c r="CR18">
        <v>0.03</v>
      </c>
      <c r="CS18">
        <v>0.01</v>
      </c>
      <c r="CT18">
        <v>-41.00885365853658</v>
      </c>
      <c r="CU18">
        <v>0.9093512195120671</v>
      </c>
      <c r="CV18">
        <v>9.6370585780559792E-2</v>
      </c>
      <c r="CW18">
        <v>0</v>
      </c>
      <c r="CX18">
        <v>0</v>
      </c>
      <c r="CY18">
        <v>0</v>
      </c>
      <c r="CZ18">
        <v>0</v>
      </c>
      <c r="DA18">
        <v>-1</v>
      </c>
      <c r="DB18">
        <v>7.5261819512195123</v>
      </c>
      <c r="DC18">
        <v>6.4031080139384924E-2</v>
      </c>
      <c r="DD18">
        <v>6.3382883045634726E-3</v>
      </c>
      <c r="DE18">
        <v>1</v>
      </c>
      <c r="DF18">
        <v>1</v>
      </c>
      <c r="DG18">
        <v>2</v>
      </c>
      <c r="DH18" t="s">
        <v>338</v>
      </c>
      <c r="DI18">
        <v>3.0245899999999999</v>
      </c>
      <c r="DJ18">
        <v>2.6915</v>
      </c>
      <c r="DK18">
        <v>6.5879699999999999E-2</v>
      </c>
      <c r="DL18">
        <v>7.5140299999999993E-2</v>
      </c>
      <c r="DM18">
        <v>0.130715</v>
      </c>
      <c r="DN18">
        <v>0.105064</v>
      </c>
      <c r="DO18">
        <v>26005.599999999999</v>
      </c>
      <c r="DP18">
        <v>16704.7</v>
      </c>
      <c r="DQ18">
        <v>26417</v>
      </c>
      <c r="DR18">
        <v>16403.599999999999</v>
      </c>
      <c r="DS18">
        <v>32654.7</v>
      </c>
      <c r="DT18">
        <v>19155.5</v>
      </c>
      <c r="DU18">
        <v>38486.5</v>
      </c>
      <c r="DV18">
        <v>21715.7</v>
      </c>
      <c r="DW18">
        <v>1.7990200000000001</v>
      </c>
      <c r="DX18">
        <v>2.18418</v>
      </c>
      <c r="DY18">
        <v>7.3859099999999997E-2</v>
      </c>
      <c r="DZ18">
        <v>0</v>
      </c>
      <c r="EA18">
        <v>25.095300000000002</v>
      </c>
      <c r="EB18">
        <v>999.9</v>
      </c>
      <c r="EC18">
        <v>57.9</v>
      </c>
      <c r="ED18">
        <v>32.799999999999997</v>
      </c>
      <c r="EE18">
        <v>28.378900000000002</v>
      </c>
      <c r="EF18">
        <v>62.691000000000003</v>
      </c>
      <c r="EG18">
        <v>35.308500000000002</v>
      </c>
      <c r="EH18">
        <v>1</v>
      </c>
      <c r="EI18">
        <v>6.5459299999999998E-2</v>
      </c>
      <c r="EJ18">
        <v>1.5518499999999999E-2</v>
      </c>
      <c r="EK18">
        <v>20.342099999999999</v>
      </c>
      <c r="EL18">
        <v>5.2474800000000004</v>
      </c>
      <c r="EM18">
        <v>11.962</v>
      </c>
      <c r="EN18">
        <v>4.9895199999999997</v>
      </c>
      <c r="EO18">
        <v>3.29128</v>
      </c>
      <c r="EP18">
        <v>9999</v>
      </c>
      <c r="EQ18">
        <v>9999</v>
      </c>
      <c r="ER18">
        <v>9999</v>
      </c>
      <c r="ES18">
        <v>999.9</v>
      </c>
      <c r="ET18">
        <v>4.9726900000000001</v>
      </c>
      <c r="EU18">
        <v>1.8717999999999999</v>
      </c>
      <c r="EV18">
        <v>1.8721000000000001</v>
      </c>
      <c r="EW18">
        <v>1.87714</v>
      </c>
      <c r="EX18">
        <v>1.8712599999999999</v>
      </c>
      <c r="EY18">
        <v>1.8720000000000001</v>
      </c>
      <c r="EZ18">
        <v>1.8716600000000001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1.712</v>
      </c>
      <c r="FP18">
        <v>0.24940000000000001</v>
      </c>
      <c r="FQ18">
        <v>-0.24908219306894219</v>
      </c>
      <c r="FR18">
        <v>7.0338458001993282E-3</v>
      </c>
      <c r="FS18">
        <v>2.3387658340725169E-6</v>
      </c>
      <c r="FT18">
        <v>-2.2874075696057401E-10</v>
      </c>
      <c r="FU18">
        <v>0.24945500000000109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6.4</v>
      </c>
      <c r="GD18">
        <v>6.4</v>
      </c>
      <c r="GE18">
        <v>0.79956099999999997</v>
      </c>
      <c r="GF18">
        <v>2.63184</v>
      </c>
      <c r="GG18">
        <v>1.7981</v>
      </c>
      <c r="GH18">
        <v>2.3767100000000001</v>
      </c>
      <c r="GI18">
        <v>1.5979000000000001</v>
      </c>
      <c r="GJ18">
        <v>2.5610400000000002</v>
      </c>
      <c r="GK18">
        <v>35.894399999999997</v>
      </c>
      <c r="GL18">
        <v>24.1663</v>
      </c>
      <c r="GM18">
        <v>18</v>
      </c>
      <c r="GN18">
        <v>367.21300000000002</v>
      </c>
      <c r="GO18">
        <v>670.85</v>
      </c>
      <c r="GP18">
        <v>25.830200000000001</v>
      </c>
      <c r="GQ18">
        <v>27.9251</v>
      </c>
      <c r="GR18">
        <v>30.0002</v>
      </c>
      <c r="GS18">
        <v>27.8611</v>
      </c>
      <c r="GT18">
        <v>27.900300000000001</v>
      </c>
      <c r="GU18">
        <v>15.9735</v>
      </c>
      <c r="GV18">
        <v>37.558399999999999</v>
      </c>
      <c r="GW18">
        <v>0</v>
      </c>
      <c r="GX18">
        <v>25.83</v>
      </c>
      <c r="GY18">
        <v>300</v>
      </c>
      <c r="GZ18">
        <v>19.5</v>
      </c>
      <c r="HA18">
        <v>100.387</v>
      </c>
      <c r="HB18">
        <v>67.812100000000001</v>
      </c>
    </row>
    <row r="19" spans="1:210" x14ac:dyDescent="0.3">
      <c r="A19">
        <v>3</v>
      </c>
      <c r="B19">
        <v>1755526515</v>
      </c>
      <c r="C19">
        <v>361</v>
      </c>
      <c r="D19" t="s">
        <v>344</v>
      </c>
      <c r="E19" t="s">
        <v>345</v>
      </c>
      <c r="F19">
        <v>15</v>
      </c>
      <c r="G19">
        <v>1755526507.25</v>
      </c>
      <c r="H19">
        <f t="shared" si="0"/>
        <v>3.5562508392743548E-3</v>
      </c>
      <c r="I19">
        <f t="shared" si="1"/>
        <v>3.5562508392743548</v>
      </c>
      <c r="J19">
        <f t="shared" si="2"/>
        <v>10.427415090521261</v>
      </c>
      <c r="K19">
        <f t="shared" si="3"/>
        <v>175.13816666666659</v>
      </c>
      <c r="L19">
        <f t="shared" si="4"/>
        <v>143.00158027069824</v>
      </c>
      <c r="M19">
        <f t="shared" si="5"/>
        <v>14.588229158727128</v>
      </c>
      <c r="N19">
        <f t="shared" si="6"/>
        <v>17.866625703969234</v>
      </c>
      <c r="O19">
        <f t="shared" si="7"/>
        <v>0.60640711414420401</v>
      </c>
      <c r="P19">
        <f t="shared" si="8"/>
        <v>2.4244206714571801</v>
      </c>
      <c r="Q19">
        <f t="shared" si="9"/>
        <v>0.5385178012783568</v>
      </c>
      <c r="R19">
        <f t="shared" si="10"/>
        <v>0.34207452297816726</v>
      </c>
      <c r="S19">
        <f t="shared" si="11"/>
        <v>219.42745333333329</v>
      </c>
      <c r="T19">
        <f t="shared" si="12"/>
        <v>27.579458615198398</v>
      </c>
      <c r="U19">
        <f t="shared" si="13"/>
        <v>26.312516666666671</v>
      </c>
      <c r="V19">
        <f t="shared" si="14"/>
        <v>3.4371635992336529</v>
      </c>
      <c r="W19">
        <f t="shared" si="15"/>
        <v>77.148854248197125</v>
      </c>
      <c r="X19">
        <f t="shared" si="16"/>
        <v>2.7840246325972093</v>
      </c>
      <c r="Y19">
        <f t="shared" si="17"/>
        <v>3.6086402834197222</v>
      </c>
      <c r="Z19">
        <f t="shared" si="18"/>
        <v>0.65313896663644355</v>
      </c>
      <c r="AA19">
        <f t="shared" si="19"/>
        <v>-156.83066201199904</v>
      </c>
      <c r="AB19">
        <f t="shared" si="20"/>
        <v>108.12252957249839</v>
      </c>
      <c r="AC19">
        <f t="shared" si="21"/>
        <v>9.5982943787638586</v>
      </c>
      <c r="AD19">
        <f t="shared" si="22"/>
        <v>180.3176152725965</v>
      </c>
      <c r="AE19">
        <f t="shared" si="23"/>
        <v>10.427415090521261</v>
      </c>
      <c r="AF19">
        <f t="shared" si="24"/>
        <v>3.5562508392743548</v>
      </c>
      <c r="AG19">
        <f t="shared" si="25"/>
        <v>10.421351761065484</v>
      </c>
      <c r="AH19">
        <v>203.9780398666621</v>
      </c>
      <c r="AI19">
        <v>180.06424848484849</v>
      </c>
      <c r="AJ19">
        <v>1.8573514717132791E-4</v>
      </c>
      <c r="AK19">
        <v>84.013723895818373</v>
      </c>
      <c r="AL19">
        <f t="shared" si="26"/>
        <v>3.560994050270418</v>
      </c>
      <c r="AM19">
        <v>19.507353023420841</v>
      </c>
      <c r="AN19">
        <v>27.300086766917289</v>
      </c>
      <c r="AO19">
        <v>-4.3469773028597258E-7</v>
      </c>
      <c r="AP19">
        <v>90.508678322330766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53832.155893860523</v>
      </c>
      <c r="AV19">
        <f t="shared" si="30"/>
        <v>1154.881333333333</v>
      </c>
      <c r="AW19">
        <f t="shared" si="31"/>
        <v>923.90506666666647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336</v>
      </c>
      <c r="BC19">
        <v>2</v>
      </c>
      <c r="BD19" t="b">
        <v>0</v>
      </c>
      <c r="BE19">
        <v>1755526507.25</v>
      </c>
      <c r="BF19">
        <v>175.13816666666659</v>
      </c>
      <c r="BG19">
        <v>199.99876666666671</v>
      </c>
      <c r="BH19">
        <v>27.290489999999991</v>
      </c>
      <c r="BI19">
        <v>19.50806333333334</v>
      </c>
      <c r="BJ19">
        <v>174.0930333333333</v>
      </c>
      <c r="BK19">
        <v>27.041039999999999</v>
      </c>
      <c r="BL19">
        <v>400.0396333333332</v>
      </c>
      <c r="BM19">
        <v>101.9144</v>
      </c>
      <c r="BN19">
        <v>0.1000611766666666</v>
      </c>
      <c r="BO19">
        <v>27.13974</v>
      </c>
      <c r="BP19">
        <v>26.312516666666671</v>
      </c>
      <c r="BQ19">
        <v>999.9000000000002</v>
      </c>
      <c r="BR19">
        <v>0</v>
      </c>
      <c r="BS19">
        <v>0</v>
      </c>
      <c r="BT19">
        <v>9993.7666666666664</v>
      </c>
      <c r="BU19">
        <v>1154.881333333333</v>
      </c>
      <c r="BV19">
        <v>13.199546666666659</v>
      </c>
      <c r="BW19">
        <v>-24.860603333333341</v>
      </c>
      <c r="BX19">
        <v>180.05176666666671</v>
      </c>
      <c r="BY19">
        <v>203.97803333333329</v>
      </c>
      <c r="BZ19">
        <v>7.7824396666666669</v>
      </c>
      <c r="CA19">
        <v>199.99876666666671</v>
      </c>
      <c r="CB19">
        <v>19.50806333333334</v>
      </c>
      <c r="CC19">
        <v>2.7812943333333329</v>
      </c>
      <c r="CD19">
        <v>1.9881526666666669</v>
      </c>
      <c r="CE19">
        <v>22.773483333333331</v>
      </c>
      <c r="CF19">
        <v>17.350290000000001</v>
      </c>
      <c r="CG19">
        <v>1755525950.5</v>
      </c>
      <c r="CH19" t="s">
        <v>337</v>
      </c>
      <c r="CI19">
        <v>1755525948.5</v>
      </c>
      <c r="CJ19">
        <v>1755525950.5</v>
      </c>
      <c r="CK19">
        <v>4</v>
      </c>
      <c r="CL19">
        <v>-0.20799999999999999</v>
      </c>
      <c r="CM19">
        <v>4.4999999999999998E-2</v>
      </c>
      <c r="CN19">
        <v>3.339</v>
      </c>
      <c r="CO19">
        <v>0.249</v>
      </c>
      <c r="CP19">
        <v>450</v>
      </c>
      <c r="CQ19">
        <v>20</v>
      </c>
      <c r="CR19">
        <v>0.03</v>
      </c>
      <c r="CS19">
        <v>0.01</v>
      </c>
      <c r="CT19">
        <v>-24.860456097560981</v>
      </c>
      <c r="CU19">
        <v>-4.1878745644643431E-2</v>
      </c>
      <c r="CV19">
        <v>1.3787888796109839E-2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7.7788700000000004</v>
      </c>
      <c r="DC19">
        <v>8.1560069686424388E-2</v>
      </c>
      <c r="DD19">
        <v>8.1033877287790528E-3</v>
      </c>
      <c r="DE19">
        <v>1</v>
      </c>
      <c r="DF19">
        <v>2</v>
      </c>
      <c r="DG19">
        <v>2</v>
      </c>
      <c r="DH19" t="s">
        <v>346</v>
      </c>
      <c r="DI19">
        <v>3.0245099999999998</v>
      </c>
      <c r="DJ19">
        <v>2.6912600000000002</v>
      </c>
      <c r="DK19">
        <v>4.6788200000000002E-2</v>
      </c>
      <c r="DL19">
        <v>5.3204399999999999E-2</v>
      </c>
      <c r="DM19">
        <v>0.13151399999999999</v>
      </c>
      <c r="DN19">
        <v>0.105</v>
      </c>
      <c r="DO19">
        <v>26536.5</v>
      </c>
      <c r="DP19">
        <v>17101</v>
      </c>
      <c r="DQ19">
        <v>26416.5</v>
      </c>
      <c r="DR19">
        <v>16403.8</v>
      </c>
      <c r="DS19">
        <v>32623.1</v>
      </c>
      <c r="DT19">
        <v>19156.900000000001</v>
      </c>
      <c r="DU19">
        <v>38485.800000000003</v>
      </c>
      <c r="DV19">
        <v>21716</v>
      </c>
      <c r="DW19">
        <v>1.7993600000000001</v>
      </c>
      <c r="DX19">
        <v>2.1838799999999998</v>
      </c>
      <c r="DY19">
        <v>7.4142200000000005E-2</v>
      </c>
      <c r="DZ19">
        <v>0</v>
      </c>
      <c r="EA19">
        <v>25.095300000000002</v>
      </c>
      <c r="EB19">
        <v>999.9</v>
      </c>
      <c r="EC19">
        <v>57.9</v>
      </c>
      <c r="ED19">
        <v>32.799999999999997</v>
      </c>
      <c r="EE19">
        <v>28.379799999999999</v>
      </c>
      <c r="EF19">
        <v>62.500999999999998</v>
      </c>
      <c r="EG19">
        <v>35.564900000000002</v>
      </c>
      <c r="EH19">
        <v>1</v>
      </c>
      <c r="EI19">
        <v>6.62663E-2</v>
      </c>
      <c r="EJ19">
        <v>8.5163400000000007E-3</v>
      </c>
      <c r="EK19">
        <v>20.342400000000001</v>
      </c>
      <c r="EL19">
        <v>5.2519099999999996</v>
      </c>
      <c r="EM19">
        <v>11.962</v>
      </c>
      <c r="EN19">
        <v>4.9897200000000002</v>
      </c>
      <c r="EO19">
        <v>3.2911000000000001</v>
      </c>
      <c r="EP19">
        <v>9999</v>
      </c>
      <c r="EQ19">
        <v>9999</v>
      </c>
      <c r="ER19">
        <v>9999</v>
      </c>
      <c r="ES19">
        <v>999.9</v>
      </c>
      <c r="ET19">
        <v>4.9726699999999999</v>
      </c>
      <c r="EU19">
        <v>1.87181</v>
      </c>
      <c r="EV19">
        <v>1.8721000000000001</v>
      </c>
      <c r="EW19">
        <v>1.87714</v>
      </c>
      <c r="EX19">
        <v>1.8712500000000001</v>
      </c>
      <c r="EY19">
        <v>1.8720300000000001</v>
      </c>
      <c r="EZ19">
        <v>1.87165</v>
      </c>
      <c r="FA19">
        <v>1.86873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1.046</v>
      </c>
      <c r="FP19">
        <v>0.2495</v>
      </c>
      <c r="FQ19">
        <v>-0.24908219306894219</v>
      </c>
      <c r="FR19">
        <v>7.0338458001993282E-3</v>
      </c>
      <c r="FS19">
        <v>2.3387658340725169E-6</v>
      </c>
      <c r="FT19">
        <v>-2.2874075696057401E-10</v>
      </c>
      <c r="FU19">
        <v>0.24945500000000109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9.4</v>
      </c>
      <c r="GD19">
        <v>9.4</v>
      </c>
      <c r="GE19">
        <v>0.58715799999999996</v>
      </c>
      <c r="GF19">
        <v>2.65625</v>
      </c>
      <c r="GG19">
        <v>1.79932</v>
      </c>
      <c r="GH19">
        <v>2.3754900000000001</v>
      </c>
      <c r="GI19">
        <v>1.5979000000000001</v>
      </c>
      <c r="GJ19">
        <v>2.4133300000000002</v>
      </c>
      <c r="GK19">
        <v>35.871099999999998</v>
      </c>
      <c r="GL19">
        <v>24.157499999999999</v>
      </c>
      <c r="GM19">
        <v>18</v>
      </c>
      <c r="GN19">
        <v>367.46499999999997</v>
      </c>
      <c r="GO19">
        <v>670.73800000000006</v>
      </c>
      <c r="GP19">
        <v>25.830100000000002</v>
      </c>
      <c r="GQ19">
        <v>27.9345</v>
      </c>
      <c r="GR19">
        <v>30.0001</v>
      </c>
      <c r="GS19">
        <v>27.872800000000002</v>
      </c>
      <c r="GT19">
        <v>27.912199999999999</v>
      </c>
      <c r="GU19">
        <v>11.7041</v>
      </c>
      <c r="GV19">
        <v>37.558399999999999</v>
      </c>
      <c r="GW19">
        <v>0</v>
      </c>
      <c r="GX19">
        <v>25.83</v>
      </c>
      <c r="GY19">
        <v>200</v>
      </c>
      <c r="GZ19">
        <v>19.5</v>
      </c>
      <c r="HA19">
        <v>100.38500000000001</v>
      </c>
      <c r="HB19">
        <v>67.813000000000002</v>
      </c>
    </row>
    <row r="20" spans="1:210" x14ac:dyDescent="0.3">
      <c r="A20">
        <v>4</v>
      </c>
      <c r="B20">
        <v>1755526695.5</v>
      </c>
      <c r="C20">
        <v>541.5</v>
      </c>
      <c r="D20" t="s">
        <v>347</v>
      </c>
      <c r="E20" t="s">
        <v>348</v>
      </c>
      <c r="F20">
        <v>15</v>
      </c>
      <c r="G20">
        <v>1755526687.75</v>
      </c>
      <c r="H20">
        <f t="shared" si="0"/>
        <v>3.6617251550890044E-3</v>
      </c>
      <c r="I20">
        <f t="shared" si="1"/>
        <v>3.6617251550890044</v>
      </c>
      <c r="J20">
        <f t="shared" si="2"/>
        <v>5.2900578854241003</v>
      </c>
      <c r="K20">
        <f t="shared" si="3"/>
        <v>112.1630333333333</v>
      </c>
      <c r="L20">
        <f t="shared" si="4"/>
        <v>96.647139655279986</v>
      </c>
      <c r="M20">
        <f t="shared" si="5"/>
        <v>9.8594123493026977</v>
      </c>
      <c r="N20">
        <f t="shared" si="6"/>
        <v>11.442258921746596</v>
      </c>
      <c r="O20">
        <f t="shared" si="7"/>
        <v>0.65288244800352313</v>
      </c>
      <c r="P20">
        <f t="shared" si="8"/>
        <v>2.4257145623780478</v>
      </c>
      <c r="Q20">
        <f t="shared" si="9"/>
        <v>0.57489889454319487</v>
      </c>
      <c r="R20">
        <f t="shared" si="10"/>
        <v>0.36558388028804911</v>
      </c>
      <c r="S20">
        <f t="shared" si="11"/>
        <v>219.32124333333329</v>
      </c>
      <c r="T20">
        <f t="shared" si="12"/>
        <v>27.551490558505918</v>
      </c>
      <c r="U20">
        <f t="shared" si="13"/>
        <v>26.307936666666659</v>
      </c>
      <c r="V20">
        <f t="shared" si="14"/>
        <v>3.4362343676446199</v>
      </c>
      <c r="W20">
        <f t="shared" si="15"/>
        <v>77.741727629993164</v>
      </c>
      <c r="X20">
        <f t="shared" si="16"/>
        <v>2.8063499595706287</v>
      </c>
      <c r="Y20">
        <f t="shared" si="17"/>
        <v>3.6098374002276792</v>
      </c>
      <c r="Z20">
        <f t="shared" si="18"/>
        <v>0.62988440807399115</v>
      </c>
      <c r="AA20">
        <f t="shared" si="19"/>
        <v>-161.4820793394251</v>
      </c>
      <c r="AB20">
        <f t="shared" si="20"/>
        <v>109.51849899828285</v>
      </c>
      <c r="AC20">
        <f t="shared" si="21"/>
        <v>9.7170846745072588</v>
      </c>
      <c r="AD20">
        <f t="shared" si="22"/>
        <v>177.07474766669827</v>
      </c>
      <c r="AE20">
        <f t="shared" si="23"/>
        <v>5.2900578854241003</v>
      </c>
      <c r="AF20">
        <f t="shared" si="24"/>
        <v>3.6617251550890044</v>
      </c>
      <c r="AG20">
        <f t="shared" si="25"/>
        <v>5.2911940293774835</v>
      </c>
      <c r="AH20">
        <v>127.4734797851056</v>
      </c>
      <c r="AI20">
        <v>115.33270303030299</v>
      </c>
      <c r="AJ20">
        <v>-2.0580312497601559E-5</v>
      </c>
      <c r="AK20">
        <v>84.013723895818373</v>
      </c>
      <c r="AL20">
        <f t="shared" si="26"/>
        <v>3.6657743897612347</v>
      </c>
      <c r="AM20">
        <v>19.497852845464909</v>
      </c>
      <c r="AN20">
        <v>27.518227819548841</v>
      </c>
      <c r="AO20">
        <v>4.6585478788216057E-7</v>
      </c>
      <c r="AP20">
        <v>90.508678322330766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53874.507206135633</v>
      </c>
      <c r="AV20">
        <f t="shared" si="30"/>
        <v>1154.3223333333331</v>
      </c>
      <c r="AW20">
        <f t="shared" si="31"/>
        <v>923.45786666666652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336</v>
      </c>
      <c r="BC20">
        <v>2</v>
      </c>
      <c r="BD20" t="b">
        <v>0</v>
      </c>
      <c r="BE20">
        <v>1755526687.75</v>
      </c>
      <c r="BF20">
        <v>112.1630333333333</v>
      </c>
      <c r="BG20">
        <v>124.9887333333333</v>
      </c>
      <c r="BH20">
        <v>27.50931666666667</v>
      </c>
      <c r="BI20">
        <v>19.49772333333333</v>
      </c>
      <c r="BJ20">
        <v>111.5984333333333</v>
      </c>
      <c r="BK20">
        <v>27.259863333333339</v>
      </c>
      <c r="BL20">
        <v>400.03206666666671</v>
      </c>
      <c r="BM20">
        <v>101.9145</v>
      </c>
      <c r="BN20">
        <v>0.1000281533333333</v>
      </c>
      <c r="BO20">
        <v>27.145393333333331</v>
      </c>
      <c r="BP20">
        <v>26.307936666666659</v>
      </c>
      <c r="BQ20">
        <v>999.9000000000002</v>
      </c>
      <c r="BR20">
        <v>0</v>
      </c>
      <c r="BS20">
        <v>0</v>
      </c>
      <c r="BT20">
        <v>10002.15</v>
      </c>
      <c r="BU20">
        <v>1154.3223333333331</v>
      </c>
      <c r="BV20">
        <v>13.22018666666666</v>
      </c>
      <c r="BW20">
        <v>-12.82568333333333</v>
      </c>
      <c r="BX20">
        <v>115.3358666666667</v>
      </c>
      <c r="BY20">
        <v>127.47426666666669</v>
      </c>
      <c r="BZ20">
        <v>8.0115960000000008</v>
      </c>
      <c r="CA20">
        <v>124.9887333333333</v>
      </c>
      <c r="CB20">
        <v>19.49772333333333</v>
      </c>
      <c r="CC20">
        <v>2.803599333333334</v>
      </c>
      <c r="CD20">
        <v>1.987101</v>
      </c>
      <c r="CE20">
        <v>22.905296666666668</v>
      </c>
      <c r="CF20">
        <v>17.34193333333333</v>
      </c>
      <c r="CG20">
        <v>1755525950.5</v>
      </c>
      <c r="CH20" t="s">
        <v>337</v>
      </c>
      <c r="CI20">
        <v>1755525948.5</v>
      </c>
      <c r="CJ20">
        <v>1755525950.5</v>
      </c>
      <c r="CK20">
        <v>4</v>
      </c>
      <c r="CL20">
        <v>-0.20799999999999999</v>
      </c>
      <c r="CM20">
        <v>4.4999999999999998E-2</v>
      </c>
      <c r="CN20">
        <v>3.339</v>
      </c>
      <c r="CO20">
        <v>0.249</v>
      </c>
      <c r="CP20">
        <v>450</v>
      </c>
      <c r="CQ20">
        <v>20</v>
      </c>
      <c r="CR20">
        <v>0.03</v>
      </c>
      <c r="CS20">
        <v>0.01</v>
      </c>
      <c r="CT20">
        <v>-12.8228975</v>
      </c>
      <c r="CU20">
        <v>-3.8842401500926521E-2</v>
      </c>
      <c r="CV20">
        <v>2.0726197040219389E-2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8.0080725000000008</v>
      </c>
      <c r="DC20">
        <v>5.3908592870538938E-2</v>
      </c>
      <c r="DD20">
        <v>5.2969084143488429E-3</v>
      </c>
      <c r="DE20">
        <v>1</v>
      </c>
      <c r="DF20">
        <v>2</v>
      </c>
      <c r="DG20">
        <v>2</v>
      </c>
      <c r="DH20" t="s">
        <v>346</v>
      </c>
      <c r="DI20">
        <v>3.0245500000000001</v>
      </c>
      <c r="DJ20">
        <v>2.6912699999999998</v>
      </c>
      <c r="DK20">
        <v>3.0889199999999999E-2</v>
      </c>
      <c r="DL20">
        <v>3.4549299999999998E-2</v>
      </c>
      <c r="DM20">
        <v>0.13223799999999999</v>
      </c>
      <c r="DN20">
        <v>0.104958</v>
      </c>
      <c r="DO20">
        <v>26978.799999999999</v>
      </c>
      <c r="DP20">
        <v>17438</v>
      </c>
      <c r="DQ20">
        <v>26416.3</v>
      </c>
      <c r="DR20">
        <v>16404</v>
      </c>
      <c r="DS20">
        <v>32595.1</v>
      </c>
      <c r="DT20">
        <v>19157.7</v>
      </c>
      <c r="DU20">
        <v>38486.1</v>
      </c>
      <c r="DV20">
        <v>21716.2</v>
      </c>
      <c r="DW20">
        <v>1.7995000000000001</v>
      </c>
      <c r="DX20">
        <v>2.1835399999999998</v>
      </c>
      <c r="DY20">
        <v>7.3194499999999996E-2</v>
      </c>
      <c r="DZ20">
        <v>0</v>
      </c>
      <c r="EA20">
        <v>25.110099999999999</v>
      </c>
      <c r="EB20">
        <v>999.9</v>
      </c>
      <c r="EC20">
        <v>57.9</v>
      </c>
      <c r="ED20">
        <v>32.799999999999997</v>
      </c>
      <c r="EE20">
        <v>28.3827</v>
      </c>
      <c r="EF20">
        <v>62.320999999999998</v>
      </c>
      <c r="EG20">
        <v>35.572899999999997</v>
      </c>
      <c r="EH20">
        <v>1</v>
      </c>
      <c r="EI20">
        <v>6.6577200000000003E-2</v>
      </c>
      <c r="EJ20">
        <v>1.37909E-2</v>
      </c>
      <c r="EK20">
        <v>20.342300000000002</v>
      </c>
      <c r="EL20">
        <v>5.2515499999999999</v>
      </c>
      <c r="EM20">
        <v>11.962</v>
      </c>
      <c r="EN20">
        <v>4.9896399999999996</v>
      </c>
      <c r="EO20">
        <v>3.29128</v>
      </c>
      <c r="EP20">
        <v>9999</v>
      </c>
      <c r="EQ20">
        <v>9999</v>
      </c>
      <c r="ER20">
        <v>9999</v>
      </c>
      <c r="ES20">
        <v>999.9</v>
      </c>
      <c r="ET20">
        <v>4.9726600000000003</v>
      </c>
      <c r="EU20">
        <v>1.87182</v>
      </c>
      <c r="EV20">
        <v>1.8721000000000001</v>
      </c>
      <c r="EW20">
        <v>1.87714</v>
      </c>
      <c r="EX20">
        <v>1.8712599999999999</v>
      </c>
      <c r="EY20">
        <v>1.87199</v>
      </c>
      <c r="EZ20">
        <v>1.87164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0.56499999999999995</v>
      </c>
      <c r="FP20">
        <v>0.24940000000000001</v>
      </c>
      <c r="FQ20">
        <v>-0.24908219306894219</v>
      </c>
      <c r="FR20">
        <v>7.0338458001993282E-3</v>
      </c>
      <c r="FS20">
        <v>2.3387658340725169E-6</v>
      </c>
      <c r="FT20">
        <v>-2.2874075696057401E-10</v>
      </c>
      <c r="FU20">
        <v>0.24945500000000109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12.4</v>
      </c>
      <c r="GD20">
        <v>12.4</v>
      </c>
      <c r="GE20">
        <v>0.42236299999999999</v>
      </c>
      <c r="GF20">
        <v>2.67334</v>
      </c>
      <c r="GG20">
        <v>1.7981</v>
      </c>
      <c r="GH20">
        <v>2.3742700000000001</v>
      </c>
      <c r="GI20">
        <v>1.5979000000000001</v>
      </c>
      <c r="GJ20">
        <v>2.4011200000000001</v>
      </c>
      <c r="GK20">
        <v>35.871099999999998</v>
      </c>
      <c r="GL20">
        <v>24.157499999999999</v>
      </c>
      <c r="GM20">
        <v>18</v>
      </c>
      <c r="GN20">
        <v>367.584</v>
      </c>
      <c r="GO20">
        <v>670.53099999999995</v>
      </c>
      <c r="GP20">
        <v>25.829899999999999</v>
      </c>
      <c r="GQ20">
        <v>27.939299999999999</v>
      </c>
      <c r="GR20">
        <v>30</v>
      </c>
      <c r="GS20">
        <v>27.879799999999999</v>
      </c>
      <c r="GT20">
        <v>27.9194</v>
      </c>
      <c r="GU20">
        <v>8.4073200000000003</v>
      </c>
      <c r="GV20">
        <v>37.558399999999999</v>
      </c>
      <c r="GW20">
        <v>0</v>
      </c>
      <c r="GX20">
        <v>25.83</v>
      </c>
      <c r="GY20">
        <v>125</v>
      </c>
      <c r="GZ20">
        <v>19.5</v>
      </c>
      <c r="HA20">
        <v>100.386</v>
      </c>
      <c r="HB20">
        <v>67.813599999999994</v>
      </c>
    </row>
    <row r="21" spans="1:210" x14ac:dyDescent="0.3">
      <c r="A21">
        <v>5</v>
      </c>
      <c r="B21">
        <v>1755526876</v>
      </c>
      <c r="C21">
        <v>722</v>
      </c>
      <c r="D21" t="s">
        <v>349</v>
      </c>
      <c r="E21" t="s">
        <v>350</v>
      </c>
      <c r="F21">
        <v>15</v>
      </c>
      <c r="G21">
        <v>1755526868.25</v>
      </c>
      <c r="H21">
        <f t="shared" si="0"/>
        <v>3.7550609598748759E-3</v>
      </c>
      <c r="I21">
        <f t="shared" si="1"/>
        <v>3.7550609598748759</v>
      </c>
      <c r="J21">
        <f t="shared" si="2"/>
        <v>1.6969504616995801</v>
      </c>
      <c r="K21">
        <f t="shared" si="3"/>
        <v>70.583560000000006</v>
      </c>
      <c r="L21">
        <f t="shared" si="4"/>
        <v>65.546650197324226</v>
      </c>
      <c r="M21">
        <f t="shared" si="5"/>
        <v>6.686286082090465</v>
      </c>
      <c r="N21">
        <f t="shared" si="6"/>
        <v>7.2000914376500535</v>
      </c>
      <c r="O21">
        <f t="shared" si="7"/>
        <v>0.69715651496943387</v>
      </c>
      <c r="P21">
        <f t="shared" si="8"/>
        <v>2.4259619408759621</v>
      </c>
      <c r="Q21">
        <f t="shared" si="9"/>
        <v>0.60896483065865514</v>
      </c>
      <c r="R21">
        <f t="shared" si="10"/>
        <v>0.38764622696798945</v>
      </c>
      <c r="S21">
        <f t="shared" si="11"/>
        <v>219.23320999999999</v>
      </c>
      <c r="T21">
        <f t="shared" si="12"/>
        <v>27.52485983492295</v>
      </c>
      <c r="U21">
        <f t="shared" si="13"/>
        <v>26.302309999999999</v>
      </c>
      <c r="V21">
        <f t="shared" si="14"/>
        <v>3.4350930792191852</v>
      </c>
      <c r="W21">
        <f t="shared" si="15"/>
        <v>78.255549759721177</v>
      </c>
      <c r="X21">
        <f t="shared" si="16"/>
        <v>2.825382633114828</v>
      </c>
      <c r="Y21">
        <f t="shared" si="17"/>
        <v>3.6104565641542234</v>
      </c>
      <c r="Z21">
        <f t="shared" si="18"/>
        <v>0.60971044610435721</v>
      </c>
      <c r="AA21">
        <f t="shared" si="19"/>
        <v>-165.59818833048203</v>
      </c>
      <c r="AB21">
        <f t="shared" si="20"/>
        <v>110.64790921547144</v>
      </c>
      <c r="AC21">
        <f t="shared" si="21"/>
        <v>9.8161586793522826</v>
      </c>
      <c r="AD21">
        <f t="shared" si="22"/>
        <v>174.09908956434168</v>
      </c>
      <c r="AE21">
        <f t="shared" si="23"/>
        <v>1.6969504616995801</v>
      </c>
      <c r="AF21">
        <f t="shared" si="24"/>
        <v>3.7550609598748759</v>
      </c>
      <c r="AG21">
        <f t="shared" si="25"/>
        <v>1.6969929583873056</v>
      </c>
      <c r="AH21">
        <v>76.47297325136536</v>
      </c>
      <c r="AI21">
        <v>72.579329696969708</v>
      </c>
      <c r="AJ21">
        <v>-4.1809276994519463E-5</v>
      </c>
      <c r="AK21">
        <v>84.013723895818373</v>
      </c>
      <c r="AL21">
        <f t="shared" si="26"/>
        <v>3.7579318570861306</v>
      </c>
      <c r="AM21">
        <v>19.48141108559517</v>
      </c>
      <c r="AN21">
        <v>27.70226466165413</v>
      </c>
      <c r="AO21">
        <v>5.1748203489667362E-6</v>
      </c>
      <c r="AP21">
        <v>90.508678322330766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53882.135201883269</v>
      </c>
      <c r="AV21">
        <f t="shared" si="30"/>
        <v>1153.8589999999999</v>
      </c>
      <c r="AW21">
        <f t="shared" si="31"/>
        <v>923.08719999999994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336</v>
      </c>
      <c r="BC21">
        <v>2</v>
      </c>
      <c r="BD21" t="b">
        <v>0</v>
      </c>
      <c r="BE21">
        <v>1755526868.25</v>
      </c>
      <c r="BF21">
        <v>70.583560000000006</v>
      </c>
      <c r="BG21">
        <v>74.997936666666661</v>
      </c>
      <c r="BH21">
        <v>27.697643333333339</v>
      </c>
      <c r="BI21">
        <v>19.48298333333333</v>
      </c>
      <c r="BJ21">
        <v>70.326486666666668</v>
      </c>
      <c r="BK21">
        <v>27.448196666666661</v>
      </c>
      <c r="BL21">
        <v>400.0103666666667</v>
      </c>
      <c r="BM21">
        <v>101.9081</v>
      </c>
      <c r="BN21">
        <v>9.9951700000000018E-2</v>
      </c>
      <c r="BO21">
        <v>27.14831666666667</v>
      </c>
      <c r="BP21">
        <v>26.302309999999999</v>
      </c>
      <c r="BQ21">
        <v>999.9000000000002</v>
      </c>
      <c r="BR21">
        <v>0</v>
      </c>
      <c r="BS21">
        <v>0</v>
      </c>
      <c r="BT21">
        <v>10004.38333333333</v>
      </c>
      <c r="BU21">
        <v>1153.8589999999999</v>
      </c>
      <c r="BV21">
        <v>13.181633333333339</v>
      </c>
      <c r="BW21">
        <v>-4.4143840000000001</v>
      </c>
      <c r="BX21">
        <v>72.59424333333331</v>
      </c>
      <c r="BY21">
        <v>76.488153333333358</v>
      </c>
      <c r="BZ21">
        <v>8.2146633333333323</v>
      </c>
      <c r="CA21">
        <v>74.997936666666661</v>
      </c>
      <c r="CB21">
        <v>19.48298333333333</v>
      </c>
      <c r="CC21">
        <v>2.8226123333333342</v>
      </c>
      <c r="CD21">
        <v>1.985472666666666</v>
      </c>
      <c r="CE21">
        <v>23.016923333333331</v>
      </c>
      <c r="CF21">
        <v>17.32895666666667</v>
      </c>
      <c r="CG21">
        <v>1755525950.5</v>
      </c>
      <c r="CH21" t="s">
        <v>337</v>
      </c>
      <c r="CI21">
        <v>1755525948.5</v>
      </c>
      <c r="CJ21">
        <v>1755525950.5</v>
      </c>
      <c r="CK21">
        <v>4</v>
      </c>
      <c r="CL21">
        <v>-0.20799999999999999</v>
      </c>
      <c r="CM21">
        <v>4.4999999999999998E-2</v>
      </c>
      <c r="CN21">
        <v>3.339</v>
      </c>
      <c r="CO21">
        <v>0.249</v>
      </c>
      <c r="CP21">
        <v>450</v>
      </c>
      <c r="CQ21">
        <v>20</v>
      </c>
      <c r="CR21">
        <v>0.03</v>
      </c>
      <c r="CS21">
        <v>0.01</v>
      </c>
      <c r="CT21">
        <v>-4.405599024390245</v>
      </c>
      <c r="CU21">
        <v>-6.9823693379787874E-2</v>
      </c>
      <c r="CV21">
        <v>1.3397906972482949E-2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8.2102536585365851</v>
      </c>
      <c r="DC21">
        <v>7.5926968641137182E-2</v>
      </c>
      <c r="DD21">
        <v>7.6075276443147771E-3</v>
      </c>
      <c r="DE21">
        <v>1</v>
      </c>
      <c r="DF21">
        <v>2</v>
      </c>
      <c r="DG21">
        <v>2</v>
      </c>
      <c r="DH21" t="s">
        <v>346</v>
      </c>
      <c r="DI21">
        <v>3.0244900000000001</v>
      </c>
      <c r="DJ21">
        <v>2.6914799999999999</v>
      </c>
      <c r="DK21">
        <v>1.97126E-2</v>
      </c>
      <c r="DL21">
        <v>2.1092300000000001E-2</v>
      </c>
      <c r="DM21">
        <v>0.13284000000000001</v>
      </c>
      <c r="DN21">
        <v>0.10490099999999999</v>
      </c>
      <c r="DO21">
        <v>27289.599999999999</v>
      </c>
      <c r="DP21">
        <v>17681.5</v>
      </c>
      <c r="DQ21">
        <v>26416</v>
      </c>
      <c r="DR21">
        <v>16404.400000000001</v>
      </c>
      <c r="DS21">
        <v>32570.799999999999</v>
      </c>
      <c r="DT21">
        <v>19159</v>
      </c>
      <c r="DU21">
        <v>38485.199999999997</v>
      </c>
      <c r="DV21">
        <v>21716.5</v>
      </c>
      <c r="DW21">
        <v>1.79914</v>
      </c>
      <c r="DX21">
        <v>2.1834799999999999</v>
      </c>
      <c r="DY21">
        <v>7.2723599999999999E-2</v>
      </c>
      <c r="DZ21">
        <v>0</v>
      </c>
      <c r="EA21">
        <v>25.105799999999999</v>
      </c>
      <c r="EB21">
        <v>999.9</v>
      </c>
      <c r="EC21">
        <v>57.8</v>
      </c>
      <c r="ED21">
        <v>32.799999999999997</v>
      </c>
      <c r="EE21">
        <v>28.334299999999999</v>
      </c>
      <c r="EF21">
        <v>62.731000000000002</v>
      </c>
      <c r="EG21">
        <v>35.536900000000003</v>
      </c>
      <c r="EH21">
        <v>1</v>
      </c>
      <c r="EI21">
        <v>6.6725599999999996E-2</v>
      </c>
      <c r="EJ21">
        <v>1.52593E-2</v>
      </c>
      <c r="EK21">
        <v>20.342300000000002</v>
      </c>
      <c r="EL21">
        <v>5.2491599999999998</v>
      </c>
      <c r="EM21">
        <v>11.962</v>
      </c>
      <c r="EN21">
        <v>4.9896399999999996</v>
      </c>
      <c r="EO21">
        <v>3.29122</v>
      </c>
      <c r="EP21">
        <v>9999</v>
      </c>
      <c r="EQ21">
        <v>9999</v>
      </c>
      <c r="ER21">
        <v>9999</v>
      </c>
      <c r="ES21">
        <v>999.9</v>
      </c>
      <c r="ET21">
        <v>4.9726900000000001</v>
      </c>
      <c r="EU21">
        <v>1.87181</v>
      </c>
      <c r="EV21">
        <v>1.87209</v>
      </c>
      <c r="EW21">
        <v>1.87714</v>
      </c>
      <c r="EX21">
        <v>1.8712599999999999</v>
      </c>
      <c r="EY21">
        <v>1.87199</v>
      </c>
      <c r="EZ21">
        <v>1.87164</v>
      </c>
      <c r="FA21">
        <v>1.86873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0.25700000000000001</v>
      </c>
      <c r="FP21">
        <v>0.2495</v>
      </c>
      <c r="FQ21">
        <v>-0.24908219306894219</v>
      </c>
      <c r="FR21">
        <v>7.0338458001993282E-3</v>
      </c>
      <c r="FS21">
        <v>2.3387658340725169E-6</v>
      </c>
      <c r="FT21">
        <v>-2.2874075696057401E-10</v>
      </c>
      <c r="FU21">
        <v>0.24945500000000109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15.5</v>
      </c>
      <c r="GD21">
        <v>15.4</v>
      </c>
      <c r="GE21">
        <v>0.31127899999999997</v>
      </c>
      <c r="GF21">
        <v>2.6867700000000001</v>
      </c>
      <c r="GG21">
        <v>1.79932</v>
      </c>
      <c r="GH21">
        <v>2.3754900000000001</v>
      </c>
      <c r="GI21">
        <v>1.5979000000000001</v>
      </c>
      <c r="GJ21">
        <v>2.4035600000000001</v>
      </c>
      <c r="GK21">
        <v>35.894399999999997</v>
      </c>
      <c r="GL21">
        <v>24.157499999999999</v>
      </c>
      <c r="GM21">
        <v>18</v>
      </c>
      <c r="GN21">
        <v>367.428</v>
      </c>
      <c r="GO21">
        <v>670.53800000000001</v>
      </c>
      <c r="GP21">
        <v>25.830200000000001</v>
      </c>
      <c r="GQ21">
        <v>27.941700000000001</v>
      </c>
      <c r="GR21">
        <v>30.0001</v>
      </c>
      <c r="GS21">
        <v>27.884499999999999</v>
      </c>
      <c r="GT21">
        <v>27.924099999999999</v>
      </c>
      <c r="GU21">
        <v>6.1849800000000004</v>
      </c>
      <c r="GV21">
        <v>37.558399999999999</v>
      </c>
      <c r="GW21">
        <v>0</v>
      </c>
      <c r="GX21">
        <v>25.83</v>
      </c>
      <c r="GY21">
        <v>75</v>
      </c>
      <c r="GZ21">
        <v>19.5</v>
      </c>
      <c r="HA21">
        <v>100.384</v>
      </c>
      <c r="HB21">
        <v>67.814800000000005</v>
      </c>
    </row>
    <row r="22" spans="1:210" x14ac:dyDescent="0.3">
      <c r="A22">
        <v>6</v>
      </c>
      <c r="B22">
        <v>1755527056.5</v>
      </c>
      <c r="C22">
        <v>902.5</v>
      </c>
      <c r="D22" t="s">
        <v>351</v>
      </c>
      <c r="E22" t="s">
        <v>352</v>
      </c>
      <c r="F22">
        <v>15</v>
      </c>
      <c r="G22">
        <v>1755527048.75</v>
      </c>
      <c r="H22">
        <f t="shared" si="0"/>
        <v>3.7862023105540584E-3</v>
      </c>
      <c r="I22">
        <f t="shared" si="1"/>
        <v>3.7862023105540583</v>
      </c>
      <c r="J22">
        <f t="shared" si="2"/>
        <v>28.262585506189119</v>
      </c>
      <c r="K22">
        <f t="shared" si="3"/>
        <v>383.15186666666671</v>
      </c>
      <c r="L22">
        <f t="shared" si="4"/>
        <v>309.69019401515339</v>
      </c>
      <c r="M22">
        <f t="shared" si="5"/>
        <v>31.588723694519565</v>
      </c>
      <c r="N22">
        <f t="shared" si="6"/>
        <v>39.081891138537351</v>
      </c>
      <c r="O22">
        <f t="shared" si="7"/>
        <v>0.72750817723192307</v>
      </c>
      <c r="P22">
        <f t="shared" si="8"/>
        <v>2.4253998939839021</v>
      </c>
      <c r="Q22">
        <f t="shared" si="9"/>
        <v>0.63198057251914697</v>
      </c>
      <c r="R22">
        <f t="shared" si="10"/>
        <v>0.40258007399292639</v>
      </c>
      <c r="S22">
        <f t="shared" si="11"/>
        <v>219.16284666666675</v>
      </c>
      <c r="T22">
        <f t="shared" si="12"/>
        <v>27.505178581467224</v>
      </c>
      <c r="U22">
        <f t="shared" si="13"/>
        <v>26.263100000000001</v>
      </c>
      <c r="V22">
        <f t="shared" si="14"/>
        <v>3.4271490811008136</v>
      </c>
      <c r="W22">
        <f t="shared" si="15"/>
        <v>78.561228317505439</v>
      </c>
      <c r="X22">
        <f t="shared" si="16"/>
        <v>2.8348174876981229</v>
      </c>
      <c r="Y22">
        <f t="shared" si="17"/>
        <v>3.6084179797204792</v>
      </c>
      <c r="Z22">
        <f t="shared" si="18"/>
        <v>0.5923315934026907</v>
      </c>
      <c r="AA22">
        <f t="shared" si="19"/>
        <v>-166.97152189543397</v>
      </c>
      <c r="AB22">
        <f t="shared" si="20"/>
        <v>114.4905365127623</v>
      </c>
      <c r="AC22">
        <f t="shared" si="21"/>
        <v>10.156930726983893</v>
      </c>
      <c r="AD22">
        <f t="shared" si="22"/>
        <v>176.83879201097898</v>
      </c>
      <c r="AE22">
        <f t="shared" si="23"/>
        <v>28.262585506189119</v>
      </c>
      <c r="AF22">
        <f t="shared" si="24"/>
        <v>3.7862023105540583</v>
      </c>
      <c r="AG22">
        <f t="shared" si="25"/>
        <v>28.995452768460691</v>
      </c>
      <c r="AH22">
        <v>458.94577886656731</v>
      </c>
      <c r="AI22">
        <v>393.29093333333338</v>
      </c>
      <c r="AJ22">
        <v>-0.10212611060835231</v>
      </c>
      <c r="AK22">
        <v>84.013723895818373</v>
      </c>
      <c r="AL22">
        <f t="shared" si="26"/>
        <v>3.7893314108352336</v>
      </c>
      <c r="AM22">
        <v>19.510834540124069</v>
      </c>
      <c r="AN22">
        <v>27.798828571428551</v>
      </c>
      <c r="AO22">
        <v>2.7580162081118241E-6</v>
      </c>
      <c r="AP22">
        <v>90.508678322330766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53864.872023244119</v>
      </c>
      <c r="AV22">
        <f t="shared" si="30"/>
        <v>1153.4886666666671</v>
      </c>
      <c r="AW22">
        <f t="shared" si="31"/>
        <v>922.79093333333367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336</v>
      </c>
      <c r="BC22">
        <v>2</v>
      </c>
      <c r="BD22" t="b">
        <v>0</v>
      </c>
      <c r="BE22">
        <v>1755527048.75</v>
      </c>
      <c r="BF22">
        <v>383.15186666666671</v>
      </c>
      <c r="BG22">
        <v>449.99896666666672</v>
      </c>
      <c r="BH22">
        <v>27.792043333333339</v>
      </c>
      <c r="BI22">
        <v>19.510809999999999</v>
      </c>
      <c r="BJ22">
        <v>380.3993333333334</v>
      </c>
      <c r="BK22">
        <v>27.54259999999999</v>
      </c>
      <c r="BL22">
        <v>400.04649999999998</v>
      </c>
      <c r="BM22">
        <v>101.901</v>
      </c>
      <c r="BN22">
        <v>0.10004589999999999</v>
      </c>
      <c r="BO22">
        <v>27.13869</v>
      </c>
      <c r="BP22">
        <v>26.263100000000001</v>
      </c>
      <c r="BQ22">
        <v>999.9000000000002</v>
      </c>
      <c r="BR22">
        <v>0</v>
      </c>
      <c r="BS22">
        <v>0</v>
      </c>
      <c r="BT22">
        <v>10001.433333333331</v>
      </c>
      <c r="BU22">
        <v>1153.4886666666671</v>
      </c>
      <c r="BV22">
        <v>13.18037333333333</v>
      </c>
      <c r="BW22">
        <v>-66.84711333333334</v>
      </c>
      <c r="BX22">
        <v>394.10483333333337</v>
      </c>
      <c r="BY22">
        <v>458.95353333333338</v>
      </c>
      <c r="BZ22">
        <v>8.2812406666666671</v>
      </c>
      <c r="CA22">
        <v>449.99896666666672</v>
      </c>
      <c r="CB22">
        <v>19.510809999999999</v>
      </c>
      <c r="CC22">
        <v>2.832039</v>
      </c>
      <c r="CD22">
        <v>1.9881716666666669</v>
      </c>
      <c r="CE22">
        <v>23.07203333333333</v>
      </c>
      <c r="CF22">
        <v>17.350433333333331</v>
      </c>
      <c r="CG22">
        <v>1755525950.5</v>
      </c>
      <c r="CH22" t="s">
        <v>337</v>
      </c>
      <c r="CI22">
        <v>1755525948.5</v>
      </c>
      <c r="CJ22">
        <v>1755525950.5</v>
      </c>
      <c r="CK22">
        <v>4</v>
      </c>
      <c r="CL22">
        <v>-0.20799999999999999</v>
      </c>
      <c r="CM22">
        <v>4.4999999999999998E-2</v>
      </c>
      <c r="CN22">
        <v>3.339</v>
      </c>
      <c r="CO22">
        <v>0.249</v>
      </c>
      <c r="CP22">
        <v>450</v>
      </c>
      <c r="CQ22">
        <v>20</v>
      </c>
      <c r="CR22">
        <v>0.03</v>
      </c>
      <c r="CS22">
        <v>0.01</v>
      </c>
      <c r="CT22">
        <v>-66.560050000000004</v>
      </c>
      <c r="CU22">
        <v>-6.8499309568479676</v>
      </c>
      <c r="CV22">
        <v>0.65942230929807077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8.278896249999999</v>
      </c>
      <c r="DC22">
        <v>5.9278986866765929E-2</v>
      </c>
      <c r="DD22">
        <v>5.7909289787995213E-3</v>
      </c>
      <c r="DE22">
        <v>1</v>
      </c>
      <c r="DF22">
        <v>1</v>
      </c>
      <c r="DG22">
        <v>2</v>
      </c>
      <c r="DH22" t="s">
        <v>338</v>
      </c>
      <c r="DI22">
        <v>3.0245299999999999</v>
      </c>
      <c r="DJ22">
        <v>2.6914199999999999</v>
      </c>
      <c r="DK22">
        <v>9.0115899999999999E-2</v>
      </c>
      <c r="DL22">
        <v>0.10299700000000001</v>
      </c>
      <c r="DM22">
        <v>0.13314899999999999</v>
      </c>
      <c r="DN22">
        <v>0.10499799999999999</v>
      </c>
      <c r="DO22">
        <v>25329.9</v>
      </c>
      <c r="DP22">
        <v>16202.8</v>
      </c>
      <c r="DQ22">
        <v>26415.9</v>
      </c>
      <c r="DR22">
        <v>16404.900000000001</v>
      </c>
      <c r="DS22">
        <v>32560.799999999999</v>
      </c>
      <c r="DT22">
        <v>19159.099999999999</v>
      </c>
      <c r="DU22">
        <v>38485.4</v>
      </c>
      <c r="DV22">
        <v>21717.7</v>
      </c>
      <c r="DW22">
        <v>1.7996799999999999</v>
      </c>
      <c r="DX22">
        <v>2.18404</v>
      </c>
      <c r="DY22">
        <v>7.0941400000000002E-2</v>
      </c>
      <c r="DZ22">
        <v>0</v>
      </c>
      <c r="EA22">
        <v>25.100999999999999</v>
      </c>
      <c r="EB22">
        <v>999.9</v>
      </c>
      <c r="EC22">
        <v>57.9</v>
      </c>
      <c r="ED22">
        <v>32.799999999999997</v>
      </c>
      <c r="EE22">
        <v>28.382200000000001</v>
      </c>
      <c r="EF22">
        <v>62.581000000000003</v>
      </c>
      <c r="EG22">
        <v>35.597000000000001</v>
      </c>
      <c r="EH22">
        <v>1</v>
      </c>
      <c r="EI22">
        <v>6.6829299999999994E-2</v>
      </c>
      <c r="EJ22">
        <v>8.9128499999999999E-3</v>
      </c>
      <c r="EK22">
        <v>20.342500000000001</v>
      </c>
      <c r="EL22">
        <v>5.2515499999999999</v>
      </c>
      <c r="EM22">
        <v>11.962</v>
      </c>
      <c r="EN22">
        <v>4.9896799999999999</v>
      </c>
      <c r="EO22">
        <v>3.2910599999999999</v>
      </c>
      <c r="EP22">
        <v>9999</v>
      </c>
      <c r="EQ22">
        <v>9999</v>
      </c>
      <c r="ER22">
        <v>9999</v>
      </c>
      <c r="ES22">
        <v>999.9</v>
      </c>
      <c r="ET22">
        <v>4.9726699999999999</v>
      </c>
      <c r="EU22">
        <v>1.8717999999999999</v>
      </c>
      <c r="EV22">
        <v>1.8721000000000001</v>
      </c>
      <c r="EW22">
        <v>1.87714</v>
      </c>
      <c r="EX22">
        <v>1.8712299999999999</v>
      </c>
      <c r="EY22">
        <v>1.8720000000000001</v>
      </c>
      <c r="EZ22">
        <v>1.87165</v>
      </c>
      <c r="FA22">
        <v>1.8687100000000001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2.7450000000000001</v>
      </c>
      <c r="FP22">
        <v>0.24940000000000001</v>
      </c>
      <c r="FQ22">
        <v>-0.24908219306894219</v>
      </c>
      <c r="FR22">
        <v>7.0338458001993282E-3</v>
      </c>
      <c r="FS22">
        <v>2.3387658340725169E-6</v>
      </c>
      <c r="FT22">
        <v>-2.2874075696057401E-10</v>
      </c>
      <c r="FU22">
        <v>0.24945500000000109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18.5</v>
      </c>
      <c r="GD22">
        <v>18.399999999999999</v>
      </c>
      <c r="GE22">
        <v>1.1035200000000001</v>
      </c>
      <c r="GF22">
        <v>2.65503</v>
      </c>
      <c r="GG22">
        <v>1.7981</v>
      </c>
      <c r="GH22">
        <v>2.3754900000000001</v>
      </c>
      <c r="GI22">
        <v>1.5979000000000001</v>
      </c>
      <c r="GJ22">
        <v>2.5097700000000001</v>
      </c>
      <c r="GK22">
        <v>35.894399999999997</v>
      </c>
      <c r="GL22">
        <v>24.1663</v>
      </c>
      <c r="GM22">
        <v>18</v>
      </c>
      <c r="GN22">
        <v>367.72300000000001</v>
      </c>
      <c r="GO22">
        <v>671.05600000000004</v>
      </c>
      <c r="GP22">
        <v>25.829699999999999</v>
      </c>
      <c r="GQ22">
        <v>27.944099999999999</v>
      </c>
      <c r="GR22">
        <v>30</v>
      </c>
      <c r="GS22">
        <v>27.886800000000001</v>
      </c>
      <c r="GT22">
        <v>27.926500000000001</v>
      </c>
      <c r="GU22">
        <v>22.035799999999998</v>
      </c>
      <c r="GV22">
        <v>37.558399999999999</v>
      </c>
      <c r="GW22">
        <v>0</v>
      </c>
      <c r="GX22">
        <v>25.83</v>
      </c>
      <c r="GY22">
        <v>450</v>
      </c>
      <c r="GZ22">
        <v>19.5</v>
      </c>
      <c r="HA22">
        <v>100.384</v>
      </c>
      <c r="HB22">
        <v>67.817800000000005</v>
      </c>
    </row>
    <row r="23" spans="1:210" x14ac:dyDescent="0.3">
      <c r="A23">
        <v>7</v>
      </c>
      <c r="B23">
        <v>1755527237</v>
      </c>
      <c r="C23">
        <v>1083</v>
      </c>
      <c r="D23" t="s">
        <v>353</v>
      </c>
      <c r="E23" t="s">
        <v>354</v>
      </c>
      <c r="F23">
        <v>15</v>
      </c>
      <c r="G23">
        <v>1755527229.25</v>
      </c>
      <c r="H23">
        <f t="shared" si="0"/>
        <v>3.8546087421023815E-3</v>
      </c>
      <c r="I23">
        <f t="shared" si="1"/>
        <v>3.8546087421023816</v>
      </c>
      <c r="J23">
        <f t="shared" si="2"/>
        <v>32.786075820098155</v>
      </c>
      <c r="K23">
        <f t="shared" si="3"/>
        <v>372.98509999999999</v>
      </c>
      <c r="L23">
        <f t="shared" si="4"/>
        <v>292.47929648872247</v>
      </c>
      <c r="M23">
        <f t="shared" si="5"/>
        <v>29.83155264586653</v>
      </c>
      <c r="N23">
        <f t="shared" si="6"/>
        <v>38.042776977216988</v>
      </c>
      <c r="O23">
        <f t="shared" si="7"/>
        <v>0.76984678164950993</v>
      </c>
      <c r="P23">
        <f t="shared" si="8"/>
        <v>2.4250824335565766</v>
      </c>
      <c r="Q23">
        <f t="shared" si="9"/>
        <v>0.66368144806286755</v>
      </c>
      <c r="R23">
        <f t="shared" si="10"/>
        <v>0.42318226480973375</v>
      </c>
      <c r="S23">
        <f t="shared" si="11"/>
        <v>219.12269333333344</v>
      </c>
      <c r="T23">
        <f t="shared" si="12"/>
        <v>27.479119239239196</v>
      </c>
      <c r="U23">
        <f t="shared" si="13"/>
        <v>26.24804000000001</v>
      </c>
      <c r="V23">
        <f t="shared" si="14"/>
        <v>3.4241021721586744</v>
      </c>
      <c r="W23">
        <f t="shared" si="15"/>
        <v>79.001819102809065</v>
      </c>
      <c r="X23">
        <f t="shared" si="16"/>
        <v>2.8499404245969537</v>
      </c>
      <c r="Y23">
        <f t="shared" si="17"/>
        <v>3.6074364577455893</v>
      </c>
      <c r="Z23">
        <f t="shared" si="18"/>
        <v>0.57416174756172067</v>
      </c>
      <c r="AA23">
        <f t="shared" si="19"/>
        <v>-169.98824552671502</v>
      </c>
      <c r="AB23">
        <f t="shared" si="20"/>
        <v>115.83830833782311</v>
      </c>
      <c r="AC23">
        <f t="shared" si="21"/>
        <v>10.276829779698765</v>
      </c>
      <c r="AD23">
        <f t="shared" si="22"/>
        <v>175.24958592414032</v>
      </c>
      <c r="AE23">
        <f t="shared" si="23"/>
        <v>32.786075820098155</v>
      </c>
      <c r="AF23">
        <f t="shared" si="24"/>
        <v>3.8546087421023816</v>
      </c>
      <c r="AG23">
        <f t="shared" si="25"/>
        <v>32.954374813551773</v>
      </c>
      <c r="AH23">
        <v>458.91207705741078</v>
      </c>
      <c r="AI23">
        <v>383.5269696969695</v>
      </c>
      <c r="AJ23">
        <v>-2.78737220653246E-2</v>
      </c>
      <c r="AK23">
        <v>84.013723895818373</v>
      </c>
      <c r="AL23">
        <f t="shared" si="26"/>
        <v>3.8575771281641842</v>
      </c>
      <c r="AM23">
        <v>19.511793097709958</v>
      </c>
      <c r="AN23">
        <v>27.94890015037593</v>
      </c>
      <c r="AO23">
        <v>-6.4426286262805543E-7</v>
      </c>
      <c r="AP23">
        <v>90.508678322330766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53854.945137656454</v>
      </c>
      <c r="AV23">
        <f t="shared" si="30"/>
        <v>1153.2773333333339</v>
      </c>
      <c r="AW23">
        <f t="shared" si="31"/>
        <v>922.62186666666719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336</v>
      </c>
      <c r="BC23">
        <v>2</v>
      </c>
      <c r="BD23" t="b">
        <v>0</v>
      </c>
      <c r="BE23">
        <v>1755527229.25</v>
      </c>
      <c r="BF23">
        <v>372.98509999999999</v>
      </c>
      <c r="BG23">
        <v>449.98986666666661</v>
      </c>
      <c r="BH23">
        <v>27.941843333333331</v>
      </c>
      <c r="BI23">
        <v>19.511173333333328</v>
      </c>
      <c r="BJ23">
        <v>370.32016666666669</v>
      </c>
      <c r="BK23">
        <v>27.69239</v>
      </c>
      <c r="BL23">
        <v>399.99353333333329</v>
      </c>
      <c r="BM23">
        <v>101.89546666666671</v>
      </c>
      <c r="BN23">
        <v>9.9966870000000013E-2</v>
      </c>
      <c r="BO23">
        <v>27.134053333333341</v>
      </c>
      <c r="BP23">
        <v>26.24804000000001</v>
      </c>
      <c r="BQ23">
        <v>999.9000000000002</v>
      </c>
      <c r="BR23">
        <v>0</v>
      </c>
      <c r="BS23">
        <v>0</v>
      </c>
      <c r="BT23">
        <v>9999.9166666666661</v>
      </c>
      <c r="BU23">
        <v>1153.2773333333339</v>
      </c>
      <c r="BV23">
        <v>13.170199999999999</v>
      </c>
      <c r="BW23">
        <v>-77.004793333333339</v>
      </c>
      <c r="BX23">
        <v>383.70663333333329</v>
      </c>
      <c r="BY23">
        <v>458.94443333333328</v>
      </c>
      <c r="BZ23">
        <v>8.4306790000000014</v>
      </c>
      <c r="CA23">
        <v>449.98986666666661</v>
      </c>
      <c r="CB23">
        <v>19.511173333333328</v>
      </c>
      <c r="CC23">
        <v>2.8471456666666661</v>
      </c>
      <c r="CD23">
        <v>1.988098333333334</v>
      </c>
      <c r="CE23">
        <v>23.160006666666661</v>
      </c>
      <c r="CF23">
        <v>17.349863333333339</v>
      </c>
      <c r="CG23">
        <v>1755525950.5</v>
      </c>
      <c r="CH23" t="s">
        <v>337</v>
      </c>
      <c r="CI23">
        <v>1755525948.5</v>
      </c>
      <c r="CJ23">
        <v>1755525950.5</v>
      </c>
      <c r="CK23">
        <v>4</v>
      </c>
      <c r="CL23">
        <v>-0.20799999999999999</v>
      </c>
      <c r="CM23">
        <v>4.4999999999999998E-2</v>
      </c>
      <c r="CN23">
        <v>3.339</v>
      </c>
      <c r="CO23">
        <v>0.249</v>
      </c>
      <c r="CP23">
        <v>450</v>
      </c>
      <c r="CQ23">
        <v>20</v>
      </c>
      <c r="CR23">
        <v>0.03</v>
      </c>
      <c r="CS23">
        <v>0.01</v>
      </c>
      <c r="CT23">
        <v>-76.944429268292694</v>
      </c>
      <c r="CU23">
        <v>-1.2384209059234199</v>
      </c>
      <c r="CV23">
        <v>0.1247504460012602</v>
      </c>
      <c r="CW23">
        <v>0</v>
      </c>
      <c r="CX23">
        <v>0</v>
      </c>
      <c r="CY23">
        <v>0</v>
      </c>
      <c r="CZ23">
        <v>0</v>
      </c>
      <c r="DA23">
        <v>-1</v>
      </c>
      <c r="DB23">
        <v>8.4276041463414639</v>
      </c>
      <c r="DC23">
        <v>6.1983763066199182E-2</v>
      </c>
      <c r="DD23">
        <v>6.2773219299897924E-3</v>
      </c>
      <c r="DE23">
        <v>1</v>
      </c>
      <c r="DF23">
        <v>1</v>
      </c>
      <c r="DG23">
        <v>2</v>
      </c>
      <c r="DH23" t="s">
        <v>338</v>
      </c>
      <c r="DI23">
        <v>3.0247000000000002</v>
      </c>
      <c r="DJ23">
        <v>2.69129</v>
      </c>
      <c r="DK23">
        <v>8.8373199999999999E-2</v>
      </c>
      <c r="DL23">
        <v>0.10298400000000001</v>
      </c>
      <c r="DM23">
        <v>0.13364100000000001</v>
      </c>
      <c r="DN23">
        <v>0.10498200000000001</v>
      </c>
      <c r="DO23">
        <v>25378.5</v>
      </c>
      <c r="DP23">
        <v>16202.2</v>
      </c>
      <c r="DQ23">
        <v>26416</v>
      </c>
      <c r="DR23">
        <v>16404.099999999999</v>
      </c>
      <c r="DS23">
        <v>32541.9</v>
      </c>
      <c r="DT23">
        <v>19158.599999999999</v>
      </c>
      <c r="DU23">
        <v>38485.5</v>
      </c>
      <c r="DV23">
        <v>21716.7</v>
      </c>
      <c r="DW23">
        <v>1.8005</v>
      </c>
      <c r="DX23">
        <v>2.1835599999999999</v>
      </c>
      <c r="DY23">
        <v>7.0726899999999995E-2</v>
      </c>
      <c r="DZ23">
        <v>0</v>
      </c>
      <c r="EA23">
        <v>25.095300000000002</v>
      </c>
      <c r="EB23">
        <v>999.9</v>
      </c>
      <c r="EC23">
        <v>57.9</v>
      </c>
      <c r="ED23">
        <v>32.9</v>
      </c>
      <c r="EE23">
        <v>28.549399999999999</v>
      </c>
      <c r="EF23">
        <v>62.811100000000003</v>
      </c>
      <c r="EG23">
        <v>35.472799999999999</v>
      </c>
      <c r="EH23">
        <v>1</v>
      </c>
      <c r="EI23">
        <v>6.6670699999999999E-2</v>
      </c>
      <c r="EJ23">
        <v>8.8104600000000009E-3</v>
      </c>
      <c r="EK23">
        <v>20.342099999999999</v>
      </c>
      <c r="EL23">
        <v>5.2520300000000004</v>
      </c>
      <c r="EM23">
        <v>11.962</v>
      </c>
      <c r="EN23">
        <v>4.9896799999999999</v>
      </c>
      <c r="EO23">
        <v>3.2910200000000001</v>
      </c>
      <c r="EP23">
        <v>9999</v>
      </c>
      <c r="EQ23">
        <v>9999</v>
      </c>
      <c r="ER23">
        <v>9999</v>
      </c>
      <c r="ES23">
        <v>999.9</v>
      </c>
      <c r="ET23">
        <v>4.9726600000000003</v>
      </c>
      <c r="EU23">
        <v>1.8717999999999999</v>
      </c>
      <c r="EV23">
        <v>1.8721000000000001</v>
      </c>
      <c r="EW23">
        <v>1.87714</v>
      </c>
      <c r="EX23">
        <v>1.8712599999999999</v>
      </c>
      <c r="EY23">
        <v>1.8720000000000001</v>
      </c>
      <c r="EZ23">
        <v>1.87164</v>
      </c>
      <c r="FA23">
        <v>1.8687199999999999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2.6629999999999998</v>
      </c>
      <c r="FP23">
        <v>0.24940000000000001</v>
      </c>
      <c r="FQ23">
        <v>-0.24908219306894219</v>
      </c>
      <c r="FR23">
        <v>7.0338458001993282E-3</v>
      </c>
      <c r="FS23">
        <v>2.3387658340725169E-6</v>
      </c>
      <c r="FT23">
        <v>-2.2874075696057401E-10</v>
      </c>
      <c r="FU23">
        <v>0.24945500000000109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21.5</v>
      </c>
      <c r="GD23">
        <v>21.4</v>
      </c>
      <c r="GE23">
        <v>1.10229</v>
      </c>
      <c r="GF23">
        <v>2.65625</v>
      </c>
      <c r="GG23">
        <v>1.7981</v>
      </c>
      <c r="GH23">
        <v>2.3754900000000001</v>
      </c>
      <c r="GI23">
        <v>1.5979000000000001</v>
      </c>
      <c r="GJ23">
        <v>2.4304199999999998</v>
      </c>
      <c r="GK23">
        <v>35.9178</v>
      </c>
      <c r="GL23">
        <v>24.157499999999999</v>
      </c>
      <c r="GM23">
        <v>18</v>
      </c>
      <c r="GN23">
        <v>368.14600000000002</v>
      </c>
      <c r="GO23">
        <v>670.63800000000003</v>
      </c>
      <c r="GP23">
        <v>25.829799999999999</v>
      </c>
      <c r="GQ23">
        <v>27.944099999999999</v>
      </c>
      <c r="GR23">
        <v>30.0001</v>
      </c>
      <c r="GS23">
        <v>27.886800000000001</v>
      </c>
      <c r="GT23">
        <v>27.926500000000001</v>
      </c>
      <c r="GU23">
        <v>22.033999999999999</v>
      </c>
      <c r="GV23">
        <v>37.558399999999999</v>
      </c>
      <c r="GW23">
        <v>0</v>
      </c>
      <c r="GX23">
        <v>25.83</v>
      </c>
      <c r="GY23">
        <v>450</v>
      </c>
      <c r="GZ23">
        <v>19.5</v>
      </c>
      <c r="HA23">
        <v>100.384</v>
      </c>
      <c r="HB23">
        <v>67.814599999999999</v>
      </c>
    </row>
    <row r="24" spans="1:210" x14ac:dyDescent="0.3">
      <c r="A24">
        <v>8</v>
      </c>
      <c r="B24">
        <v>1755527417.5</v>
      </c>
      <c r="C24">
        <v>1263.5</v>
      </c>
      <c r="D24" t="s">
        <v>355</v>
      </c>
      <c r="E24" t="s">
        <v>356</v>
      </c>
      <c r="F24">
        <v>15</v>
      </c>
      <c r="G24">
        <v>1755527409.75</v>
      </c>
      <c r="H24">
        <f t="shared" si="0"/>
        <v>3.9176648660099577E-3</v>
      </c>
      <c r="I24">
        <f t="shared" si="1"/>
        <v>3.9176648660099573</v>
      </c>
      <c r="J24">
        <f t="shared" si="2"/>
        <v>33.962618513392506</v>
      </c>
      <c r="K24">
        <f t="shared" si="3"/>
        <v>370.3298666666667</v>
      </c>
      <c r="L24">
        <f t="shared" si="4"/>
        <v>290.79810185751529</v>
      </c>
      <c r="M24">
        <f t="shared" si="5"/>
        <v>29.658097129361941</v>
      </c>
      <c r="N24">
        <f t="shared" si="6"/>
        <v>37.76943207450929</v>
      </c>
      <c r="O24">
        <f t="shared" si="7"/>
        <v>0.81178359469004291</v>
      </c>
      <c r="P24">
        <f t="shared" si="8"/>
        <v>2.4245392751192103</v>
      </c>
      <c r="Q24">
        <f t="shared" si="9"/>
        <v>0.69460012686966666</v>
      </c>
      <c r="R24">
        <f t="shared" si="10"/>
        <v>0.44331541623790804</v>
      </c>
      <c r="S24">
        <f t="shared" si="11"/>
        <v>219.06930333333327</v>
      </c>
      <c r="T24">
        <f t="shared" si="12"/>
        <v>27.45433340496351</v>
      </c>
      <c r="U24">
        <f t="shared" si="13"/>
        <v>26.229316666666669</v>
      </c>
      <c r="V24">
        <f t="shared" si="14"/>
        <v>3.4203174038911213</v>
      </c>
      <c r="W24">
        <f t="shared" si="15"/>
        <v>79.38142544187339</v>
      </c>
      <c r="X24">
        <f t="shared" si="16"/>
        <v>2.8628028875245537</v>
      </c>
      <c r="Y24">
        <f t="shared" si="17"/>
        <v>3.6063888643834261</v>
      </c>
      <c r="Z24">
        <f t="shared" si="18"/>
        <v>0.55751451636656757</v>
      </c>
      <c r="AA24">
        <f t="shared" si="19"/>
        <v>-172.76902059103912</v>
      </c>
      <c r="AB24">
        <f t="shared" si="20"/>
        <v>117.61270008443796</v>
      </c>
      <c r="AC24">
        <f t="shared" si="21"/>
        <v>10.43535021644905</v>
      </c>
      <c r="AD24">
        <f t="shared" si="22"/>
        <v>174.34833304318116</v>
      </c>
      <c r="AE24">
        <f t="shared" si="23"/>
        <v>33.962618513392506</v>
      </c>
      <c r="AF24">
        <f t="shared" si="24"/>
        <v>3.9176648660099573</v>
      </c>
      <c r="AG24">
        <f t="shared" si="25"/>
        <v>34.02870488185733</v>
      </c>
      <c r="AH24">
        <v>458.94701764905818</v>
      </c>
      <c r="AI24">
        <v>380.94793333333342</v>
      </c>
      <c r="AJ24">
        <v>-1.0182315903966101E-2</v>
      </c>
      <c r="AK24">
        <v>84.013723895818373</v>
      </c>
      <c r="AL24">
        <f t="shared" si="26"/>
        <v>3.9208301655450248</v>
      </c>
      <c r="AM24">
        <v>19.50045370371522</v>
      </c>
      <c r="AN24">
        <v>28.074530225563901</v>
      </c>
      <c r="AO24">
        <v>-2.9992604783433658E-7</v>
      </c>
      <c r="AP24">
        <v>90.508678322330766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53837.482719288804</v>
      </c>
      <c r="AV24">
        <f t="shared" si="30"/>
        <v>1152.996333333333</v>
      </c>
      <c r="AW24">
        <f t="shared" si="31"/>
        <v>922.39706666666643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336</v>
      </c>
      <c r="BC24">
        <v>2</v>
      </c>
      <c r="BD24" t="b">
        <v>0</v>
      </c>
      <c r="BE24">
        <v>1755527409.75</v>
      </c>
      <c r="BF24">
        <v>370.3298666666667</v>
      </c>
      <c r="BG24">
        <v>450.00896666666671</v>
      </c>
      <c r="BH24">
        <v>28.069826666666671</v>
      </c>
      <c r="BI24">
        <v>19.502633333333328</v>
      </c>
      <c r="BJ24">
        <v>367.68786666666682</v>
      </c>
      <c r="BK24">
        <v>27.82038</v>
      </c>
      <c r="BL24">
        <v>400.00580000000002</v>
      </c>
      <c r="BM24">
        <v>101.8886</v>
      </c>
      <c r="BN24">
        <v>0.10002007666666669</v>
      </c>
      <c r="BO24">
        <v>27.12910333333333</v>
      </c>
      <c r="BP24">
        <v>26.229316666666669</v>
      </c>
      <c r="BQ24">
        <v>999.9000000000002</v>
      </c>
      <c r="BR24">
        <v>0</v>
      </c>
      <c r="BS24">
        <v>0</v>
      </c>
      <c r="BT24">
        <v>9997.0666666666675</v>
      </c>
      <c r="BU24">
        <v>1152.996333333333</v>
      </c>
      <c r="BV24">
        <v>13.170199999999999</v>
      </c>
      <c r="BW24">
        <v>-79.67910999999998</v>
      </c>
      <c r="BX24">
        <v>381.02519999999993</v>
      </c>
      <c r="BY24">
        <v>458.9598666666667</v>
      </c>
      <c r="BZ24">
        <v>8.5672073333333323</v>
      </c>
      <c r="CA24">
        <v>450.00896666666671</v>
      </c>
      <c r="CB24">
        <v>19.502633333333328</v>
      </c>
      <c r="CC24">
        <v>2.859996333333334</v>
      </c>
      <c r="CD24">
        <v>1.987095333333333</v>
      </c>
      <c r="CE24">
        <v>23.234516666666661</v>
      </c>
      <c r="CF24">
        <v>17.341883333333339</v>
      </c>
      <c r="CG24">
        <v>1755525950.5</v>
      </c>
      <c r="CH24" t="s">
        <v>337</v>
      </c>
      <c r="CI24">
        <v>1755525948.5</v>
      </c>
      <c r="CJ24">
        <v>1755525950.5</v>
      </c>
      <c r="CK24">
        <v>4</v>
      </c>
      <c r="CL24">
        <v>-0.20799999999999999</v>
      </c>
      <c r="CM24">
        <v>4.4999999999999998E-2</v>
      </c>
      <c r="CN24">
        <v>3.339</v>
      </c>
      <c r="CO24">
        <v>0.249</v>
      </c>
      <c r="CP24">
        <v>450</v>
      </c>
      <c r="CQ24">
        <v>20</v>
      </c>
      <c r="CR24">
        <v>0.03</v>
      </c>
      <c r="CS24">
        <v>0.01</v>
      </c>
      <c r="CT24">
        <v>-79.632742499999992</v>
      </c>
      <c r="CU24">
        <v>-0.6802435272043903</v>
      </c>
      <c r="CV24">
        <v>7.8048170662418495E-2</v>
      </c>
      <c r="CW24">
        <v>0</v>
      </c>
      <c r="CX24">
        <v>0</v>
      </c>
      <c r="CY24">
        <v>0</v>
      </c>
      <c r="CZ24">
        <v>0</v>
      </c>
      <c r="DA24">
        <v>-1</v>
      </c>
      <c r="DB24">
        <v>8.5639677499999998</v>
      </c>
      <c r="DC24">
        <v>5.4746904315178653E-2</v>
      </c>
      <c r="DD24">
        <v>5.3874137986143194E-3</v>
      </c>
      <c r="DE24">
        <v>1</v>
      </c>
      <c r="DF24">
        <v>1</v>
      </c>
      <c r="DG24">
        <v>2</v>
      </c>
      <c r="DH24" t="s">
        <v>338</v>
      </c>
      <c r="DI24">
        <v>3.0245600000000001</v>
      </c>
      <c r="DJ24">
        <v>2.6914199999999999</v>
      </c>
      <c r="DK24">
        <v>8.7901199999999999E-2</v>
      </c>
      <c r="DL24">
        <v>0.10298</v>
      </c>
      <c r="DM24">
        <v>0.134051</v>
      </c>
      <c r="DN24">
        <v>0.10495400000000001</v>
      </c>
      <c r="DO24">
        <v>25390.6</v>
      </c>
      <c r="DP24">
        <v>16203</v>
      </c>
      <c r="DQ24">
        <v>26415</v>
      </c>
      <c r="DR24">
        <v>16404.8</v>
      </c>
      <c r="DS24">
        <v>32524.799999999999</v>
      </c>
      <c r="DT24">
        <v>19160</v>
      </c>
      <c r="DU24">
        <v>38484</v>
      </c>
      <c r="DV24">
        <v>21717.7</v>
      </c>
      <c r="DW24">
        <v>1.8001799999999999</v>
      </c>
      <c r="DX24">
        <v>2.1838799999999998</v>
      </c>
      <c r="DY24">
        <v>6.9564600000000004E-2</v>
      </c>
      <c r="DZ24">
        <v>0</v>
      </c>
      <c r="EA24">
        <v>25.092600000000001</v>
      </c>
      <c r="EB24">
        <v>999.9</v>
      </c>
      <c r="EC24">
        <v>57.8</v>
      </c>
      <c r="ED24">
        <v>32.9</v>
      </c>
      <c r="EE24">
        <v>28.504200000000001</v>
      </c>
      <c r="EF24">
        <v>62.781100000000002</v>
      </c>
      <c r="EG24">
        <v>35.428699999999999</v>
      </c>
      <c r="EH24">
        <v>1</v>
      </c>
      <c r="EI24">
        <v>6.7164600000000005E-2</v>
      </c>
      <c r="EJ24">
        <v>9.04575E-3</v>
      </c>
      <c r="EK24">
        <v>20.341999999999999</v>
      </c>
      <c r="EL24">
        <v>5.2532300000000003</v>
      </c>
      <c r="EM24">
        <v>11.962</v>
      </c>
      <c r="EN24">
        <v>4.9897200000000002</v>
      </c>
      <c r="EO24">
        <v>3.2911000000000001</v>
      </c>
      <c r="EP24">
        <v>9999</v>
      </c>
      <c r="EQ24">
        <v>9999</v>
      </c>
      <c r="ER24">
        <v>9999</v>
      </c>
      <c r="ES24">
        <v>999.9</v>
      </c>
      <c r="ET24">
        <v>4.9726699999999999</v>
      </c>
      <c r="EU24">
        <v>1.8717999999999999</v>
      </c>
      <c r="EV24">
        <v>1.8721000000000001</v>
      </c>
      <c r="EW24">
        <v>1.87714</v>
      </c>
      <c r="EX24">
        <v>1.8712200000000001</v>
      </c>
      <c r="EY24">
        <v>1.8720000000000001</v>
      </c>
      <c r="EZ24">
        <v>1.87164</v>
      </c>
      <c r="FA24">
        <v>1.86873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2.6419999999999999</v>
      </c>
      <c r="FP24">
        <v>0.24940000000000001</v>
      </c>
      <c r="FQ24">
        <v>-0.24908219306894219</v>
      </c>
      <c r="FR24">
        <v>7.0338458001993282E-3</v>
      </c>
      <c r="FS24">
        <v>2.3387658340725169E-6</v>
      </c>
      <c r="FT24">
        <v>-2.2874075696057401E-10</v>
      </c>
      <c r="FU24">
        <v>0.24945500000000109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24.5</v>
      </c>
      <c r="GD24">
        <v>24.4</v>
      </c>
      <c r="GE24">
        <v>1.10229</v>
      </c>
      <c r="GF24">
        <v>2.6355</v>
      </c>
      <c r="GG24">
        <v>1.7981</v>
      </c>
      <c r="GH24">
        <v>2.3767100000000001</v>
      </c>
      <c r="GI24">
        <v>1.5979000000000001</v>
      </c>
      <c r="GJ24">
        <v>2.5781200000000002</v>
      </c>
      <c r="GK24">
        <v>35.9178</v>
      </c>
      <c r="GL24">
        <v>24.1663</v>
      </c>
      <c r="GM24">
        <v>18</v>
      </c>
      <c r="GN24">
        <v>367.99700000000001</v>
      </c>
      <c r="GO24">
        <v>670.94600000000003</v>
      </c>
      <c r="GP24">
        <v>25.829899999999999</v>
      </c>
      <c r="GQ24">
        <v>27.946400000000001</v>
      </c>
      <c r="GR24">
        <v>30.0001</v>
      </c>
      <c r="GS24">
        <v>27.889199999999999</v>
      </c>
      <c r="GT24">
        <v>27.928899999999999</v>
      </c>
      <c r="GU24">
        <v>22.035499999999999</v>
      </c>
      <c r="GV24">
        <v>37.558399999999999</v>
      </c>
      <c r="GW24">
        <v>0</v>
      </c>
      <c r="GX24">
        <v>25.83</v>
      </c>
      <c r="GY24">
        <v>450</v>
      </c>
      <c r="GZ24">
        <v>19.5</v>
      </c>
      <c r="HA24">
        <v>100.38</v>
      </c>
      <c r="HB24">
        <v>67.817599999999999</v>
      </c>
    </row>
    <row r="25" spans="1:210" x14ac:dyDescent="0.3">
      <c r="A25">
        <v>9</v>
      </c>
      <c r="B25">
        <v>1755527598.0999999</v>
      </c>
      <c r="C25">
        <v>1444.099999904633</v>
      </c>
      <c r="D25" t="s">
        <v>357</v>
      </c>
      <c r="E25" t="s">
        <v>358</v>
      </c>
      <c r="F25">
        <v>15</v>
      </c>
      <c r="G25">
        <v>1755527590.099999</v>
      </c>
      <c r="H25">
        <f t="shared" si="0"/>
        <v>3.9622788644792959E-3</v>
      </c>
      <c r="I25">
        <f t="shared" si="1"/>
        <v>3.9622788644792961</v>
      </c>
      <c r="J25">
        <f t="shared" si="2"/>
        <v>41.16247117812015</v>
      </c>
      <c r="K25">
        <f t="shared" si="3"/>
        <v>502.90206451612897</v>
      </c>
      <c r="L25">
        <f t="shared" si="4"/>
        <v>408.76195151962696</v>
      </c>
      <c r="M25">
        <f t="shared" si="5"/>
        <v>41.686969406242135</v>
      </c>
      <c r="N25">
        <f t="shared" si="6"/>
        <v>51.287706450861421</v>
      </c>
      <c r="O25">
        <f t="shared" si="7"/>
        <v>0.83933630978922757</v>
      </c>
      <c r="P25">
        <f t="shared" si="8"/>
        <v>2.4255259579548603</v>
      </c>
      <c r="Q25">
        <f t="shared" si="9"/>
        <v>0.71472104330050457</v>
      </c>
      <c r="R25">
        <f t="shared" si="10"/>
        <v>0.4564324743357715</v>
      </c>
      <c r="S25">
        <f t="shared" si="11"/>
        <v>219.0398451612904</v>
      </c>
      <c r="T25">
        <f t="shared" si="12"/>
        <v>27.43738411757122</v>
      </c>
      <c r="U25">
        <f t="shared" si="13"/>
        <v>26.227038709677419</v>
      </c>
      <c r="V25">
        <f t="shared" si="14"/>
        <v>3.4198571829422222</v>
      </c>
      <c r="W25">
        <f t="shared" si="15"/>
        <v>79.647349204621804</v>
      </c>
      <c r="X25">
        <f t="shared" si="16"/>
        <v>2.8719201481114212</v>
      </c>
      <c r="Y25">
        <f t="shared" si="17"/>
        <v>3.6057950161444525</v>
      </c>
      <c r="Z25">
        <f t="shared" si="18"/>
        <v>0.54793703483080103</v>
      </c>
      <c r="AA25">
        <f t="shared" si="19"/>
        <v>-174.73649792353694</v>
      </c>
      <c r="AB25">
        <f t="shared" si="20"/>
        <v>117.59144074024455</v>
      </c>
      <c r="AC25">
        <f t="shared" si="21"/>
        <v>10.428954262876605</v>
      </c>
      <c r="AD25">
        <f t="shared" si="22"/>
        <v>172.32374224087459</v>
      </c>
      <c r="AE25">
        <f t="shared" si="23"/>
        <v>41.16247117812015</v>
      </c>
      <c r="AF25">
        <f t="shared" si="24"/>
        <v>3.9622788644792961</v>
      </c>
      <c r="AG25">
        <f t="shared" si="25"/>
        <v>41.376826563752473</v>
      </c>
      <c r="AH25">
        <v>611.9337976981808</v>
      </c>
      <c r="AI25">
        <v>517.25907272727284</v>
      </c>
      <c r="AJ25">
        <v>-3.1744911262107163E-2</v>
      </c>
      <c r="AK25">
        <v>84.013723895818373</v>
      </c>
      <c r="AL25">
        <f t="shared" si="26"/>
        <v>3.9629403685072973</v>
      </c>
      <c r="AM25">
        <v>19.49579210248951</v>
      </c>
      <c r="AN25">
        <v>28.161104511278179</v>
      </c>
      <c r="AO25">
        <v>-2.5817164762543137E-7</v>
      </c>
      <c r="AP25">
        <v>90.508678322330766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53870.942974654841</v>
      </c>
      <c r="AV25">
        <f t="shared" si="30"/>
        <v>1152.841290322581</v>
      </c>
      <c r="AW25">
        <f t="shared" si="31"/>
        <v>922.27303225806486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336</v>
      </c>
      <c r="BC25">
        <v>2</v>
      </c>
      <c r="BD25" t="b">
        <v>0</v>
      </c>
      <c r="BE25">
        <v>1755527590.099999</v>
      </c>
      <c r="BF25">
        <v>502.90206451612897</v>
      </c>
      <c r="BG25">
        <v>599.99877419354834</v>
      </c>
      <c r="BH25">
        <v>28.160638709677421</v>
      </c>
      <c r="BI25">
        <v>19.496770967741931</v>
      </c>
      <c r="BJ25">
        <v>499.0865806451614</v>
      </c>
      <c r="BK25">
        <v>27.911187096774189</v>
      </c>
      <c r="BL25">
        <v>400.00941935483871</v>
      </c>
      <c r="BM25">
        <v>101.8835161290322</v>
      </c>
      <c r="BN25">
        <v>9.9971451612903231E-2</v>
      </c>
      <c r="BO25">
        <v>27.126296774193548</v>
      </c>
      <c r="BP25">
        <v>26.227038709677419</v>
      </c>
      <c r="BQ25">
        <v>999.90000000000032</v>
      </c>
      <c r="BR25">
        <v>0</v>
      </c>
      <c r="BS25">
        <v>0</v>
      </c>
      <c r="BT25">
        <v>10003.967741935479</v>
      </c>
      <c r="BU25">
        <v>1152.841290322581</v>
      </c>
      <c r="BV25">
        <v>13.173906451612901</v>
      </c>
      <c r="BW25">
        <v>-97.096603225806447</v>
      </c>
      <c r="BX25">
        <v>517.47454838709677</v>
      </c>
      <c r="BY25">
        <v>611.92932258064513</v>
      </c>
      <c r="BZ25">
        <v>8.6638690322580647</v>
      </c>
      <c r="CA25">
        <v>599.99877419354834</v>
      </c>
      <c r="CB25">
        <v>19.496770967741931</v>
      </c>
      <c r="CC25">
        <v>2.869103548387097</v>
      </c>
      <c r="CD25">
        <v>1.9863983870967741</v>
      </c>
      <c r="CE25">
        <v>23.287158064516131</v>
      </c>
      <c r="CF25">
        <v>17.336335483870961</v>
      </c>
      <c r="CG25">
        <v>1755525950.5</v>
      </c>
      <c r="CH25" t="s">
        <v>337</v>
      </c>
      <c r="CI25">
        <v>1755525948.5</v>
      </c>
      <c r="CJ25">
        <v>1755525950.5</v>
      </c>
      <c r="CK25">
        <v>4</v>
      </c>
      <c r="CL25">
        <v>-0.20799999999999999</v>
      </c>
      <c r="CM25">
        <v>4.4999999999999998E-2</v>
      </c>
      <c r="CN25">
        <v>3.339</v>
      </c>
      <c r="CO25">
        <v>0.249</v>
      </c>
      <c r="CP25">
        <v>450</v>
      </c>
      <c r="CQ25">
        <v>20</v>
      </c>
      <c r="CR25">
        <v>0.03</v>
      </c>
      <c r="CS25">
        <v>0.01</v>
      </c>
      <c r="CT25">
        <v>-97.022697560975615</v>
      </c>
      <c r="CU25">
        <v>-1.7958292682927131</v>
      </c>
      <c r="CV25">
        <v>0.18545391576372849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8.6614263414634163</v>
      </c>
      <c r="DC25">
        <v>4.6222578397223123E-2</v>
      </c>
      <c r="DD25">
        <v>5.019180652256921E-3</v>
      </c>
      <c r="DE25">
        <v>1</v>
      </c>
      <c r="DF25">
        <v>1</v>
      </c>
      <c r="DG25">
        <v>2</v>
      </c>
      <c r="DH25" t="s">
        <v>338</v>
      </c>
      <c r="DI25">
        <v>3.0245000000000002</v>
      </c>
      <c r="DJ25">
        <v>2.6912099999999999</v>
      </c>
      <c r="DK25">
        <v>0.11053499999999999</v>
      </c>
      <c r="DL25">
        <v>0.12664300000000001</v>
      </c>
      <c r="DM25">
        <v>0.13433200000000001</v>
      </c>
      <c r="DN25">
        <v>0.104919</v>
      </c>
      <c r="DO25">
        <v>24760</v>
      </c>
      <c r="DP25">
        <v>15774.6</v>
      </c>
      <c r="DQ25">
        <v>26414.400000000001</v>
      </c>
      <c r="DR25">
        <v>16403.8</v>
      </c>
      <c r="DS25">
        <v>32513.7</v>
      </c>
      <c r="DT25">
        <v>19160.3</v>
      </c>
      <c r="DU25">
        <v>38482.9</v>
      </c>
      <c r="DV25">
        <v>21716.7</v>
      </c>
      <c r="DW25">
        <v>1.8002800000000001</v>
      </c>
      <c r="DX25">
        <v>2.1839400000000002</v>
      </c>
      <c r="DY25">
        <v>6.8819500000000006E-2</v>
      </c>
      <c r="DZ25">
        <v>0</v>
      </c>
      <c r="EA25">
        <v>25.0931</v>
      </c>
      <c r="EB25">
        <v>999.9</v>
      </c>
      <c r="EC25">
        <v>57.7</v>
      </c>
      <c r="ED25">
        <v>32.9</v>
      </c>
      <c r="EE25">
        <v>28.453099999999999</v>
      </c>
      <c r="EF25">
        <v>62.476599999999998</v>
      </c>
      <c r="EG25">
        <v>35.4407</v>
      </c>
      <c r="EH25">
        <v>1</v>
      </c>
      <c r="EI25">
        <v>6.71789E-2</v>
      </c>
      <c r="EJ25">
        <v>1.52745E-2</v>
      </c>
      <c r="EK25">
        <v>20.341899999999999</v>
      </c>
      <c r="EL25">
        <v>5.2528699999999997</v>
      </c>
      <c r="EM25">
        <v>11.962</v>
      </c>
      <c r="EN25">
        <v>4.9897200000000002</v>
      </c>
      <c r="EO25">
        <v>3.2911600000000001</v>
      </c>
      <c r="EP25">
        <v>9999</v>
      </c>
      <c r="EQ25">
        <v>9999</v>
      </c>
      <c r="ER25">
        <v>9999</v>
      </c>
      <c r="ES25">
        <v>999.9</v>
      </c>
      <c r="ET25">
        <v>4.9726900000000001</v>
      </c>
      <c r="EU25">
        <v>1.87181</v>
      </c>
      <c r="EV25">
        <v>1.8721000000000001</v>
      </c>
      <c r="EW25">
        <v>1.87714</v>
      </c>
      <c r="EX25">
        <v>1.87127</v>
      </c>
      <c r="EY25">
        <v>1.87201</v>
      </c>
      <c r="EZ25">
        <v>1.87165</v>
      </c>
      <c r="FA25">
        <v>1.86873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3.8140000000000001</v>
      </c>
      <c r="FP25">
        <v>0.24940000000000001</v>
      </c>
      <c r="FQ25">
        <v>-0.24908219306894219</v>
      </c>
      <c r="FR25">
        <v>7.0338458001993282E-3</v>
      </c>
      <c r="FS25">
        <v>2.3387658340725169E-6</v>
      </c>
      <c r="FT25">
        <v>-2.2874075696057401E-10</v>
      </c>
      <c r="FU25">
        <v>0.24945500000000109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27.5</v>
      </c>
      <c r="GD25">
        <v>27.5</v>
      </c>
      <c r="GE25">
        <v>1.38916</v>
      </c>
      <c r="GF25">
        <v>2.6293899999999999</v>
      </c>
      <c r="GG25">
        <v>1.7981</v>
      </c>
      <c r="GH25">
        <v>2.3754900000000001</v>
      </c>
      <c r="GI25">
        <v>1.5979000000000001</v>
      </c>
      <c r="GJ25">
        <v>2.5402800000000001</v>
      </c>
      <c r="GK25">
        <v>35.9178</v>
      </c>
      <c r="GL25">
        <v>24.1663</v>
      </c>
      <c r="GM25">
        <v>18</v>
      </c>
      <c r="GN25">
        <v>368.06400000000002</v>
      </c>
      <c r="GO25">
        <v>671.02700000000004</v>
      </c>
      <c r="GP25">
        <v>25.830100000000002</v>
      </c>
      <c r="GQ25">
        <v>27.946400000000001</v>
      </c>
      <c r="GR25">
        <v>30.0001</v>
      </c>
      <c r="GS25">
        <v>27.891500000000001</v>
      </c>
      <c r="GT25">
        <v>27.9313</v>
      </c>
      <c r="GU25">
        <v>27.773900000000001</v>
      </c>
      <c r="GV25">
        <v>37.558399999999999</v>
      </c>
      <c r="GW25">
        <v>0</v>
      </c>
      <c r="GX25">
        <v>25.83</v>
      </c>
      <c r="GY25">
        <v>600</v>
      </c>
      <c r="GZ25">
        <v>19.5</v>
      </c>
      <c r="HA25">
        <v>100.378</v>
      </c>
      <c r="HB25">
        <v>67.8142</v>
      </c>
    </row>
    <row r="26" spans="1:210" x14ac:dyDescent="0.3">
      <c r="A26">
        <v>10</v>
      </c>
      <c r="B26">
        <v>1755527778.5999999</v>
      </c>
      <c r="C26">
        <v>1624.599999904633</v>
      </c>
      <c r="D26" t="s">
        <v>359</v>
      </c>
      <c r="E26" t="s">
        <v>360</v>
      </c>
      <c r="F26">
        <v>15</v>
      </c>
      <c r="G26">
        <v>1755527770.849999</v>
      </c>
      <c r="H26">
        <f t="shared" si="0"/>
        <v>3.9903948745759607E-3</v>
      </c>
      <c r="I26">
        <f t="shared" si="1"/>
        <v>3.9903948745759608</v>
      </c>
      <c r="J26">
        <f t="shared" si="2"/>
        <v>46.886786396338721</v>
      </c>
      <c r="K26">
        <f t="shared" si="3"/>
        <v>787.4550333333334</v>
      </c>
      <c r="L26">
        <f t="shared" si="4"/>
        <v>681.11560465716047</v>
      </c>
      <c r="M26">
        <f t="shared" si="5"/>
        <v>69.463948244530769</v>
      </c>
      <c r="N26">
        <f t="shared" si="6"/>
        <v>80.309033160229887</v>
      </c>
      <c r="O26">
        <f t="shared" si="7"/>
        <v>0.86490779774966853</v>
      </c>
      <c r="P26">
        <f t="shared" si="8"/>
        <v>2.4249244695422574</v>
      </c>
      <c r="Q26">
        <f t="shared" si="9"/>
        <v>0.73315569995091534</v>
      </c>
      <c r="R26">
        <f t="shared" si="10"/>
        <v>0.46847040077144952</v>
      </c>
      <c r="S26">
        <f t="shared" si="11"/>
        <v>218.97709</v>
      </c>
      <c r="T26">
        <f t="shared" si="12"/>
        <v>27.425096528868458</v>
      </c>
      <c r="U26">
        <f t="shared" si="13"/>
        <v>26.213303333333329</v>
      </c>
      <c r="V26">
        <f t="shared" si="14"/>
        <v>3.417083338850313</v>
      </c>
      <c r="W26">
        <f t="shared" si="15"/>
        <v>79.86246164486991</v>
      </c>
      <c r="X26">
        <f t="shared" si="16"/>
        <v>2.8791342905464172</v>
      </c>
      <c r="Y26">
        <f t="shared" si="17"/>
        <v>3.6051158845431894</v>
      </c>
      <c r="Z26">
        <f t="shared" si="18"/>
        <v>0.53794904830389578</v>
      </c>
      <c r="AA26">
        <f t="shared" si="19"/>
        <v>-175.97641396879987</v>
      </c>
      <c r="AB26">
        <f t="shared" si="20"/>
        <v>118.93827510071942</v>
      </c>
      <c r="AC26">
        <f t="shared" si="21"/>
        <v>10.550124491561794</v>
      </c>
      <c r="AD26">
        <f t="shared" si="22"/>
        <v>172.48907562348137</v>
      </c>
      <c r="AE26">
        <f t="shared" si="23"/>
        <v>46.886786396338721</v>
      </c>
      <c r="AF26">
        <f t="shared" si="24"/>
        <v>3.9903948745759608</v>
      </c>
      <c r="AG26">
        <f t="shared" si="25"/>
        <v>47.020089536681418</v>
      </c>
      <c r="AH26">
        <v>917.92256333634668</v>
      </c>
      <c r="AI26">
        <v>810.24759393939382</v>
      </c>
      <c r="AJ26">
        <v>-2.4828770361767571E-2</v>
      </c>
      <c r="AK26">
        <v>84.013723895818373</v>
      </c>
      <c r="AL26">
        <f t="shared" si="26"/>
        <v>3.9917320190400711</v>
      </c>
      <c r="AM26">
        <v>19.506679264247602</v>
      </c>
      <c r="AN26">
        <v>28.233515037593961</v>
      </c>
      <c r="AO26">
        <v>-3.739348935774334E-7</v>
      </c>
      <c r="AP26">
        <v>90.508678322330766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53851.404502232384</v>
      </c>
      <c r="AV26">
        <f t="shared" si="30"/>
        <v>1152.511</v>
      </c>
      <c r="AW26">
        <f t="shared" si="31"/>
        <v>922.00880000000006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336</v>
      </c>
      <c r="BC26">
        <v>2</v>
      </c>
      <c r="BD26" t="b">
        <v>0</v>
      </c>
      <c r="BE26">
        <v>1755527770.849999</v>
      </c>
      <c r="BF26">
        <v>787.4550333333334</v>
      </c>
      <c r="BG26">
        <v>900.00763333333339</v>
      </c>
      <c r="BH26">
        <v>28.23080666666667</v>
      </c>
      <c r="BI26">
        <v>19.506873333333331</v>
      </c>
      <c r="BJ26">
        <v>780.89406666666684</v>
      </c>
      <c r="BK26">
        <v>27.981353333333331</v>
      </c>
      <c r="BL26">
        <v>400.04529999999988</v>
      </c>
      <c r="BM26">
        <v>101.8855333333334</v>
      </c>
      <c r="BN26">
        <v>0.10001474333333341</v>
      </c>
      <c r="BO26">
        <v>27.123086666666669</v>
      </c>
      <c r="BP26">
        <v>26.213303333333329</v>
      </c>
      <c r="BQ26">
        <v>999.9000000000002</v>
      </c>
      <c r="BR26">
        <v>0</v>
      </c>
      <c r="BS26">
        <v>0</v>
      </c>
      <c r="BT26">
        <v>9999.8666666666668</v>
      </c>
      <c r="BU26">
        <v>1152.511</v>
      </c>
      <c r="BV26">
        <v>13.170199999999999</v>
      </c>
      <c r="BW26">
        <v>-112.5526</v>
      </c>
      <c r="BX26">
        <v>810.3312333333331</v>
      </c>
      <c r="BY26">
        <v>917.91316666666671</v>
      </c>
      <c r="BZ26">
        <v>8.7239403333333332</v>
      </c>
      <c r="CA26">
        <v>900.00763333333339</v>
      </c>
      <c r="CB26">
        <v>19.506873333333331</v>
      </c>
      <c r="CC26">
        <v>2.8763109999999998</v>
      </c>
      <c r="CD26">
        <v>1.9874666666666669</v>
      </c>
      <c r="CE26">
        <v>23.328696666666669</v>
      </c>
      <c r="CF26">
        <v>17.344836666666669</v>
      </c>
      <c r="CG26">
        <v>1755525950.5</v>
      </c>
      <c r="CH26" t="s">
        <v>337</v>
      </c>
      <c r="CI26">
        <v>1755525948.5</v>
      </c>
      <c r="CJ26">
        <v>1755525950.5</v>
      </c>
      <c r="CK26">
        <v>4</v>
      </c>
      <c r="CL26">
        <v>-0.20799999999999999</v>
      </c>
      <c r="CM26">
        <v>4.4999999999999998E-2</v>
      </c>
      <c r="CN26">
        <v>3.339</v>
      </c>
      <c r="CO26">
        <v>0.249</v>
      </c>
      <c r="CP26">
        <v>450</v>
      </c>
      <c r="CQ26">
        <v>20</v>
      </c>
      <c r="CR26">
        <v>0.03</v>
      </c>
      <c r="CS26">
        <v>0.01</v>
      </c>
      <c r="CT26">
        <v>-112.5023170731707</v>
      </c>
      <c r="CU26">
        <v>-0.92015331010480561</v>
      </c>
      <c r="CV26">
        <v>0.1023993709547151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8.7235653658536592</v>
      </c>
      <c r="DC26">
        <v>8.8193728223055837E-3</v>
      </c>
      <c r="DD26">
        <v>1.466412741886052E-3</v>
      </c>
      <c r="DE26">
        <v>1</v>
      </c>
      <c r="DF26">
        <v>1</v>
      </c>
      <c r="DG26">
        <v>2</v>
      </c>
      <c r="DH26" t="s">
        <v>338</v>
      </c>
      <c r="DI26">
        <v>3.0246300000000002</v>
      </c>
      <c r="DJ26">
        <v>2.6914400000000001</v>
      </c>
      <c r="DK26">
        <v>0.150697</v>
      </c>
      <c r="DL26">
        <v>0.16622600000000001</v>
      </c>
      <c r="DM26">
        <v>0.134572</v>
      </c>
      <c r="DN26">
        <v>0.10495500000000001</v>
      </c>
      <c r="DO26">
        <v>23642.5</v>
      </c>
      <c r="DP26">
        <v>15060</v>
      </c>
      <c r="DQ26">
        <v>26414.799999999999</v>
      </c>
      <c r="DR26">
        <v>16404.2</v>
      </c>
      <c r="DS26">
        <v>32505.5</v>
      </c>
      <c r="DT26">
        <v>19160.5</v>
      </c>
      <c r="DU26">
        <v>38482.9</v>
      </c>
      <c r="DV26">
        <v>21717.1</v>
      </c>
      <c r="DW26">
        <v>1.8004599999999999</v>
      </c>
      <c r="DX26">
        <v>2.18458</v>
      </c>
      <c r="DY26">
        <v>6.8235400000000002E-2</v>
      </c>
      <c r="DZ26">
        <v>0</v>
      </c>
      <c r="EA26">
        <v>25.089400000000001</v>
      </c>
      <c r="EB26">
        <v>999.9</v>
      </c>
      <c r="EC26">
        <v>57.7</v>
      </c>
      <c r="ED26">
        <v>32.9</v>
      </c>
      <c r="EE26">
        <v>28.4497</v>
      </c>
      <c r="EF26">
        <v>62.3566</v>
      </c>
      <c r="EG26">
        <v>35.468800000000002</v>
      </c>
      <c r="EH26">
        <v>1</v>
      </c>
      <c r="EI26">
        <v>6.7666699999999996E-2</v>
      </c>
      <c r="EJ26">
        <v>2.2224399999999998E-2</v>
      </c>
      <c r="EK26">
        <v>20.342300000000002</v>
      </c>
      <c r="EL26">
        <v>5.2519099999999996</v>
      </c>
      <c r="EM26">
        <v>11.962</v>
      </c>
      <c r="EN26">
        <v>4.9899199999999997</v>
      </c>
      <c r="EO26">
        <v>3.29108</v>
      </c>
      <c r="EP26">
        <v>9999</v>
      </c>
      <c r="EQ26">
        <v>9999</v>
      </c>
      <c r="ER26">
        <v>9999</v>
      </c>
      <c r="ES26">
        <v>999.9</v>
      </c>
      <c r="ET26">
        <v>4.9726900000000001</v>
      </c>
      <c r="EU26">
        <v>1.87181</v>
      </c>
      <c r="EV26">
        <v>1.8721000000000001</v>
      </c>
      <c r="EW26">
        <v>1.87714</v>
      </c>
      <c r="EX26">
        <v>1.8712500000000001</v>
      </c>
      <c r="EY26">
        <v>1.87201</v>
      </c>
      <c r="EZ26">
        <v>1.87164</v>
      </c>
      <c r="FA26">
        <v>1.86873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6.56</v>
      </c>
      <c r="FP26">
        <v>0.2495</v>
      </c>
      <c r="FQ26">
        <v>-0.24908219306894219</v>
      </c>
      <c r="FR26">
        <v>7.0338458001993282E-3</v>
      </c>
      <c r="FS26">
        <v>2.3387658340725169E-6</v>
      </c>
      <c r="FT26">
        <v>-2.2874075696057401E-10</v>
      </c>
      <c r="FU26">
        <v>0.24945500000000109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30.5</v>
      </c>
      <c r="GD26">
        <v>30.5</v>
      </c>
      <c r="GE26">
        <v>1.9323699999999999</v>
      </c>
      <c r="GF26">
        <v>2.6415999999999999</v>
      </c>
      <c r="GG26">
        <v>1.79932</v>
      </c>
      <c r="GH26">
        <v>2.3754900000000001</v>
      </c>
      <c r="GI26">
        <v>1.5979000000000001</v>
      </c>
      <c r="GJ26">
        <v>2.4011200000000001</v>
      </c>
      <c r="GK26">
        <v>35.9178</v>
      </c>
      <c r="GL26">
        <v>24.157499999999999</v>
      </c>
      <c r="GM26">
        <v>18</v>
      </c>
      <c r="GN26">
        <v>368.18299999999999</v>
      </c>
      <c r="GO26">
        <v>671.61500000000001</v>
      </c>
      <c r="GP26">
        <v>25.829799999999999</v>
      </c>
      <c r="GQ26">
        <v>27.953600000000002</v>
      </c>
      <c r="GR26">
        <v>30.0001</v>
      </c>
      <c r="GS26">
        <v>27.895600000000002</v>
      </c>
      <c r="GT26">
        <v>27.933700000000002</v>
      </c>
      <c r="GU26">
        <v>38.639600000000002</v>
      </c>
      <c r="GV26">
        <v>37.558399999999999</v>
      </c>
      <c r="GW26">
        <v>0</v>
      </c>
      <c r="GX26">
        <v>25.83</v>
      </c>
      <c r="GY26">
        <v>900</v>
      </c>
      <c r="GZ26">
        <v>19.5</v>
      </c>
      <c r="HA26">
        <v>100.378</v>
      </c>
      <c r="HB26">
        <v>67.815600000000003</v>
      </c>
    </row>
    <row r="27" spans="1:210" x14ac:dyDescent="0.3">
      <c r="A27">
        <v>11</v>
      </c>
      <c r="B27">
        <v>1755527959.0999999</v>
      </c>
      <c r="C27">
        <v>1805.099999904633</v>
      </c>
      <c r="D27" t="s">
        <v>361</v>
      </c>
      <c r="E27" t="s">
        <v>362</v>
      </c>
      <c r="F27">
        <v>15</v>
      </c>
      <c r="G27">
        <v>1755527951.349999</v>
      </c>
      <c r="H27">
        <f t="shared" si="0"/>
        <v>4.0018439674122984E-3</v>
      </c>
      <c r="I27">
        <f t="shared" si="1"/>
        <v>4.0018439674122988</v>
      </c>
      <c r="J27">
        <f t="shared" si="2"/>
        <v>47.545209857965745</v>
      </c>
      <c r="K27">
        <f t="shared" si="3"/>
        <v>1083.278</v>
      </c>
      <c r="L27">
        <f t="shared" si="4"/>
        <v>973.87249170642065</v>
      </c>
      <c r="M27">
        <f t="shared" si="5"/>
        <v>99.318311150179696</v>
      </c>
      <c r="N27">
        <f t="shared" si="6"/>
        <v>110.47579881594784</v>
      </c>
      <c r="O27">
        <f t="shared" si="7"/>
        <v>0.87288025252263768</v>
      </c>
      <c r="P27">
        <f t="shared" si="8"/>
        <v>2.4246365175780662</v>
      </c>
      <c r="Q27">
        <f t="shared" si="9"/>
        <v>0.73886395837374463</v>
      </c>
      <c r="R27">
        <f t="shared" si="10"/>
        <v>0.4722011561061859</v>
      </c>
      <c r="S27">
        <f t="shared" si="11"/>
        <v>218.94820999999999</v>
      </c>
      <c r="T27">
        <f t="shared" si="12"/>
        <v>27.416517933355532</v>
      </c>
      <c r="U27">
        <f t="shared" si="13"/>
        <v>26.2181</v>
      </c>
      <c r="V27">
        <f t="shared" si="14"/>
        <v>3.418051797040933</v>
      </c>
      <c r="W27">
        <f t="shared" si="15"/>
        <v>79.985694636350928</v>
      </c>
      <c r="X27">
        <f t="shared" si="16"/>
        <v>2.8827541890585913</v>
      </c>
      <c r="Y27">
        <f t="shared" si="17"/>
        <v>3.6040872085500051</v>
      </c>
      <c r="Z27">
        <f t="shared" si="18"/>
        <v>0.53529760798234172</v>
      </c>
      <c r="AA27">
        <f t="shared" si="19"/>
        <v>-176.48131896288237</v>
      </c>
      <c r="AB27">
        <f t="shared" si="20"/>
        <v>117.66142530592009</v>
      </c>
      <c r="AC27">
        <f t="shared" si="21"/>
        <v>10.43810019957167</v>
      </c>
      <c r="AD27">
        <f t="shared" si="22"/>
        <v>170.56641654260937</v>
      </c>
      <c r="AE27">
        <f t="shared" si="23"/>
        <v>47.545209857965745</v>
      </c>
      <c r="AF27">
        <f t="shared" si="24"/>
        <v>4.0018439674122988</v>
      </c>
      <c r="AG27">
        <f t="shared" si="25"/>
        <v>47.639445462165362</v>
      </c>
      <c r="AH27">
        <v>1223.9216020144511</v>
      </c>
      <c r="AI27">
        <v>1114.6601818181821</v>
      </c>
      <c r="AJ27">
        <v>-5.5621216690848081E-3</v>
      </c>
      <c r="AK27">
        <v>84.013723895818373</v>
      </c>
      <c r="AL27">
        <f t="shared" si="26"/>
        <v>4.0011899536261293</v>
      </c>
      <c r="AM27">
        <v>19.517955994568599</v>
      </c>
      <c r="AN27">
        <v>28.265102105263139</v>
      </c>
      <c r="AO27">
        <v>-9.0926799947789661E-7</v>
      </c>
      <c r="AP27">
        <v>90.508678322330766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53842.568128660241</v>
      </c>
      <c r="AV27">
        <f t="shared" si="30"/>
        <v>1152.3589999999999</v>
      </c>
      <c r="AW27">
        <f t="shared" si="31"/>
        <v>921.88720000000001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336</v>
      </c>
      <c r="BC27">
        <v>2</v>
      </c>
      <c r="BD27" t="b">
        <v>0</v>
      </c>
      <c r="BE27">
        <v>1755527951.349999</v>
      </c>
      <c r="BF27">
        <v>1083.278</v>
      </c>
      <c r="BG27">
        <v>1199.9943333333331</v>
      </c>
      <c r="BH27">
        <v>28.26704333333333</v>
      </c>
      <c r="BI27">
        <v>19.518493333333339</v>
      </c>
      <c r="BJ27">
        <v>1073.561333333334</v>
      </c>
      <c r="BK27">
        <v>28.017589999999998</v>
      </c>
      <c r="BL27">
        <v>400.0492999999999</v>
      </c>
      <c r="BM27">
        <v>101.8828</v>
      </c>
      <c r="BN27">
        <v>0.1000694166666667</v>
      </c>
      <c r="BO27">
        <v>27.118223333333329</v>
      </c>
      <c r="BP27">
        <v>26.2181</v>
      </c>
      <c r="BQ27">
        <v>999.9000000000002</v>
      </c>
      <c r="BR27">
        <v>0</v>
      </c>
      <c r="BS27">
        <v>0</v>
      </c>
      <c r="BT27">
        <v>9998.2666666666664</v>
      </c>
      <c r="BU27">
        <v>1152.3589999999999</v>
      </c>
      <c r="BV27">
        <v>13.170199999999999</v>
      </c>
      <c r="BW27">
        <v>-116.717</v>
      </c>
      <c r="BX27">
        <v>1114.789666666667</v>
      </c>
      <c r="BY27">
        <v>1223.883</v>
      </c>
      <c r="BZ27">
        <v>8.7485486666666645</v>
      </c>
      <c r="CA27">
        <v>1199.9943333333331</v>
      </c>
      <c r="CB27">
        <v>19.518493333333339</v>
      </c>
      <c r="CC27">
        <v>2.879925333333333</v>
      </c>
      <c r="CD27">
        <v>1.9885986666666671</v>
      </c>
      <c r="CE27">
        <v>23.349503333333331</v>
      </c>
      <c r="CF27">
        <v>17.35385333333334</v>
      </c>
      <c r="CG27">
        <v>1755525950.5</v>
      </c>
      <c r="CH27" t="s">
        <v>337</v>
      </c>
      <c r="CI27">
        <v>1755525948.5</v>
      </c>
      <c r="CJ27">
        <v>1755525950.5</v>
      </c>
      <c r="CK27">
        <v>4</v>
      </c>
      <c r="CL27">
        <v>-0.20799999999999999</v>
      </c>
      <c r="CM27">
        <v>4.4999999999999998E-2</v>
      </c>
      <c r="CN27">
        <v>3.339</v>
      </c>
      <c r="CO27">
        <v>0.249</v>
      </c>
      <c r="CP27">
        <v>450</v>
      </c>
      <c r="CQ27">
        <v>20</v>
      </c>
      <c r="CR27">
        <v>0.03</v>
      </c>
      <c r="CS27">
        <v>0.01</v>
      </c>
      <c r="CT27">
        <v>-116.64</v>
      </c>
      <c r="CU27">
        <v>-1.423296167247504</v>
      </c>
      <c r="CV27">
        <v>0.1524710288354694</v>
      </c>
      <c r="CW27">
        <v>0</v>
      </c>
      <c r="CX27">
        <v>0</v>
      </c>
      <c r="CY27">
        <v>0</v>
      </c>
      <c r="CZ27">
        <v>0</v>
      </c>
      <c r="DA27">
        <v>-1</v>
      </c>
      <c r="DB27">
        <v>8.7497973170731704</v>
      </c>
      <c r="DC27">
        <v>-2.054320557488969E-2</v>
      </c>
      <c r="DD27">
        <v>2.193835069939943E-3</v>
      </c>
      <c r="DE27">
        <v>1</v>
      </c>
      <c r="DF27">
        <v>1</v>
      </c>
      <c r="DG27">
        <v>2</v>
      </c>
      <c r="DH27" t="s">
        <v>338</v>
      </c>
      <c r="DI27">
        <v>3.0245600000000001</v>
      </c>
      <c r="DJ27">
        <v>2.6912799999999999</v>
      </c>
      <c r="DK27">
        <v>0.18498899999999999</v>
      </c>
      <c r="DL27">
        <v>0.19933000000000001</v>
      </c>
      <c r="DM27">
        <v>0.13466900000000001</v>
      </c>
      <c r="DN27">
        <v>0.105005</v>
      </c>
      <c r="DO27">
        <v>22687.4</v>
      </c>
      <c r="DP27">
        <v>14462.2</v>
      </c>
      <c r="DQ27">
        <v>26414.3</v>
      </c>
      <c r="DR27">
        <v>16404.3</v>
      </c>
      <c r="DS27">
        <v>32501.9</v>
      </c>
      <c r="DT27">
        <v>19160.099999999999</v>
      </c>
      <c r="DU27">
        <v>38482.1</v>
      </c>
      <c r="DV27">
        <v>21717.4</v>
      </c>
      <c r="DW27">
        <v>1.8006599999999999</v>
      </c>
      <c r="DX27">
        <v>2.1850999999999998</v>
      </c>
      <c r="DY27">
        <v>6.8384399999999998E-2</v>
      </c>
      <c r="DZ27">
        <v>0</v>
      </c>
      <c r="EA27">
        <v>25.088100000000001</v>
      </c>
      <c r="EB27">
        <v>999.9</v>
      </c>
      <c r="EC27">
        <v>57.7</v>
      </c>
      <c r="ED27">
        <v>32.9</v>
      </c>
      <c r="EE27">
        <v>28.451699999999999</v>
      </c>
      <c r="EF27">
        <v>62.526600000000002</v>
      </c>
      <c r="EG27">
        <v>35.180300000000003</v>
      </c>
      <c r="EH27">
        <v>1</v>
      </c>
      <c r="EI27">
        <v>6.7666699999999996E-2</v>
      </c>
      <c r="EJ27">
        <v>2.2525099999999999E-2</v>
      </c>
      <c r="EK27">
        <v>20.342199999999998</v>
      </c>
      <c r="EL27">
        <v>5.2521500000000003</v>
      </c>
      <c r="EM27">
        <v>11.962</v>
      </c>
      <c r="EN27">
        <v>4.9897600000000004</v>
      </c>
      <c r="EO27">
        <v>3.29122</v>
      </c>
      <c r="EP27">
        <v>9999</v>
      </c>
      <c r="EQ27">
        <v>9999</v>
      </c>
      <c r="ER27">
        <v>9999</v>
      </c>
      <c r="ES27">
        <v>999.9</v>
      </c>
      <c r="ET27">
        <v>4.9726400000000002</v>
      </c>
      <c r="EU27">
        <v>1.8717999999999999</v>
      </c>
      <c r="EV27">
        <v>1.8721000000000001</v>
      </c>
      <c r="EW27">
        <v>1.87714</v>
      </c>
      <c r="EX27">
        <v>1.8712299999999999</v>
      </c>
      <c r="EY27">
        <v>1.8719699999999999</v>
      </c>
      <c r="EZ27">
        <v>1.87165</v>
      </c>
      <c r="FA27">
        <v>1.8687199999999999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9.7100000000000009</v>
      </c>
      <c r="FP27">
        <v>0.24940000000000001</v>
      </c>
      <c r="FQ27">
        <v>-0.24908219306894219</v>
      </c>
      <c r="FR27">
        <v>7.0338458001993282E-3</v>
      </c>
      <c r="FS27">
        <v>2.3387658340725169E-6</v>
      </c>
      <c r="FT27">
        <v>-2.2874075696057401E-10</v>
      </c>
      <c r="FU27">
        <v>0.24945500000000109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33.5</v>
      </c>
      <c r="GD27">
        <v>33.5</v>
      </c>
      <c r="GE27">
        <v>2.4462899999999999</v>
      </c>
      <c r="GF27">
        <v>2.6098599999999998</v>
      </c>
      <c r="GG27">
        <v>1.7981</v>
      </c>
      <c r="GH27">
        <v>2.3754900000000001</v>
      </c>
      <c r="GI27">
        <v>1.5979000000000001</v>
      </c>
      <c r="GJ27">
        <v>2.5598100000000001</v>
      </c>
      <c r="GK27">
        <v>35.941200000000002</v>
      </c>
      <c r="GL27">
        <v>24.1663</v>
      </c>
      <c r="GM27">
        <v>18</v>
      </c>
      <c r="GN27">
        <v>368.291</v>
      </c>
      <c r="GO27">
        <v>672.09699999999998</v>
      </c>
      <c r="GP27">
        <v>25.829799999999999</v>
      </c>
      <c r="GQ27">
        <v>27.954999999999998</v>
      </c>
      <c r="GR27">
        <v>30</v>
      </c>
      <c r="GS27">
        <v>27.8962</v>
      </c>
      <c r="GT27">
        <v>27.936</v>
      </c>
      <c r="GU27">
        <v>48.914200000000001</v>
      </c>
      <c r="GV27">
        <v>37.558399999999999</v>
      </c>
      <c r="GW27">
        <v>0</v>
      </c>
      <c r="GX27">
        <v>25.83</v>
      </c>
      <c r="GY27">
        <v>1200</v>
      </c>
      <c r="GZ27">
        <v>19.5</v>
      </c>
      <c r="HA27">
        <v>100.376</v>
      </c>
      <c r="HB27">
        <v>67.816299999999998</v>
      </c>
    </row>
    <row r="28" spans="1:210" x14ac:dyDescent="0.3">
      <c r="A28">
        <v>12</v>
      </c>
      <c r="B28">
        <v>1755528139.5999999</v>
      </c>
      <c r="C28">
        <v>1985.599999904633</v>
      </c>
      <c r="D28" t="s">
        <v>363</v>
      </c>
      <c r="E28" t="s">
        <v>364</v>
      </c>
      <c r="F28">
        <v>15</v>
      </c>
      <c r="G28">
        <v>1755528131.849999</v>
      </c>
      <c r="H28">
        <f t="shared" si="0"/>
        <v>3.9820580546212269E-3</v>
      </c>
      <c r="I28">
        <f t="shared" si="1"/>
        <v>3.9820580546212265</v>
      </c>
      <c r="J28">
        <f t="shared" si="2"/>
        <v>46.858007332406721</v>
      </c>
      <c r="K28">
        <f t="shared" si="3"/>
        <v>1481.2846666666669</v>
      </c>
      <c r="L28">
        <f t="shared" si="4"/>
        <v>1368.8648089788101</v>
      </c>
      <c r="M28">
        <f t="shared" si="5"/>
        <v>139.60295572303866</v>
      </c>
      <c r="N28">
        <f t="shared" si="6"/>
        <v>151.06803562884485</v>
      </c>
      <c r="O28">
        <f t="shared" si="7"/>
        <v>0.86241726237464578</v>
      </c>
      <c r="P28">
        <f t="shared" si="8"/>
        <v>2.4245281405489369</v>
      </c>
      <c r="Q28">
        <f t="shared" si="9"/>
        <v>0.73134684545592121</v>
      </c>
      <c r="R28">
        <f t="shared" si="10"/>
        <v>0.46729055480974357</v>
      </c>
      <c r="S28">
        <f t="shared" si="11"/>
        <v>218.88785333333325</v>
      </c>
      <c r="T28">
        <f t="shared" si="12"/>
        <v>27.424158309732931</v>
      </c>
      <c r="U28">
        <f t="shared" si="13"/>
        <v>26.21514333333333</v>
      </c>
      <c r="V28">
        <f t="shared" si="14"/>
        <v>3.4174548108086746</v>
      </c>
      <c r="W28">
        <f t="shared" si="15"/>
        <v>79.881094661024008</v>
      </c>
      <c r="X28">
        <f t="shared" si="16"/>
        <v>2.8793092601575774</v>
      </c>
      <c r="Y28">
        <f t="shared" si="17"/>
        <v>3.6044939949508037</v>
      </c>
      <c r="Z28">
        <f t="shared" si="18"/>
        <v>0.53814555065109726</v>
      </c>
      <c r="AA28">
        <f t="shared" si="19"/>
        <v>-175.6087602087961</v>
      </c>
      <c r="AB28">
        <f t="shared" si="20"/>
        <v>118.29403651138313</v>
      </c>
      <c r="AC28">
        <f t="shared" si="21"/>
        <v>10.494636118446721</v>
      </c>
      <c r="AD28">
        <f t="shared" si="22"/>
        <v>172.067765754367</v>
      </c>
      <c r="AE28">
        <f t="shared" si="23"/>
        <v>46.858007332406721</v>
      </c>
      <c r="AF28">
        <f t="shared" si="24"/>
        <v>3.9820580546212265</v>
      </c>
      <c r="AG28">
        <f t="shared" si="25"/>
        <v>46.927176128664556</v>
      </c>
      <c r="AH28">
        <v>1631.8818383824951</v>
      </c>
      <c r="AI28">
        <v>1524.161515151515</v>
      </c>
      <c r="AJ28">
        <v>3.7307536764834321E-3</v>
      </c>
      <c r="AK28">
        <v>84.013723895818373</v>
      </c>
      <c r="AL28">
        <f t="shared" si="26"/>
        <v>3.9811857334488696</v>
      </c>
      <c r="AM28">
        <v>19.52576605492148</v>
      </c>
      <c r="AN28">
        <v>28.230514736842089</v>
      </c>
      <c r="AO28">
        <v>-5.7738145526363216E-7</v>
      </c>
      <c r="AP28">
        <v>90.508678322330766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53838.627161951947</v>
      </c>
      <c r="AV28">
        <f t="shared" si="30"/>
        <v>1152.0413333333329</v>
      </c>
      <c r="AW28">
        <f t="shared" si="31"/>
        <v>921.63306666666631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336</v>
      </c>
      <c r="BC28">
        <v>2</v>
      </c>
      <c r="BD28" t="b">
        <v>0</v>
      </c>
      <c r="BE28">
        <v>1755528131.849999</v>
      </c>
      <c r="BF28">
        <v>1481.2846666666669</v>
      </c>
      <c r="BG28">
        <v>1599.9863333333331</v>
      </c>
      <c r="BH28">
        <v>28.23282</v>
      </c>
      <c r="BI28">
        <v>19.52619</v>
      </c>
      <c r="BJ28">
        <v>1466.905</v>
      </c>
      <c r="BK28">
        <v>27.983373333333329</v>
      </c>
      <c r="BL28">
        <v>400.00206666666668</v>
      </c>
      <c r="BM28">
        <v>101.8844666666667</v>
      </c>
      <c r="BN28">
        <v>0.10000602</v>
      </c>
      <c r="BO28">
        <v>27.12014666666666</v>
      </c>
      <c r="BP28">
        <v>26.21514333333333</v>
      </c>
      <c r="BQ28">
        <v>999.9000000000002</v>
      </c>
      <c r="BR28">
        <v>0</v>
      </c>
      <c r="BS28">
        <v>0</v>
      </c>
      <c r="BT28">
        <v>9997.4</v>
      </c>
      <c r="BU28">
        <v>1152.0413333333329</v>
      </c>
      <c r="BV28">
        <v>13.170199999999999</v>
      </c>
      <c r="BW28">
        <v>-118.7024</v>
      </c>
      <c r="BX28">
        <v>1524.319666666667</v>
      </c>
      <c r="BY28">
        <v>1631.8493333333331</v>
      </c>
      <c r="BZ28">
        <v>8.7066180000000006</v>
      </c>
      <c r="CA28">
        <v>1599.9863333333331</v>
      </c>
      <c r="CB28">
        <v>19.52619</v>
      </c>
      <c r="CC28">
        <v>2.8764856666666661</v>
      </c>
      <c r="CD28">
        <v>1.989416333333333</v>
      </c>
      <c r="CE28">
        <v>23.329699999999999</v>
      </c>
      <c r="CF28">
        <v>17.36034333333334</v>
      </c>
      <c r="CG28">
        <v>1755525950.5</v>
      </c>
      <c r="CH28" t="s">
        <v>337</v>
      </c>
      <c r="CI28">
        <v>1755525948.5</v>
      </c>
      <c r="CJ28">
        <v>1755525950.5</v>
      </c>
      <c r="CK28">
        <v>4</v>
      </c>
      <c r="CL28">
        <v>-0.20799999999999999</v>
      </c>
      <c r="CM28">
        <v>4.4999999999999998E-2</v>
      </c>
      <c r="CN28">
        <v>3.339</v>
      </c>
      <c r="CO28">
        <v>0.249</v>
      </c>
      <c r="CP28">
        <v>450</v>
      </c>
      <c r="CQ28">
        <v>20</v>
      </c>
      <c r="CR28">
        <v>0.03</v>
      </c>
      <c r="CS28">
        <v>0.01</v>
      </c>
      <c r="CT28">
        <v>-118.650375</v>
      </c>
      <c r="CU28">
        <v>-1.351260787992393</v>
      </c>
      <c r="CV28">
        <v>0.14633466566401859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8.708233250000001</v>
      </c>
      <c r="DC28">
        <v>-3.6251369606008853E-2</v>
      </c>
      <c r="DD28">
        <v>3.7775689189608499E-3</v>
      </c>
      <c r="DE28">
        <v>1</v>
      </c>
      <c r="DF28">
        <v>1</v>
      </c>
      <c r="DG28">
        <v>2</v>
      </c>
      <c r="DH28" t="s">
        <v>338</v>
      </c>
      <c r="DI28">
        <v>3.0247000000000002</v>
      </c>
      <c r="DJ28">
        <v>2.69129</v>
      </c>
      <c r="DK28">
        <v>0.22392899999999999</v>
      </c>
      <c r="DL28">
        <v>0.23702799999999999</v>
      </c>
      <c r="DM28">
        <v>0.13455600000000001</v>
      </c>
      <c r="DN28">
        <v>0.105031</v>
      </c>
      <c r="DO28">
        <v>21603.5</v>
      </c>
      <c r="DP28">
        <v>13780.6</v>
      </c>
      <c r="DQ28">
        <v>26414.6</v>
      </c>
      <c r="DR28">
        <v>16403.7</v>
      </c>
      <c r="DS28">
        <v>32507.599999999999</v>
      </c>
      <c r="DT28">
        <v>19160.099999999999</v>
      </c>
      <c r="DU28">
        <v>38482.5</v>
      </c>
      <c r="DV28">
        <v>21717.4</v>
      </c>
      <c r="DW28">
        <v>1.8004199999999999</v>
      </c>
      <c r="DX28">
        <v>2.18628</v>
      </c>
      <c r="DY28">
        <v>6.8581100000000006E-2</v>
      </c>
      <c r="DZ28">
        <v>0</v>
      </c>
      <c r="EA28">
        <v>25.088899999999999</v>
      </c>
      <c r="EB28">
        <v>999.9</v>
      </c>
      <c r="EC28">
        <v>57.7</v>
      </c>
      <c r="ED28">
        <v>32.9</v>
      </c>
      <c r="EE28">
        <v>28.448</v>
      </c>
      <c r="EF28">
        <v>62.4666</v>
      </c>
      <c r="EG28">
        <v>35.424700000000001</v>
      </c>
      <c r="EH28">
        <v>1</v>
      </c>
      <c r="EI28">
        <v>6.7878099999999997E-2</v>
      </c>
      <c r="EJ28">
        <v>2.5006500000000001E-2</v>
      </c>
      <c r="EK28">
        <v>20.341999999999999</v>
      </c>
      <c r="EL28">
        <v>5.2515499999999999</v>
      </c>
      <c r="EM28">
        <v>11.962</v>
      </c>
      <c r="EN28">
        <v>4.9897999999999998</v>
      </c>
      <c r="EO28">
        <v>3.2911199999999998</v>
      </c>
      <c r="EP28">
        <v>9999</v>
      </c>
      <c r="EQ28">
        <v>9999</v>
      </c>
      <c r="ER28">
        <v>9999</v>
      </c>
      <c r="ES28">
        <v>999.9</v>
      </c>
      <c r="ET28">
        <v>4.9726800000000004</v>
      </c>
      <c r="EU28">
        <v>1.87181</v>
      </c>
      <c r="EV28">
        <v>1.8721000000000001</v>
      </c>
      <c r="EW28">
        <v>1.87714</v>
      </c>
      <c r="EX28">
        <v>1.8712599999999999</v>
      </c>
      <c r="EY28">
        <v>1.87202</v>
      </c>
      <c r="EZ28">
        <v>1.87164</v>
      </c>
      <c r="FA28">
        <v>1.8687199999999999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14.37</v>
      </c>
      <c r="FP28">
        <v>0.2495</v>
      </c>
      <c r="FQ28">
        <v>-0.24908219306894219</v>
      </c>
      <c r="FR28">
        <v>7.0338458001993282E-3</v>
      </c>
      <c r="FS28">
        <v>2.3387658340725169E-6</v>
      </c>
      <c r="FT28">
        <v>-2.2874075696057401E-10</v>
      </c>
      <c r="FU28">
        <v>0.24945500000000109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36.5</v>
      </c>
      <c r="GD28">
        <v>36.5</v>
      </c>
      <c r="GE28">
        <v>3.0969199999999999</v>
      </c>
      <c r="GF28">
        <v>2.6037599999999999</v>
      </c>
      <c r="GG28">
        <v>1.7981</v>
      </c>
      <c r="GH28">
        <v>2.3754900000000001</v>
      </c>
      <c r="GI28">
        <v>1.5979000000000001</v>
      </c>
      <c r="GJ28">
        <v>2.5402800000000001</v>
      </c>
      <c r="GK28">
        <v>35.941200000000002</v>
      </c>
      <c r="GL28">
        <v>24.157499999999999</v>
      </c>
      <c r="GM28">
        <v>18</v>
      </c>
      <c r="GN28">
        <v>368.18200000000002</v>
      </c>
      <c r="GO28">
        <v>673.17600000000004</v>
      </c>
      <c r="GP28">
        <v>25.829899999999999</v>
      </c>
      <c r="GQ28">
        <v>27.958300000000001</v>
      </c>
      <c r="GR28">
        <v>30.0001</v>
      </c>
      <c r="GS28">
        <v>27.898599999999998</v>
      </c>
      <c r="GT28">
        <v>27.94</v>
      </c>
      <c r="GU28">
        <v>61.914700000000003</v>
      </c>
      <c r="GV28">
        <v>37.558399999999999</v>
      </c>
      <c r="GW28">
        <v>0</v>
      </c>
      <c r="GX28">
        <v>25.83</v>
      </c>
      <c r="GY28">
        <v>1600</v>
      </c>
      <c r="GZ28">
        <v>19.5</v>
      </c>
      <c r="HA28">
        <v>100.377</v>
      </c>
      <c r="HB28">
        <v>67.815200000000004</v>
      </c>
    </row>
    <row r="29" spans="1:210" x14ac:dyDescent="0.3">
      <c r="A29">
        <v>13</v>
      </c>
      <c r="B29">
        <v>1755528320.0999999</v>
      </c>
      <c r="C29">
        <v>2166.099999904633</v>
      </c>
      <c r="D29" t="s">
        <v>365</v>
      </c>
      <c r="E29" t="s">
        <v>366</v>
      </c>
      <c r="F29">
        <v>15</v>
      </c>
      <c r="G29">
        <v>1755528312.349999</v>
      </c>
      <c r="H29">
        <f t="shared" si="0"/>
        <v>3.9908362988938326E-3</v>
      </c>
      <c r="I29">
        <f t="shared" si="1"/>
        <v>3.9908362988938331</v>
      </c>
      <c r="J29">
        <f t="shared" si="2"/>
        <v>33.663830980992898</v>
      </c>
      <c r="K29">
        <f t="shared" si="3"/>
        <v>370.93720000000002</v>
      </c>
      <c r="L29">
        <f t="shared" si="4"/>
        <v>295.35689380066111</v>
      </c>
      <c r="M29">
        <f t="shared" si="5"/>
        <v>30.119949173548981</v>
      </c>
      <c r="N29">
        <f t="shared" si="6"/>
        <v>37.827488862064833</v>
      </c>
      <c r="O29">
        <f t="shared" si="7"/>
        <v>0.85327446757066949</v>
      </c>
      <c r="P29">
        <f t="shared" si="8"/>
        <v>2.4247966119304314</v>
      </c>
      <c r="Q29">
        <f t="shared" si="9"/>
        <v>0.7247720581904854</v>
      </c>
      <c r="R29">
        <f t="shared" si="10"/>
        <v>0.4629958261394036</v>
      </c>
      <c r="S29">
        <f t="shared" si="11"/>
        <v>218.87455333333327</v>
      </c>
      <c r="T29">
        <f t="shared" si="12"/>
        <v>27.425064033485253</v>
      </c>
      <c r="U29">
        <f t="shared" si="13"/>
        <v>26.234819999999999</v>
      </c>
      <c r="V29">
        <f t="shared" si="14"/>
        <v>3.4214294783031609</v>
      </c>
      <c r="W29">
        <f t="shared" si="15"/>
        <v>79.806266308491843</v>
      </c>
      <c r="X29">
        <f t="shared" si="16"/>
        <v>2.8772451342858623</v>
      </c>
      <c r="Y29">
        <f t="shared" si="17"/>
        <v>3.6052872379267127</v>
      </c>
      <c r="Z29">
        <f t="shared" si="18"/>
        <v>0.54418434401729865</v>
      </c>
      <c r="AA29">
        <f t="shared" si="19"/>
        <v>-175.99588078121801</v>
      </c>
      <c r="AB29">
        <f t="shared" si="20"/>
        <v>116.22511176246589</v>
      </c>
      <c r="AC29">
        <f t="shared" si="21"/>
        <v>10.311154867771528</v>
      </c>
      <c r="AD29">
        <f t="shared" si="22"/>
        <v>169.41493918235267</v>
      </c>
      <c r="AE29">
        <f t="shared" si="23"/>
        <v>33.663830980992898</v>
      </c>
      <c r="AF29">
        <f t="shared" si="24"/>
        <v>3.9908362988938331</v>
      </c>
      <c r="AG29">
        <f t="shared" si="25"/>
        <v>33.722383231922201</v>
      </c>
      <c r="AH29">
        <v>458.94843176467111</v>
      </c>
      <c r="AI29">
        <v>381.59420000000011</v>
      </c>
      <c r="AJ29">
        <v>-2.636970618595337E-3</v>
      </c>
      <c r="AK29">
        <v>84.013723895818373</v>
      </c>
      <c r="AL29">
        <f t="shared" si="26"/>
        <v>3.9909053912979484</v>
      </c>
      <c r="AM29">
        <v>19.49003160005277</v>
      </c>
      <c r="AN29">
        <v>28.21545218045112</v>
      </c>
      <c r="AO29">
        <v>4.0462235737107238E-7</v>
      </c>
      <c r="AP29">
        <v>90.508678322330766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53846.813826093741</v>
      </c>
      <c r="AV29">
        <f t="shared" si="30"/>
        <v>1151.971333333333</v>
      </c>
      <c r="AW29">
        <f t="shared" si="31"/>
        <v>921.57706666666638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336</v>
      </c>
      <c r="BC29">
        <v>2</v>
      </c>
      <c r="BD29" t="b">
        <v>0</v>
      </c>
      <c r="BE29">
        <v>1755528312.349999</v>
      </c>
      <c r="BF29">
        <v>370.93720000000002</v>
      </c>
      <c r="BG29">
        <v>450.00479999999999</v>
      </c>
      <c r="BH29">
        <v>28.21433</v>
      </c>
      <c r="BI29">
        <v>19.48904666666667</v>
      </c>
      <c r="BJ29">
        <v>368.29003333333333</v>
      </c>
      <c r="BK29">
        <v>27.964876666666669</v>
      </c>
      <c r="BL29">
        <v>400.03443333333342</v>
      </c>
      <c r="BM29">
        <v>101.8781</v>
      </c>
      <c r="BN29">
        <v>0.10004849</v>
      </c>
      <c r="BO29">
        <v>27.12389666666666</v>
      </c>
      <c r="BP29">
        <v>26.234819999999999</v>
      </c>
      <c r="BQ29">
        <v>999.9000000000002</v>
      </c>
      <c r="BR29">
        <v>0</v>
      </c>
      <c r="BS29">
        <v>0</v>
      </c>
      <c r="BT29">
        <v>9999.7666666666664</v>
      </c>
      <c r="BU29">
        <v>1151.971333333333</v>
      </c>
      <c r="BV29">
        <v>13.170199999999999</v>
      </c>
      <c r="BW29">
        <v>-79.067636666666658</v>
      </c>
      <c r="BX29">
        <v>381.70670000000001</v>
      </c>
      <c r="BY29">
        <v>458.9493333333333</v>
      </c>
      <c r="BZ29">
        <v>8.7252743333333331</v>
      </c>
      <c r="CA29">
        <v>450.00479999999999</v>
      </c>
      <c r="CB29">
        <v>19.48904666666667</v>
      </c>
      <c r="CC29">
        <v>2.8744236666666669</v>
      </c>
      <c r="CD29">
        <v>1.985508333333333</v>
      </c>
      <c r="CE29">
        <v>23.317826666666669</v>
      </c>
      <c r="CF29">
        <v>17.329239999999999</v>
      </c>
      <c r="CG29">
        <v>1755525950.5</v>
      </c>
      <c r="CH29" t="s">
        <v>337</v>
      </c>
      <c r="CI29">
        <v>1755525948.5</v>
      </c>
      <c r="CJ29">
        <v>1755525950.5</v>
      </c>
      <c r="CK29">
        <v>4</v>
      </c>
      <c r="CL29">
        <v>-0.20799999999999999</v>
      </c>
      <c r="CM29">
        <v>4.4999999999999998E-2</v>
      </c>
      <c r="CN29">
        <v>3.339</v>
      </c>
      <c r="CO29">
        <v>0.249</v>
      </c>
      <c r="CP29">
        <v>450</v>
      </c>
      <c r="CQ29">
        <v>20</v>
      </c>
      <c r="CR29">
        <v>0.03</v>
      </c>
      <c r="CS29">
        <v>0.01</v>
      </c>
      <c r="CT29">
        <v>-79.015290243902427</v>
      </c>
      <c r="CU29">
        <v>-0.71861602787446921</v>
      </c>
      <c r="CV29">
        <v>7.53027930194205E-2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8.7242014634146337</v>
      </c>
      <c r="DC29">
        <v>1.7560975609759048E-2</v>
      </c>
      <c r="DD29">
        <v>1.7874024769242249E-3</v>
      </c>
      <c r="DE29">
        <v>1</v>
      </c>
      <c r="DF29">
        <v>1</v>
      </c>
      <c r="DG29">
        <v>2</v>
      </c>
      <c r="DH29" t="s">
        <v>338</v>
      </c>
      <c r="DI29">
        <v>3.0245500000000001</v>
      </c>
      <c r="DJ29">
        <v>2.6911800000000001</v>
      </c>
      <c r="DK29">
        <v>8.7997800000000001E-2</v>
      </c>
      <c r="DL29">
        <v>0.102964</v>
      </c>
      <c r="DM29">
        <v>0.13449800000000001</v>
      </c>
      <c r="DN29">
        <v>0.104882</v>
      </c>
      <c r="DO29">
        <v>25386.400000000001</v>
      </c>
      <c r="DP29">
        <v>16202.2</v>
      </c>
      <c r="DQ29">
        <v>26413.5</v>
      </c>
      <c r="DR29">
        <v>16403.7</v>
      </c>
      <c r="DS29">
        <v>32505.9</v>
      </c>
      <c r="DT29">
        <v>19160.8</v>
      </c>
      <c r="DU29">
        <v>38481.800000000003</v>
      </c>
      <c r="DV29">
        <v>21716.799999999999</v>
      </c>
      <c r="DW29">
        <v>1.8003800000000001</v>
      </c>
      <c r="DX29">
        <v>2.1832799999999999</v>
      </c>
      <c r="DY29">
        <v>7.01547E-2</v>
      </c>
      <c r="DZ29">
        <v>0</v>
      </c>
      <c r="EA29">
        <v>25.0869</v>
      </c>
      <c r="EB29">
        <v>999.9</v>
      </c>
      <c r="EC29">
        <v>57.7</v>
      </c>
      <c r="ED29">
        <v>32.9</v>
      </c>
      <c r="EE29">
        <v>28.4526</v>
      </c>
      <c r="EF29">
        <v>62.576700000000002</v>
      </c>
      <c r="EG29">
        <v>35.272399999999998</v>
      </c>
      <c r="EH29">
        <v>1</v>
      </c>
      <c r="EI29">
        <v>6.8014199999999997E-2</v>
      </c>
      <c r="EJ29">
        <v>1.53268E-2</v>
      </c>
      <c r="EK29">
        <v>20.342300000000002</v>
      </c>
      <c r="EL29">
        <v>5.2517899999999997</v>
      </c>
      <c r="EM29">
        <v>11.962</v>
      </c>
      <c r="EN29">
        <v>4.9896799999999999</v>
      </c>
      <c r="EO29">
        <v>3.2910200000000001</v>
      </c>
      <c r="EP29">
        <v>9999</v>
      </c>
      <c r="EQ29">
        <v>9999</v>
      </c>
      <c r="ER29">
        <v>9999</v>
      </c>
      <c r="ES29">
        <v>999.9</v>
      </c>
      <c r="ET29">
        <v>4.9726499999999998</v>
      </c>
      <c r="EU29">
        <v>1.87181</v>
      </c>
      <c r="EV29">
        <v>1.8721000000000001</v>
      </c>
      <c r="EW29">
        <v>1.87714</v>
      </c>
      <c r="EX29">
        <v>1.8712299999999999</v>
      </c>
      <c r="EY29">
        <v>1.87198</v>
      </c>
      <c r="EZ29">
        <v>1.87164</v>
      </c>
      <c r="FA29">
        <v>1.86873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2.6459999999999999</v>
      </c>
      <c r="FP29">
        <v>0.2495</v>
      </c>
      <c r="FQ29">
        <v>-0.24908219306894219</v>
      </c>
      <c r="FR29">
        <v>7.0338458001993282E-3</v>
      </c>
      <c r="FS29">
        <v>2.3387658340725169E-6</v>
      </c>
      <c r="FT29">
        <v>-2.2874075696057401E-10</v>
      </c>
      <c r="FU29">
        <v>0.24945500000000109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39.5</v>
      </c>
      <c r="GD29">
        <v>39.5</v>
      </c>
      <c r="GE29">
        <v>1.10229</v>
      </c>
      <c r="GF29">
        <v>2.6355</v>
      </c>
      <c r="GG29">
        <v>1.79932</v>
      </c>
      <c r="GH29">
        <v>2.3754900000000001</v>
      </c>
      <c r="GI29">
        <v>1.5979000000000001</v>
      </c>
      <c r="GJ29">
        <v>2.51953</v>
      </c>
      <c r="GK29">
        <v>35.941200000000002</v>
      </c>
      <c r="GL29">
        <v>24.157499999999999</v>
      </c>
      <c r="GM29">
        <v>18</v>
      </c>
      <c r="GN29">
        <v>368.19299999999998</v>
      </c>
      <c r="GO29">
        <v>670.601</v>
      </c>
      <c r="GP29">
        <v>25.830100000000002</v>
      </c>
      <c r="GQ29">
        <v>27.960699999999999</v>
      </c>
      <c r="GR29">
        <v>30</v>
      </c>
      <c r="GS29">
        <v>27.903300000000002</v>
      </c>
      <c r="GT29">
        <v>27.943100000000001</v>
      </c>
      <c r="GU29">
        <v>22.023399999999999</v>
      </c>
      <c r="GV29">
        <v>37.558399999999999</v>
      </c>
      <c r="GW29">
        <v>0</v>
      </c>
      <c r="GX29">
        <v>25.83</v>
      </c>
      <c r="GY29">
        <v>450</v>
      </c>
      <c r="GZ29">
        <v>19.5</v>
      </c>
      <c r="HA29">
        <v>100.374</v>
      </c>
      <c r="HB29">
        <v>67.814099999999996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2025-08-18T14:47:36Z</dcterms:created>
  <dcterms:modified xsi:type="dcterms:W3CDTF">2025-12-01T11:43:32Z</dcterms:modified>
</cp:coreProperties>
</file>