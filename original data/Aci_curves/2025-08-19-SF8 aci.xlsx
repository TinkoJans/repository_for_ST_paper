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tinko_jans_wur_nl/Documents/PhD/experiments/Oefenen DUAL-PAM onder SUN_FR/final measurements/Aci_curves/"/>
    </mc:Choice>
  </mc:AlternateContent>
  <xr:revisionPtr revIDLastSave="3" documentId="11_ACE071005AA39291073FF5937D63E8143002FE27" xr6:coauthVersionLast="47" xr6:coauthVersionMax="47" xr10:uidLastSave="{59F00B4D-A131-49D5-BE93-E72F8B533C33}"/>
  <bookViews>
    <workbookView xWindow="2472" yWindow="2472" windowWidth="17280" windowHeight="888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29" i="1" l="1"/>
  <c r="AX29" i="1"/>
  <c r="AV29" i="1"/>
  <c r="AW29" i="1" s="1"/>
  <c r="AU29" i="1"/>
  <c r="AS29" i="1"/>
  <c r="AT29" i="1" s="1"/>
  <c r="AL29" i="1"/>
  <c r="AG29" i="1"/>
  <c r="Y29" i="1"/>
  <c r="X29" i="1"/>
  <c r="W29" i="1"/>
  <c r="S29" i="1"/>
  <c r="P29" i="1"/>
  <c r="AY28" i="1"/>
  <c r="AX28" i="1"/>
  <c r="AV28" i="1"/>
  <c r="S28" i="1" s="1"/>
  <c r="AU28" i="1"/>
  <c r="AS28" i="1" s="1"/>
  <c r="N28" i="1" s="1"/>
  <c r="AT28" i="1"/>
  <c r="AL28" i="1"/>
  <c r="AG28" i="1"/>
  <c r="Y28" i="1"/>
  <c r="X28" i="1"/>
  <c r="W28" i="1"/>
  <c r="P28" i="1"/>
  <c r="AY27" i="1"/>
  <c r="AX27" i="1"/>
  <c r="AW27" i="1"/>
  <c r="AV27" i="1"/>
  <c r="AU27" i="1"/>
  <c r="AS27" i="1"/>
  <c r="AT27" i="1" s="1"/>
  <c r="AL27" i="1"/>
  <c r="AG27" i="1"/>
  <c r="AF27" i="1"/>
  <c r="I27" i="1" s="1"/>
  <c r="H27" i="1" s="1"/>
  <c r="AE27" i="1"/>
  <c r="J27" i="1" s="1"/>
  <c r="Y27" i="1"/>
  <c r="X27" i="1"/>
  <c r="W27" i="1"/>
  <c r="P27" i="1"/>
  <c r="N27" i="1"/>
  <c r="K27" i="1"/>
  <c r="AY26" i="1"/>
  <c r="S26" i="1" s="1"/>
  <c r="AX26" i="1"/>
  <c r="AW26" i="1" s="1"/>
  <c r="AV26" i="1"/>
  <c r="AU26" i="1"/>
  <c r="AS26" i="1"/>
  <c r="AL26" i="1"/>
  <c r="AG26" i="1"/>
  <c r="AF26" i="1"/>
  <c r="Y26" i="1"/>
  <c r="X26" i="1"/>
  <c r="P26" i="1"/>
  <c r="K26" i="1"/>
  <c r="I26" i="1"/>
  <c r="H26" i="1" s="1"/>
  <c r="AY25" i="1"/>
  <c r="AX25" i="1"/>
  <c r="AV25" i="1"/>
  <c r="AW25" i="1" s="1"/>
  <c r="AU25" i="1"/>
  <c r="AS25" i="1" s="1"/>
  <c r="AL25" i="1"/>
  <c r="AG25" i="1"/>
  <c r="Y25" i="1"/>
  <c r="X25" i="1"/>
  <c r="W25" i="1"/>
  <c r="S25" i="1"/>
  <c r="P25" i="1"/>
  <c r="AY24" i="1"/>
  <c r="AX24" i="1"/>
  <c r="AV24" i="1"/>
  <c r="S24" i="1" s="1"/>
  <c r="AU24" i="1"/>
  <c r="AS24" i="1" s="1"/>
  <c r="N24" i="1" s="1"/>
  <c r="AL24" i="1"/>
  <c r="AG24" i="1"/>
  <c r="Y24" i="1"/>
  <c r="X24" i="1"/>
  <c r="W24" i="1"/>
  <c r="P24" i="1"/>
  <c r="AY23" i="1"/>
  <c r="AX23" i="1"/>
  <c r="AV23" i="1"/>
  <c r="S23" i="1" s="1"/>
  <c r="AU23" i="1"/>
  <c r="AS23" i="1"/>
  <c r="AT23" i="1" s="1"/>
  <c r="AL23" i="1"/>
  <c r="AG23" i="1"/>
  <c r="AF23" i="1"/>
  <c r="AE23" i="1"/>
  <c r="J23" i="1" s="1"/>
  <c r="Y23" i="1"/>
  <c r="X23" i="1"/>
  <c r="W23" i="1"/>
  <c r="P23" i="1"/>
  <c r="N23" i="1"/>
  <c r="I23" i="1"/>
  <c r="H23" i="1"/>
  <c r="AA23" i="1" s="1"/>
  <c r="AY22" i="1"/>
  <c r="S22" i="1" s="1"/>
  <c r="AX22" i="1"/>
  <c r="AW22" i="1" s="1"/>
  <c r="AV22" i="1"/>
  <c r="AU22" i="1"/>
  <c r="AS22" i="1"/>
  <c r="AL22" i="1"/>
  <c r="AG22" i="1"/>
  <c r="AF22" i="1"/>
  <c r="Y22" i="1"/>
  <c r="X22" i="1"/>
  <c r="P22" i="1"/>
  <c r="K22" i="1"/>
  <c r="I22" i="1"/>
  <c r="H22" i="1" s="1"/>
  <c r="AY21" i="1"/>
  <c r="AX21" i="1"/>
  <c r="AV21" i="1"/>
  <c r="AW21" i="1" s="1"/>
  <c r="AU21" i="1"/>
  <c r="AS21" i="1" s="1"/>
  <c r="AL21" i="1"/>
  <c r="AG21" i="1"/>
  <c r="Y21" i="1"/>
  <c r="X21" i="1"/>
  <c r="W21" i="1"/>
  <c r="S21" i="1"/>
  <c r="P21" i="1"/>
  <c r="AY20" i="1"/>
  <c r="AX20" i="1"/>
  <c r="AV20" i="1"/>
  <c r="S20" i="1" s="1"/>
  <c r="AU20" i="1"/>
  <c r="AS20" i="1" s="1"/>
  <c r="K20" i="1" s="1"/>
  <c r="AL20" i="1"/>
  <c r="AG20" i="1"/>
  <c r="AF20" i="1"/>
  <c r="I20" i="1" s="1"/>
  <c r="AE20" i="1"/>
  <c r="J20" i="1" s="1"/>
  <c r="Y20" i="1"/>
  <c r="X20" i="1"/>
  <c r="W20" i="1"/>
  <c r="P20" i="1"/>
  <c r="H20" i="1"/>
  <c r="AY19" i="1"/>
  <c r="AX19" i="1"/>
  <c r="AW19" i="1"/>
  <c r="AV19" i="1"/>
  <c r="AU19" i="1"/>
  <c r="AS19" i="1"/>
  <c r="AT19" i="1" s="1"/>
  <c r="AL19" i="1"/>
  <c r="AG19" i="1"/>
  <c r="AF19" i="1"/>
  <c r="I19" i="1" s="1"/>
  <c r="H19" i="1" s="1"/>
  <c r="AE19" i="1"/>
  <c r="J19" i="1" s="1"/>
  <c r="Y19" i="1"/>
  <c r="X19" i="1"/>
  <c r="W19" i="1"/>
  <c r="P19" i="1"/>
  <c r="N19" i="1"/>
  <c r="AY18" i="1"/>
  <c r="S18" i="1" s="1"/>
  <c r="AX18" i="1"/>
  <c r="AW18" i="1" s="1"/>
  <c r="AV18" i="1"/>
  <c r="AU18" i="1"/>
  <c r="AS18" i="1"/>
  <c r="AL18" i="1"/>
  <c r="AG18" i="1"/>
  <c r="AF18" i="1"/>
  <c r="I18" i="1" s="1"/>
  <c r="H18" i="1" s="1"/>
  <c r="Y18" i="1"/>
  <c r="X18" i="1"/>
  <c r="W18" i="1" s="1"/>
  <c r="P18" i="1"/>
  <c r="AY17" i="1"/>
  <c r="AX17" i="1"/>
  <c r="AV17" i="1"/>
  <c r="AW17" i="1" s="1"/>
  <c r="AU17" i="1"/>
  <c r="AS17" i="1" s="1"/>
  <c r="AL17" i="1"/>
  <c r="AG17" i="1"/>
  <c r="Y17" i="1"/>
  <c r="X17" i="1"/>
  <c r="W17" i="1"/>
  <c r="P17" i="1"/>
  <c r="AA19" i="1" l="1"/>
  <c r="AF25" i="1"/>
  <c r="I25" i="1" s="1"/>
  <c r="H25" i="1" s="1"/>
  <c r="AE25" i="1"/>
  <c r="J25" i="1" s="1"/>
  <c r="N25" i="1"/>
  <c r="K25" i="1"/>
  <c r="AT25" i="1"/>
  <c r="AA26" i="1"/>
  <c r="AA18" i="1"/>
  <c r="AF17" i="1"/>
  <c r="I17" i="1" s="1"/>
  <c r="H17" i="1" s="1"/>
  <c r="AE17" i="1"/>
  <c r="J17" i="1" s="1"/>
  <c r="AT17" i="1"/>
  <c r="N17" i="1"/>
  <c r="K17" i="1"/>
  <c r="AA27" i="1"/>
  <c r="T18" i="1"/>
  <c r="U18" i="1" s="1"/>
  <c r="AB20" i="1"/>
  <c r="T26" i="1"/>
  <c r="U26" i="1" s="1"/>
  <c r="AA22" i="1"/>
  <c r="AF21" i="1"/>
  <c r="I21" i="1" s="1"/>
  <c r="H21" i="1" s="1"/>
  <c r="AE21" i="1"/>
  <c r="J21" i="1" s="1"/>
  <c r="AT21" i="1"/>
  <c r="N21" i="1"/>
  <c r="K21" i="1"/>
  <c r="T22" i="1"/>
  <c r="U22" i="1" s="1"/>
  <c r="Q22" i="1" s="1"/>
  <c r="O22" i="1" s="1"/>
  <c r="R22" i="1" s="1"/>
  <c r="L22" i="1" s="1"/>
  <c r="M22" i="1" s="1"/>
  <c r="T20" i="1"/>
  <c r="U20" i="1" s="1"/>
  <c r="AW20" i="1"/>
  <c r="AT24" i="1"/>
  <c r="K29" i="1"/>
  <c r="T23" i="1"/>
  <c r="U23" i="1" s="1"/>
  <c r="AW24" i="1"/>
  <c r="K24" i="1"/>
  <c r="AF24" i="1"/>
  <c r="I24" i="1" s="1"/>
  <c r="H24" i="1" s="1"/>
  <c r="AB26" i="1"/>
  <c r="AE18" i="1"/>
  <c r="J18" i="1" s="1"/>
  <c r="N18" i="1"/>
  <c r="AW23" i="1"/>
  <c r="T24" i="1"/>
  <c r="U24" i="1" s="1"/>
  <c r="S27" i="1"/>
  <c r="AW28" i="1"/>
  <c r="AA20" i="1"/>
  <c r="K28" i="1"/>
  <c r="AF28" i="1"/>
  <c r="I28" i="1" s="1"/>
  <c r="H28" i="1" s="1"/>
  <c r="K18" i="1"/>
  <c r="AT18" i="1"/>
  <c r="N20" i="1"/>
  <c r="AT20" i="1"/>
  <c r="AE22" i="1"/>
  <c r="J22" i="1" s="1"/>
  <c r="N22" i="1"/>
  <c r="AT22" i="1"/>
  <c r="AE24" i="1"/>
  <c r="J24" i="1" s="1"/>
  <c r="T25" i="1"/>
  <c r="U25" i="1" s="1"/>
  <c r="AE26" i="1"/>
  <c r="J26" i="1" s="1"/>
  <c r="AT26" i="1"/>
  <c r="N26" i="1"/>
  <c r="AF29" i="1"/>
  <c r="I29" i="1" s="1"/>
  <c r="H29" i="1" s="1"/>
  <c r="T29" i="1" s="1"/>
  <c r="U29" i="1" s="1"/>
  <c r="AE29" i="1"/>
  <c r="J29" i="1" s="1"/>
  <c r="N29" i="1"/>
  <c r="AB22" i="1"/>
  <c r="S17" i="1"/>
  <c r="S19" i="1"/>
  <c r="W22" i="1"/>
  <c r="W26" i="1"/>
  <c r="AE28" i="1"/>
  <c r="J28" i="1" s="1"/>
  <c r="K19" i="1"/>
  <c r="K23" i="1"/>
  <c r="V29" i="1" l="1"/>
  <c r="Z29" i="1" s="1"/>
  <c r="AC29" i="1"/>
  <c r="AB29" i="1"/>
  <c r="T19" i="1"/>
  <c r="U19" i="1" s="1"/>
  <c r="T27" i="1"/>
  <c r="U27" i="1" s="1"/>
  <c r="AA24" i="1"/>
  <c r="Q24" i="1"/>
  <c r="O24" i="1" s="1"/>
  <c r="R24" i="1" s="1"/>
  <c r="L24" i="1" s="1"/>
  <c r="M24" i="1" s="1"/>
  <c r="AC18" i="1"/>
  <c r="V18" i="1"/>
  <c r="Z18" i="1" s="1"/>
  <c r="V25" i="1"/>
  <c r="Z25" i="1" s="1"/>
  <c r="AC25" i="1"/>
  <c r="AB25" i="1"/>
  <c r="AA21" i="1"/>
  <c r="AA17" i="1"/>
  <c r="AA28" i="1"/>
  <c r="T28" i="1"/>
  <c r="U28" i="1" s="1"/>
  <c r="Q28" i="1" s="1"/>
  <c r="O28" i="1" s="1"/>
  <c r="R28" i="1" s="1"/>
  <c r="L28" i="1" s="1"/>
  <c r="M28" i="1" s="1"/>
  <c r="Q18" i="1"/>
  <c r="O18" i="1" s="1"/>
  <c r="R18" i="1" s="1"/>
  <c r="L18" i="1" s="1"/>
  <c r="M18" i="1" s="1"/>
  <c r="V22" i="1"/>
  <c r="Z22" i="1" s="1"/>
  <c r="AC22" i="1"/>
  <c r="AD22" i="1" s="1"/>
  <c r="Q25" i="1"/>
  <c r="O25" i="1" s="1"/>
  <c r="R25" i="1" s="1"/>
  <c r="L25" i="1" s="1"/>
  <c r="M25" i="1" s="1"/>
  <c r="AA25" i="1"/>
  <c r="V20" i="1"/>
  <c r="Z20" i="1" s="1"/>
  <c r="AC20" i="1"/>
  <c r="AD20" i="1" s="1"/>
  <c r="Q29" i="1"/>
  <c r="O29" i="1" s="1"/>
  <c r="R29" i="1" s="1"/>
  <c r="L29" i="1" s="1"/>
  <c r="M29" i="1" s="1"/>
  <c r="AA29" i="1"/>
  <c r="T17" i="1"/>
  <c r="U17" i="1" s="1"/>
  <c r="V24" i="1"/>
  <c r="Z24" i="1" s="1"/>
  <c r="AC24" i="1"/>
  <c r="AB24" i="1"/>
  <c r="AC23" i="1"/>
  <c r="Q23" i="1"/>
  <c r="O23" i="1" s="1"/>
  <c r="R23" i="1" s="1"/>
  <c r="L23" i="1" s="1"/>
  <c r="M23" i="1" s="1"/>
  <c r="V23" i="1"/>
  <c r="Z23" i="1" s="1"/>
  <c r="Q20" i="1"/>
  <c r="O20" i="1" s="1"/>
  <c r="R20" i="1" s="1"/>
  <c r="L20" i="1" s="1"/>
  <c r="M20" i="1" s="1"/>
  <c r="T21" i="1"/>
  <c r="U21" i="1" s="1"/>
  <c r="Q21" i="1" s="1"/>
  <c r="O21" i="1" s="1"/>
  <c r="R21" i="1" s="1"/>
  <c r="L21" i="1" s="1"/>
  <c r="M21" i="1" s="1"/>
  <c r="AC26" i="1"/>
  <c r="AD26" i="1" s="1"/>
  <c r="V26" i="1"/>
  <c r="Z26" i="1" s="1"/>
  <c r="AB18" i="1"/>
  <c r="AB23" i="1"/>
  <c r="Q26" i="1"/>
  <c r="O26" i="1" s="1"/>
  <c r="R26" i="1" s="1"/>
  <c r="L26" i="1" s="1"/>
  <c r="M26" i="1" s="1"/>
  <c r="V17" i="1" l="1"/>
  <c r="Z17" i="1" s="1"/>
  <c r="AB17" i="1"/>
  <c r="AC17" i="1"/>
  <c r="AD17" i="1" s="1"/>
  <c r="AD25" i="1"/>
  <c r="AD23" i="1"/>
  <c r="AC19" i="1"/>
  <c r="AD19" i="1" s="1"/>
  <c r="V19" i="1"/>
  <c r="Z19" i="1" s="1"/>
  <c r="Q19" i="1"/>
  <c r="O19" i="1" s="1"/>
  <c r="R19" i="1" s="1"/>
  <c r="L19" i="1" s="1"/>
  <c r="M19" i="1" s="1"/>
  <c r="AB19" i="1"/>
  <c r="AC27" i="1"/>
  <c r="AD27" i="1" s="1"/>
  <c r="V27" i="1"/>
  <c r="Z27" i="1" s="1"/>
  <c r="AB27" i="1"/>
  <c r="Q27" i="1"/>
  <c r="O27" i="1" s="1"/>
  <c r="R27" i="1" s="1"/>
  <c r="L27" i="1" s="1"/>
  <c r="M27" i="1" s="1"/>
  <c r="AC28" i="1"/>
  <c r="V28" i="1"/>
  <c r="Z28" i="1" s="1"/>
  <c r="AB28" i="1"/>
  <c r="V21" i="1"/>
  <c r="Z21" i="1" s="1"/>
  <c r="AC21" i="1"/>
  <c r="AD21" i="1" s="1"/>
  <c r="AB21" i="1"/>
  <c r="AD24" i="1"/>
  <c r="AD18" i="1"/>
  <c r="AD29" i="1"/>
  <c r="Q17" i="1"/>
  <c r="O17" i="1" s="1"/>
  <c r="R17" i="1" s="1"/>
  <c r="L17" i="1" s="1"/>
  <c r="M17" i="1" s="1"/>
  <c r="AD28" i="1" l="1"/>
</calcChain>
</file>

<file path=xl/sharedStrings.xml><?xml version="1.0" encoding="utf-8"?>
<sst xmlns="http://schemas.openxmlformats.org/spreadsheetml/2006/main" count="818" uniqueCount="370">
  <si>
    <t>File opened</t>
  </si>
  <si>
    <t>2025-08-19 16:24:48</t>
  </si>
  <si>
    <t>Console s/n</t>
  </si>
  <si>
    <t>68C-831462</t>
  </si>
  <si>
    <t>Console ver</t>
  </si>
  <si>
    <t>Bluestem v.2.1.13</t>
  </si>
  <si>
    <t>Scripts ver</t>
  </si>
  <si>
    <t>2024.01  2.1.13, Apr 2024</t>
  </si>
  <si>
    <t>Head s/n</t>
  </si>
  <si>
    <t>68H-581462</t>
  </si>
  <si>
    <t>Head ver</t>
  </si>
  <si>
    <t>1.4.23</t>
  </si>
  <si>
    <t>Head cal</t>
  </si>
  <si>
    <t>{"oxygen": "21", "co2azero": "0.94367", "co2aspan1": "1.00228", "co2aspan2": "-0.036196", "co2aspan2a": "0.260385", "co2aspan2b": "0.258524", "co2aspanconc1": "2010", "co2aspanconc2": "301.2", "co2bzero": "0.904556", "co2bspan1": "1.00334", "co2bspan2": "-0.0382705", "co2bspan2a": "0.262281", "co2bspan2b": "0.260523", "co2bspanconc1": "2010", "co2bspanconc2": "301.2", "h2oazero": "1.02109", "h2oaspan1": "1.01571", "h2oaspan2": "0", "h2oaspan2a": "0.0738364", "h2oaspan2b": "0.0749962", "h2oaspanconc1": "12.57", "h2oaspanconc2": "0", "h2obzero": "1.01275", "h2obspan1": "1.01286", "h2obspan2": "0", "h2obspan2a": "0.0746968", "h2obspan2b": "0.0756572", "h2obspanconc1": "12.57", "h2obspanconc2": "0", "tazero": "0.26865", "tbzero": "-0.0104237", "flowmeterzero": "2.50203", "flowazero": "0.26215", "flowbzero": "0.26238", "chamberpressurezero": "2.59129", "ssa_ref": "32326.6", "ssb_ref": "28106.6"}</t>
  </si>
  <si>
    <t>Factory cal date</t>
  </si>
  <si>
    <t>25 Jun 2024</t>
  </si>
  <si>
    <t>CO2 rangematch</t>
  </si>
  <si>
    <t>Mon Aug 11 14:02</t>
  </si>
  <si>
    <t>H2O rangematch</t>
  </si>
  <si>
    <t>Thu Mar  6 15:58</t>
  </si>
  <si>
    <t>Chamber type</t>
  </si>
  <si>
    <t>6800-12</t>
  </si>
  <si>
    <t>Chamber s/n</t>
  </si>
  <si>
    <t>SLS-561173</t>
  </si>
  <si>
    <t>Chamber rev</t>
  </si>
  <si>
    <t>0</t>
  </si>
  <si>
    <t>Chamber cal</t>
  </si>
  <si>
    <t>8.02</t>
  </si>
  <si>
    <t>16:24:48</t>
  </si>
  <si>
    <t>Stability Definition:	F (FlrLS): Per=20	ΔH2O (Meas2): Slp&lt;0.1 Per=20	ΔCO2 (Meas2): Slp&lt;0.5 Per=20</t>
  </si>
  <si>
    <t>16:24:54</t>
  </si>
  <si>
    <t>Config file loaded: 18 topics from file /home/licor/configs/Tinko/configs aci curve</t>
  </si>
  <si>
    <t>16:24:55</t>
  </si>
  <si>
    <t>SysConst</t>
  </si>
  <si>
    <t>AvgTime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</si>
  <si>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</si>
  <si>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</si>
  <si>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</si>
  <si>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</si>
  <si>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</si>
  <si>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</si>
  <si>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</si>
  <si>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</si>
  <si>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</si>
  <si>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</si>
  <si>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</si>
  <si>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</si>
  <si>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</si>
  <si>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</si>
  <si>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</si>
  <si>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</si>
  <si>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</si>
  <si>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</si>
  <si>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</si>
  <si>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</si>
  <si>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</si>
  <si>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</si>
  <si>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</si>
  <si>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</si>
  <si>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</si>
  <si>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</si>
  <si>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</si>
  <si>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</si>
  <si>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</si>
  <si>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</si>
  <si>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</si>
  <si>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</si>
  <si>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</si>
  <si>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</si>
  <si>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</si>
  <si>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</si>
  <si>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</si>
  <si>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</si>
  <si>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</si>
  <si>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</si>
  <si>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</si>
  <si>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</si>
  <si>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</si>
  <si>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</si>
  <si>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</si>
  <si>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</si>
  <si>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</si>
  <si>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</si>
  <si>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3.37377 165.555 342.782 585.927 854.02 1048.76 1298.78 1488.36</t>
  </si>
  <si>
    <t>Fs_true</t>
  </si>
  <si>
    <t>0.323818 203.11 385.546 593.936 806.114 1001.28 1201.56 1400.57</t>
  </si>
  <si>
    <t>leak_wt</t>
  </si>
  <si>
    <t>SysObs</t>
  </si>
  <si>
    <t>GasEx</t>
  </si>
  <si>
    <t>Dynamic</t>
  </si>
  <si>
    <t>Leak</t>
  </si>
  <si>
    <t>LeafQ</t>
  </si>
  <si>
    <t>Const</t>
  </si>
  <si>
    <t>Meas</t>
  </si>
  <si>
    <t>Meas2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</si>
  <si>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</si>
  <si>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</si>
  <si>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</si>
  <si>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</si>
  <si>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</si>
  <si>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</si>
  <si>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</si>
  <si>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</si>
  <si>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</si>
  <si>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</si>
  <si>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</si>
  <si>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</si>
  <si>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</si>
  <si>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</si>
  <si>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</si>
  <si>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</si>
  <si>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</si>
  <si>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</si>
  <si>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</si>
  <si>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</si>
  <si>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</si>
  <si>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</si>
  <si>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</si>
  <si>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</si>
  <si>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</si>
  <si>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</si>
  <si>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</si>
  <si>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</si>
  <si>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</si>
  <si>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</si>
  <si>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</si>
  <si>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</si>
  <si>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</si>
  <si>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</si>
  <si>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</si>
  <si>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</si>
  <si>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</si>
  <si>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</si>
  <si>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</si>
  <si>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</si>
  <si>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</si>
  <si>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</si>
  <si>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</si>
  <si>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</si>
  <si>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</si>
  <si>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</si>
  <si>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</si>
  <si>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</si>
  <si>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</si>
  <si>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</si>
  <si>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</si>
  <si>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</si>
  <si>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</si>
  <si>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</si>
  <si>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</si>
  <si>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</si>
  <si>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</si>
  <si>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</si>
  <si>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</si>
  <si>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</si>
  <si>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</si>
  <si>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</si>
  <si>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</si>
  <si>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</si>
  <si>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</si>
  <si>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</si>
  <si>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</si>
  <si>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</si>
  <si>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</si>
  <si>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</si>
  <si>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</si>
  <si>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</si>
  <si>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</si>
  <si>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</si>
  <si>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</si>
  <si>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</si>
  <si>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</si>
  <si>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</si>
  <si>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</si>
  <si>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</si>
  <si>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</si>
  <si>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</si>
  <si>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</si>
  <si>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</si>
  <si>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</si>
  <si>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</si>
  <si>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</si>
  <si>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</si>
  <si>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</si>
  <si>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</si>
  <si>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</si>
  <si>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</si>
  <si>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</si>
  <si>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</si>
  <si>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</si>
  <si>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</si>
  <si>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</si>
  <si>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</si>
  <si>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</si>
  <si>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</si>
  <si>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</si>
  <si>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</si>
  <si>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</si>
  <si>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</si>
  <si>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</si>
  <si>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</si>
  <si>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</si>
  <si>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</si>
  <si>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</si>
  <si>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</si>
  <si>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</si>
  <si>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</si>
  <si>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</si>
  <si>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</si>
  <si>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</si>
  <si>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</si>
  <si>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</si>
  <si>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</si>
  <si>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</si>
  <si>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</si>
  <si>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</si>
  <si>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</si>
  <si>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</si>
  <si>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</si>
  <si>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</si>
  <si>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</si>
  <si>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</si>
  <si>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</si>
  <si>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</si>
  <si>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</si>
  <si>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</si>
  <si>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</si>
  <si>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</si>
  <si>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</si>
  <si>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</si>
  <si>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</si>
  <si>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</si>
  <si>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</si>
  <si>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</si>
  <si>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</si>
  <si>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</si>
  <si>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</si>
  <si>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</si>
  <si>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</si>
  <si>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</si>
  <si>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</si>
  <si>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</si>
  <si>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</si>
  <si>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</si>
  <si>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</si>
  <si>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</si>
  <si>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</si>
  <si>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</si>
  <si>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</si>
  <si>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</si>
  <si>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</si>
  <si>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</si>
  <si>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</si>
  <si>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</si>
  <si>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</si>
  <si>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</si>
  <si>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</si>
  <si>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</si>
  <si>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</si>
  <si>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</si>
  <si>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</si>
  <si>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</si>
  <si>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</si>
  <si>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</si>
  <si>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</si>
  <si>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</si>
  <si>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</si>
  <si>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</si>
  <si>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</si>
  <si>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</si>
  <si>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</si>
  <si>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</si>
  <si>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</si>
  <si>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</si>
  <si>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</si>
  <si>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</si>
  <si>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</si>
  <si>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</si>
  <si>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</si>
  <si>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</si>
  <si>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</si>
  <si>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</si>
  <si>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</si>
  <si>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</si>
  <si>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</si>
  <si>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</si>
  <si>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</si>
  <si>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</si>
  <si>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</si>
  <si>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</si>
  <si>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</si>
  <si>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</si>
  <si>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</si>
  <si>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</si>
  <si>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</si>
  <si>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</si>
  <si>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</si>
  <si>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</si>
  <si>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</si>
  <si>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</si>
  <si>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</si>
  <si>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</si>
  <si>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</si>
  <si>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</si>
  <si>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</si>
  <si>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</si>
  <si>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</si>
  <si>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</si>
  <si>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</si>
  <si>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</si>
  <si>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</si>
  <si>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</si>
  <si>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</si>
  <si>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</si>
  <si>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</si>
  <si>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</si>
  <si>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</si>
  <si>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</si>
  <si>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</si>
  <si>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</si>
  <si>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</si>
  <si>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</si>
  <si>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</si>
  <si>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J/µmol</t>
  </si>
  <si>
    <t>cm²</t>
  </si>
  <si>
    <t>rpm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</si>
  <si>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</si>
  <si>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</si>
  <si>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</si>
  <si>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</si>
  <si>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</si>
  <si>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</si>
  <si>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</si>
  <si>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</si>
  <si>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</si>
  <si>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</si>
  <si>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</si>
  <si>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20250819 17:18:31</t>
  </si>
  <si>
    <t>17:18:31</t>
  </si>
  <si>
    <t>0: Broadleaf</t>
  </si>
  <si>
    <t>17:14:45</t>
  </si>
  <si>
    <t>2/2</t>
  </si>
  <si>
    <t>11111111</t>
  </si>
  <si>
    <t>oooooooo</t>
  </si>
  <si>
    <t>on</t>
  </si>
  <si>
    <t>20250819 17:21:32</t>
  </si>
  <si>
    <t>17:21:32</t>
  </si>
  <si>
    <t>20250819 17:24:32</t>
  </si>
  <si>
    <t>17:24:32</t>
  </si>
  <si>
    <t>20250819 17:27:33</t>
  </si>
  <si>
    <t>17:27:33</t>
  </si>
  <si>
    <t>20250819 17:30:33</t>
  </si>
  <si>
    <t>17:30:33</t>
  </si>
  <si>
    <t>20250819 17:33:34</t>
  </si>
  <si>
    <t>17:33:34</t>
  </si>
  <si>
    <t>1/2</t>
  </si>
  <si>
    <t>20250819 17:36:34</t>
  </si>
  <si>
    <t>17:36:34</t>
  </si>
  <si>
    <t>20250819 17:39:35</t>
  </si>
  <si>
    <t>17:39:35</t>
  </si>
  <si>
    <t>20250819 17:42:35</t>
  </si>
  <si>
    <t>17:42:35</t>
  </si>
  <si>
    <t>20250819 17:45:36</t>
  </si>
  <si>
    <t>17:45:36</t>
  </si>
  <si>
    <t>20250819 17:48:36</t>
  </si>
  <si>
    <t>17:48:36</t>
  </si>
  <si>
    <t>20250819 17:51:37</t>
  </si>
  <si>
    <t>17:51:37</t>
  </si>
  <si>
    <t>20250819 17:54:38</t>
  </si>
  <si>
    <t>17:54:38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</si>
</sst>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B29"/>
  <sheetViews>
    <sheetView tabSelected="1" topLeftCell="AQ13" workbookViewId="0">
      <selection activeCell="BA17" sqref="BA17:BA29"/>
    </sheetView>
  </sheetViews>
  <sheetFormatPr defaultRowHeight="14.4" x14ac:dyDescent="0.3"/>
  <sheetData>
    <row r="2" spans="1:210" x14ac:dyDescent="0.3">
      <c r="A2" t="s">
        <v>33</v>
      </c>
      <c r="B2" t="s">
        <v>34</v>
      </c>
      <c r="C2" t="s">
        <v>35</v>
      </c>
    </row>
    <row r="3" spans="1:210" x14ac:dyDescent="0.3">
      <c r="B3">
        <v>5</v>
      </c>
      <c r="C3">
        <v>21</v>
      </c>
    </row>
    <row r="4" spans="1:210" x14ac:dyDescent="0.3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</row>
    <row r="5" spans="1:210" x14ac:dyDescent="0.3">
      <c r="B5" t="s">
        <v>21</v>
      </c>
      <c r="D5">
        <v>0.5</v>
      </c>
      <c r="E5">
        <v>0.44869569641082102</v>
      </c>
      <c r="F5">
        <v>1.9000035327750701E-3</v>
      </c>
      <c r="G5">
        <v>-4.2608878182654401E-2</v>
      </c>
      <c r="H5">
        <v>-3.4565160027444299E-3</v>
      </c>
      <c r="I5">
        <v>2</v>
      </c>
      <c r="J5">
        <v>9</v>
      </c>
      <c r="K5">
        <v>96.7</v>
      </c>
    </row>
    <row r="6" spans="1:210" x14ac:dyDescent="0.3">
      <c r="A6" t="s">
        <v>47</v>
      </c>
      <c r="B6" t="s">
        <v>48</v>
      </c>
      <c r="C6" t="s">
        <v>49</v>
      </c>
      <c r="D6" t="s">
        <v>50</v>
      </c>
      <c r="E6" t="s">
        <v>51</v>
      </c>
    </row>
    <row r="7" spans="1:210" x14ac:dyDescent="0.3">
      <c r="B7">
        <v>0</v>
      </c>
      <c r="C7">
        <v>1</v>
      </c>
      <c r="D7">
        <v>0</v>
      </c>
      <c r="E7">
        <v>0</v>
      </c>
    </row>
    <row r="8" spans="1:210" x14ac:dyDescent="0.3">
      <c r="A8" t="s">
        <v>52</v>
      </c>
      <c r="B8" t="s">
        <v>53</v>
      </c>
      <c r="C8" t="s">
        <v>55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  <c r="P8" t="s">
        <v>69</v>
      </c>
      <c r="Q8" t="s">
        <v>70</v>
      </c>
    </row>
    <row r="9" spans="1:210" x14ac:dyDescent="0.3">
      <c r="B9" t="s">
        <v>54</v>
      </c>
      <c r="C9" t="s">
        <v>56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10" x14ac:dyDescent="0.3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</row>
    <row r="11" spans="1:210" x14ac:dyDescent="0.3">
      <c r="B11">
        <v>1</v>
      </c>
      <c r="C11">
        <v>0</v>
      </c>
      <c r="D11">
        <v>0</v>
      </c>
      <c r="E11">
        <v>0</v>
      </c>
      <c r="F11">
        <v>0</v>
      </c>
    </row>
    <row r="12" spans="1:210" x14ac:dyDescent="0.3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84</v>
      </c>
      <c r="H12" t="s">
        <v>86</v>
      </c>
    </row>
    <row r="13" spans="1:210" x14ac:dyDescent="0.3">
      <c r="B13">
        <v>-6276</v>
      </c>
      <c r="C13">
        <v>6.6</v>
      </c>
      <c r="D13">
        <v>1.7090000000000001E-5</v>
      </c>
      <c r="E13">
        <v>3.11</v>
      </c>
      <c r="F13" t="s">
        <v>83</v>
      </c>
      <c r="G13" t="s">
        <v>85</v>
      </c>
      <c r="H13">
        <v>1.5</v>
      </c>
    </row>
    <row r="14" spans="1:210" x14ac:dyDescent="0.3">
      <c r="A14" t="s">
        <v>87</v>
      </c>
      <c r="B14" t="s">
        <v>87</v>
      </c>
      <c r="C14" t="s">
        <v>87</v>
      </c>
      <c r="D14" t="s">
        <v>87</v>
      </c>
      <c r="E14" t="s">
        <v>87</v>
      </c>
      <c r="F14" t="s">
        <v>87</v>
      </c>
      <c r="G14" t="s">
        <v>88</v>
      </c>
      <c r="H14" t="s">
        <v>88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89</v>
      </c>
      <c r="AH14" t="s">
        <v>89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90</v>
      </c>
      <c r="AR14" t="s">
        <v>90</v>
      </c>
      <c r="AS14" t="s">
        <v>90</v>
      </c>
      <c r="AT14" t="s">
        <v>90</v>
      </c>
      <c r="AU14" t="s">
        <v>90</v>
      </c>
      <c r="AV14" t="s">
        <v>91</v>
      </c>
      <c r="AW14" t="s">
        <v>91</v>
      </c>
      <c r="AX14" t="s">
        <v>91</v>
      </c>
      <c r="AY14" t="s">
        <v>91</v>
      </c>
      <c r="AZ14" t="s">
        <v>92</v>
      </c>
      <c r="BA14" t="s">
        <v>92</v>
      </c>
      <c r="BB14" t="s">
        <v>92</v>
      </c>
      <c r="BC14" t="s">
        <v>92</v>
      </c>
      <c r="BD14" t="s">
        <v>92</v>
      </c>
      <c r="BE14" t="s">
        <v>93</v>
      </c>
      <c r="BF14" t="s">
        <v>93</v>
      </c>
      <c r="BG14" t="s">
        <v>93</v>
      </c>
      <c r="BH14" t="s">
        <v>93</v>
      </c>
      <c r="BI14" t="s">
        <v>93</v>
      </c>
      <c r="BJ14" t="s">
        <v>93</v>
      </c>
      <c r="BK14" t="s">
        <v>93</v>
      </c>
      <c r="BL14" t="s">
        <v>93</v>
      </c>
      <c r="BM14" t="s">
        <v>93</v>
      </c>
      <c r="BN14" t="s">
        <v>93</v>
      </c>
      <c r="BO14" t="s">
        <v>93</v>
      </c>
      <c r="BP14" t="s">
        <v>93</v>
      </c>
      <c r="BQ14" t="s">
        <v>93</v>
      </c>
      <c r="BR14" t="s">
        <v>93</v>
      </c>
      <c r="BS14" t="s">
        <v>93</v>
      </c>
      <c r="BT14" t="s">
        <v>93</v>
      </c>
      <c r="BU14" t="s">
        <v>93</v>
      </c>
      <c r="BV14" t="s">
        <v>93</v>
      </c>
      <c r="BW14" t="s">
        <v>94</v>
      </c>
      <c r="BX14" t="s">
        <v>94</v>
      </c>
      <c r="BY14" t="s">
        <v>94</v>
      </c>
      <c r="BZ14" t="s">
        <v>94</v>
      </c>
      <c r="CA14" t="s">
        <v>94</v>
      </c>
      <c r="CB14" t="s">
        <v>94</v>
      </c>
      <c r="CC14" t="s">
        <v>94</v>
      </c>
      <c r="CD14" t="s">
        <v>94</v>
      </c>
      <c r="CE14" t="s">
        <v>94</v>
      </c>
      <c r="CF14" t="s">
        <v>94</v>
      </c>
      <c r="CG14" t="s">
        <v>95</v>
      </c>
      <c r="CH14" t="s">
        <v>95</v>
      </c>
      <c r="CI14" t="s">
        <v>95</v>
      </c>
      <c r="CJ14" t="s">
        <v>95</v>
      </c>
      <c r="CK14" t="s">
        <v>95</v>
      </c>
      <c r="CL14" t="s">
        <v>95</v>
      </c>
      <c r="CM14" t="s">
        <v>95</v>
      </c>
      <c r="CN14" t="s">
        <v>95</v>
      </c>
      <c r="CO14" t="s">
        <v>95</v>
      </c>
      <c r="CP14" t="s">
        <v>95</v>
      </c>
      <c r="CQ14" t="s">
        <v>95</v>
      </c>
      <c r="CR14" t="s">
        <v>95</v>
      </c>
      <c r="CS14" t="s">
        <v>95</v>
      </c>
      <c r="CT14" t="s">
        <v>96</v>
      </c>
      <c r="CU14" t="s">
        <v>96</v>
      </c>
      <c r="CV14" t="s">
        <v>96</v>
      </c>
      <c r="CW14" t="s">
        <v>96</v>
      </c>
      <c r="CX14" t="s">
        <v>96</v>
      </c>
      <c r="CY14" t="s">
        <v>96</v>
      </c>
      <c r="CZ14" t="s">
        <v>96</v>
      </c>
      <c r="DA14" t="s">
        <v>96</v>
      </c>
      <c r="DB14" t="s">
        <v>96</v>
      </c>
      <c r="DC14" t="s">
        <v>96</v>
      </c>
      <c r="DD14" t="s">
        <v>96</v>
      </c>
      <c r="DE14" t="s">
        <v>96</v>
      </c>
      <c r="DF14" t="s">
        <v>96</v>
      </c>
      <c r="DG14" t="s">
        <v>96</v>
      </c>
      <c r="DH14" t="s">
        <v>96</v>
      </c>
      <c r="DI14" t="s">
        <v>97</v>
      </c>
      <c r="DJ14" t="s">
        <v>97</v>
      </c>
      <c r="DK14" t="s">
        <v>97</v>
      </c>
      <c r="DL14" t="s">
        <v>97</v>
      </c>
      <c r="DM14" t="s">
        <v>97</v>
      </c>
      <c r="DN14" t="s">
        <v>97</v>
      </c>
      <c r="DO14" t="s">
        <v>97</v>
      </c>
      <c r="DP14" t="s">
        <v>97</v>
      </c>
      <c r="DQ14" t="s">
        <v>97</v>
      </c>
      <c r="DR14" t="s">
        <v>97</v>
      </c>
      <c r="DS14" t="s">
        <v>97</v>
      </c>
      <c r="DT14" t="s">
        <v>97</v>
      </c>
      <c r="DU14" t="s">
        <v>97</v>
      </c>
      <c r="DV14" t="s">
        <v>97</v>
      </c>
      <c r="DW14" t="s">
        <v>97</v>
      </c>
      <c r="DX14" t="s">
        <v>97</v>
      </c>
      <c r="DY14" t="s">
        <v>97</v>
      </c>
      <c r="DZ14" t="s">
        <v>97</v>
      </c>
      <c r="EA14" t="s">
        <v>98</v>
      </c>
      <c r="EB14" t="s">
        <v>98</v>
      </c>
      <c r="EC14" t="s">
        <v>98</v>
      </c>
      <c r="ED14" t="s">
        <v>98</v>
      </c>
      <c r="EE14" t="s">
        <v>98</v>
      </c>
      <c r="EF14" t="s">
        <v>98</v>
      </c>
      <c r="EG14" t="s">
        <v>98</v>
      </c>
      <c r="EH14" t="s">
        <v>98</v>
      </c>
      <c r="EI14" t="s">
        <v>98</v>
      </c>
      <c r="EJ14" t="s">
        <v>98</v>
      </c>
      <c r="EK14" t="s">
        <v>98</v>
      </c>
      <c r="EL14" t="s">
        <v>98</v>
      </c>
      <c r="EM14" t="s">
        <v>98</v>
      </c>
      <c r="EN14" t="s">
        <v>98</v>
      </c>
      <c r="EO14" t="s">
        <v>98</v>
      </c>
      <c r="EP14" t="s">
        <v>98</v>
      </c>
      <c r="EQ14" t="s">
        <v>98</v>
      </c>
      <c r="ER14" t="s">
        <v>98</v>
      </c>
      <c r="ES14" t="s">
        <v>98</v>
      </c>
      <c r="ET14" t="s">
        <v>99</v>
      </c>
      <c r="EU14" t="s">
        <v>99</v>
      </c>
      <c r="EV14" t="s">
        <v>99</v>
      </c>
      <c r="EW14" t="s">
        <v>99</v>
      </c>
      <c r="EX14" t="s">
        <v>99</v>
      </c>
      <c r="EY14" t="s">
        <v>99</v>
      </c>
      <c r="EZ14" t="s">
        <v>99</v>
      </c>
      <c r="FA14" t="s">
        <v>99</v>
      </c>
      <c r="FB14" t="s">
        <v>99</v>
      </c>
      <c r="FC14" t="s">
        <v>99</v>
      </c>
      <c r="FD14" t="s">
        <v>99</v>
      </c>
      <c r="FE14" t="s">
        <v>99</v>
      </c>
      <c r="FF14" t="s">
        <v>99</v>
      </c>
      <c r="FG14" t="s">
        <v>99</v>
      </c>
      <c r="FH14" t="s">
        <v>99</v>
      </c>
      <c r="FI14" t="s">
        <v>99</v>
      </c>
      <c r="FJ14" t="s">
        <v>99</v>
      </c>
      <c r="FK14" t="s">
        <v>99</v>
      </c>
      <c r="FL14" t="s">
        <v>99</v>
      </c>
      <c r="FM14" t="s">
        <v>100</v>
      </c>
      <c r="FN14" t="s">
        <v>100</v>
      </c>
      <c r="FO14" t="s">
        <v>100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100</v>
      </c>
      <c r="GD14" t="s">
        <v>100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102</v>
      </c>
      <c r="GN14" t="s">
        <v>102</v>
      </c>
      <c r="GO14" t="s">
        <v>102</v>
      </c>
      <c r="GP14" t="s">
        <v>102</v>
      </c>
      <c r="GQ14" t="s">
        <v>102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</row>
    <row r="15" spans="1:210" x14ac:dyDescent="0.3">
      <c r="A15" t="s">
        <v>103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 t="s">
        <v>109</v>
      </c>
      <c r="H15" t="s">
        <v>110</v>
      </c>
      <c r="I15" t="s">
        <v>111</v>
      </c>
      <c r="J15" t="s">
        <v>112</v>
      </c>
      <c r="K15" t="s">
        <v>113</v>
      </c>
      <c r="L15" t="s">
        <v>114</v>
      </c>
      <c r="M15" t="s">
        <v>115</v>
      </c>
      <c r="N15" t="s">
        <v>116</v>
      </c>
      <c r="O15" t="s">
        <v>117</v>
      </c>
      <c r="P15" t="s">
        <v>118</v>
      </c>
      <c r="Q15" t="s">
        <v>119</v>
      </c>
      <c r="R15" t="s">
        <v>120</v>
      </c>
      <c r="S15" t="s">
        <v>121</v>
      </c>
      <c r="T15" t="s">
        <v>122</v>
      </c>
      <c r="U15" t="s">
        <v>123</v>
      </c>
      <c r="V15" t="s">
        <v>124</v>
      </c>
      <c r="W15" t="s">
        <v>125</v>
      </c>
      <c r="X15" t="s">
        <v>126</v>
      </c>
      <c r="Y15" t="s">
        <v>127</v>
      </c>
      <c r="Z15" t="s">
        <v>128</v>
      </c>
      <c r="AA15" t="s">
        <v>129</v>
      </c>
      <c r="AB15" t="s">
        <v>130</v>
      </c>
      <c r="AC15" t="s">
        <v>131</v>
      </c>
      <c r="AD15" t="s">
        <v>132</v>
      </c>
      <c r="AE15" t="s">
        <v>133</v>
      </c>
      <c r="AF15" t="s">
        <v>134</v>
      </c>
      <c r="AG15" t="s">
        <v>135</v>
      </c>
      <c r="AH15" t="s">
        <v>136</v>
      </c>
      <c r="AI15" t="s">
        <v>137</v>
      </c>
      <c r="AJ15" t="s">
        <v>138</v>
      </c>
      <c r="AK15" t="s">
        <v>139</v>
      </c>
      <c r="AL15" t="s">
        <v>140</v>
      </c>
      <c r="AM15" t="s">
        <v>141</v>
      </c>
      <c r="AN15" t="s">
        <v>142</v>
      </c>
      <c r="AO15" t="s">
        <v>143</v>
      </c>
      <c r="AP15" t="s">
        <v>144</v>
      </c>
      <c r="AQ15" t="s">
        <v>90</v>
      </c>
      <c r="AR15" t="s">
        <v>145</v>
      </c>
      <c r="AS15" t="s">
        <v>146</v>
      </c>
      <c r="AT15" t="s">
        <v>147</v>
      </c>
      <c r="AU15" t="s">
        <v>148</v>
      </c>
      <c r="AV15" t="s">
        <v>149</v>
      </c>
      <c r="AW15" t="s">
        <v>150</v>
      </c>
      <c r="AX15" t="s">
        <v>151</v>
      </c>
      <c r="AY15" t="s">
        <v>152</v>
      </c>
      <c r="AZ15" t="s">
        <v>153</v>
      </c>
      <c r="BA15" t="s">
        <v>154</v>
      </c>
      <c r="BB15" t="s">
        <v>155</v>
      </c>
      <c r="BC15" t="s">
        <v>156</v>
      </c>
      <c r="BD15" t="s">
        <v>157</v>
      </c>
      <c r="BE15" t="s">
        <v>109</v>
      </c>
      <c r="BF15" t="s">
        <v>158</v>
      </c>
      <c r="BG15" t="s">
        <v>159</v>
      </c>
      <c r="BH15" t="s">
        <v>160</v>
      </c>
      <c r="BI15" t="s">
        <v>161</v>
      </c>
      <c r="BJ15" t="s">
        <v>162</v>
      </c>
      <c r="BK15" t="s">
        <v>163</v>
      </c>
      <c r="BL15" t="s">
        <v>164</v>
      </c>
      <c r="BM15" t="s">
        <v>165</v>
      </c>
      <c r="BN15" t="s">
        <v>166</v>
      </c>
      <c r="BO15" t="s">
        <v>167</v>
      </c>
      <c r="BP15" t="s">
        <v>168</v>
      </c>
      <c r="BQ15" t="s">
        <v>169</v>
      </c>
      <c r="BR15" t="s">
        <v>170</v>
      </c>
      <c r="BS15" t="s">
        <v>171</v>
      </c>
      <c r="BT15" t="s">
        <v>172</v>
      </c>
      <c r="BU15" t="s">
        <v>173</v>
      </c>
      <c r="BV15" t="s">
        <v>174</v>
      </c>
      <c r="BW15" t="s">
        <v>175</v>
      </c>
      <c r="BX15" t="s">
        <v>176</v>
      </c>
      <c r="BY15" t="s">
        <v>177</v>
      </c>
      <c r="BZ15" t="s">
        <v>178</v>
      </c>
      <c r="CA15" t="s">
        <v>179</v>
      </c>
      <c r="CB15" t="s">
        <v>180</v>
      </c>
      <c r="CC15" t="s">
        <v>181</v>
      </c>
      <c r="CD15" t="s">
        <v>182</v>
      </c>
      <c r="CE15" t="s">
        <v>183</v>
      </c>
      <c r="CF15" t="s">
        <v>184</v>
      </c>
      <c r="CG15" t="s">
        <v>104</v>
      </c>
      <c r="CH15" t="s">
        <v>107</v>
      </c>
      <c r="CI15" t="s">
        <v>185</v>
      </c>
      <c r="CJ15" t="s">
        <v>186</v>
      </c>
      <c r="CK15" t="s">
        <v>187</v>
      </c>
      <c r="CL15" t="s">
        <v>188</v>
      </c>
      <c r="CM15" t="s">
        <v>189</v>
      </c>
      <c r="CN15" t="s">
        <v>190</v>
      </c>
      <c r="CO15" t="s">
        <v>191</v>
      </c>
      <c r="CP15" t="s">
        <v>192</v>
      </c>
      <c r="CQ15" t="s">
        <v>193</v>
      </c>
      <c r="CR15" t="s">
        <v>194</v>
      </c>
      <c r="CS15" t="s">
        <v>195</v>
      </c>
      <c r="CT15" t="s">
        <v>196</v>
      </c>
      <c r="CU15" t="s">
        <v>197</v>
      </c>
      <c r="CV15" t="s">
        <v>198</v>
      </c>
      <c r="CW15" t="s">
        <v>199</v>
      </c>
      <c r="CX15" t="s">
        <v>200</v>
      </c>
      <c r="CY15" t="s">
        <v>201</v>
      </c>
      <c r="CZ15" t="s">
        <v>202</v>
      </c>
      <c r="DA15" t="s">
        <v>203</v>
      </c>
      <c r="DB15" t="s">
        <v>204</v>
      </c>
      <c r="DC15" t="s">
        <v>205</v>
      </c>
      <c r="DD15" t="s">
        <v>206</v>
      </c>
      <c r="DE15" t="s">
        <v>207</v>
      </c>
      <c r="DF15" t="s">
        <v>208</v>
      </c>
      <c r="DG15" t="s">
        <v>209</v>
      </c>
      <c r="DH15" t="s">
        <v>210</v>
      </c>
      <c r="DI15" t="s">
        <v>211</v>
      </c>
      <c r="DJ15" t="s">
        <v>212</v>
      </c>
      <c r="DK15" t="s">
        <v>213</v>
      </c>
      <c r="DL15" t="s">
        <v>214</v>
      </c>
      <c r="DM15" t="s">
        <v>215</v>
      </c>
      <c r="DN15" t="s">
        <v>216</v>
      </c>
      <c r="DO15" t="s">
        <v>217</v>
      </c>
      <c r="DP15" t="s">
        <v>218</v>
      </c>
      <c r="DQ15" t="s">
        <v>219</v>
      </c>
      <c r="DR15" t="s">
        <v>220</v>
      </c>
      <c r="DS15" t="s">
        <v>221</v>
      </c>
      <c r="DT15" t="s">
        <v>222</v>
      </c>
      <c r="DU15" t="s">
        <v>223</v>
      </c>
      <c r="DV15" t="s">
        <v>224</v>
      </c>
      <c r="DW15" t="s">
        <v>225</v>
      </c>
      <c r="DX15" t="s">
        <v>226</v>
      </c>
      <c r="DY15" t="s">
        <v>227</v>
      </c>
      <c r="DZ15" t="s">
        <v>228</v>
      </c>
      <c r="EA15" t="s">
        <v>229</v>
      </c>
      <c r="EB15" t="s">
        <v>230</v>
      </c>
      <c r="EC15" t="s">
        <v>231</v>
      </c>
      <c r="ED15" t="s">
        <v>232</v>
      </c>
      <c r="EE15" t="s">
        <v>233</v>
      </c>
      <c r="EF15" t="s">
        <v>234</v>
      </c>
      <c r="EG15" t="s">
        <v>235</v>
      </c>
      <c r="EH15" t="s">
        <v>236</v>
      </c>
      <c r="EI15" t="s">
        <v>237</v>
      </c>
      <c r="EJ15" t="s">
        <v>238</v>
      </c>
      <c r="EK15" t="s">
        <v>239</v>
      </c>
      <c r="EL15" t="s">
        <v>240</v>
      </c>
      <c r="EM15" t="s">
        <v>241</v>
      </c>
      <c r="EN15" t="s">
        <v>242</v>
      </c>
      <c r="EO15" t="s">
        <v>243</v>
      </c>
      <c r="EP15" t="s">
        <v>244</v>
      </c>
      <c r="EQ15" t="s">
        <v>245</v>
      </c>
      <c r="ER15" t="s">
        <v>246</v>
      </c>
      <c r="ES15" t="s">
        <v>247</v>
      </c>
      <c r="ET15" t="s">
        <v>248</v>
      </c>
      <c r="EU15" t="s">
        <v>249</v>
      </c>
      <c r="EV15" t="s">
        <v>250</v>
      </c>
      <c r="EW15" t="s">
        <v>251</v>
      </c>
      <c r="EX15" t="s">
        <v>252</v>
      </c>
      <c r="EY15" t="s">
        <v>253</v>
      </c>
      <c r="EZ15" t="s">
        <v>254</v>
      </c>
      <c r="FA15" t="s">
        <v>255</v>
      </c>
      <c r="FB15" t="s">
        <v>256</v>
      </c>
      <c r="FC15" t="s">
        <v>257</v>
      </c>
      <c r="FD15" t="s">
        <v>258</v>
      </c>
      <c r="FE15" t="s">
        <v>259</v>
      </c>
      <c r="FF15" t="s">
        <v>260</v>
      </c>
      <c r="FG15" t="s">
        <v>261</v>
      </c>
      <c r="FH15" t="s">
        <v>262</v>
      </c>
      <c r="FI15" t="s">
        <v>263</v>
      </c>
      <c r="FJ15" t="s">
        <v>264</v>
      </c>
      <c r="FK15" t="s">
        <v>265</v>
      </c>
      <c r="FL15" t="s">
        <v>266</v>
      </c>
      <c r="FM15" t="s">
        <v>267</v>
      </c>
      <c r="FN15" t="s">
        <v>268</v>
      </c>
      <c r="FO15" t="s">
        <v>269</v>
      </c>
      <c r="FP15" t="s">
        <v>270</v>
      </c>
      <c r="FQ15" t="s">
        <v>271</v>
      </c>
      <c r="FR15" t="s">
        <v>272</v>
      </c>
      <c r="FS15" t="s">
        <v>273</v>
      </c>
      <c r="FT15" t="s">
        <v>274</v>
      </c>
      <c r="FU15" t="s">
        <v>275</v>
      </c>
      <c r="FV15" t="s">
        <v>276</v>
      </c>
      <c r="FW15" t="s">
        <v>277</v>
      </c>
      <c r="FX15" t="s">
        <v>278</v>
      </c>
      <c r="FY15" t="s">
        <v>279</v>
      </c>
      <c r="FZ15" t="s">
        <v>280</v>
      </c>
      <c r="GA15" t="s">
        <v>281</v>
      </c>
      <c r="GB15" t="s">
        <v>282</v>
      </c>
      <c r="GC15" t="s">
        <v>283</v>
      </c>
      <c r="GD15" t="s">
        <v>284</v>
      </c>
      <c r="GE15" t="s">
        <v>285</v>
      </c>
      <c r="GF15" t="s">
        <v>286</v>
      </c>
      <c r="GG15" t="s">
        <v>287</v>
      </c>
      <c r="GH15" t="s">
        <v>288</v>
      </c>
      <c r="GI15" t="s">
        <v>289</v>
      </c>
      <c r="GJ15" t="s">
        <v>290</v>
      </c>
      <c r="GK15" t="s">
        <v>291</v>
      </c>
      <c r="GL15" t="s">
        <v>292</v>
      </c>
      <c r="GM15" t="s">
        <v>293</v>
      </c>
      <c r="GN15" t="s">
        <v>294</v>
      </c>
      <c r="GO15" t="s">
        <v>295</v>
      </c>
      <c r="GP15" t="s">
        <v>296</v>
      </c>
      <c r="GQ15" t="s">
        <v>297</v>
      </c>
      <c r="GR15" t="s">
        <v>298</v>
      </c>
      <c r="GS15" t="s">
        <v>299</v>
      </c>
      <c r="GT15" t="s">
        <v>300</v>
      </c>
      <c r="GU15" t="s">
        <v>301</v>
      </c>
      <c r="GV15" t="s">
        <v>302</v>
      </c>
      <c r="GW15" t="s">
        <v>303</v>
      </c>
      <c r="GX15" t="s">
        <v>304</v>
      </c>
      <c r="GY15" t="s">
        <v>305</v>
      </c>
      <c r="GZ15" t="s">
        <v>306</v>
      </c>
      <c r="HA15" t="s">
        <v>307</v>
      </c>
      <c r="HB15" t="s">
        <v>308</v>
      </c>
    </row>
    <row r="16" spans="1:210" x14ac:dyDescent="0.3">
      <c r="B16" t="s">
        <v>309</v>
      </c>
      <c r="C16" t="s">
        <v>309</v>
      </c>
      <c r="F16" t="s">
        <v>309</v>
      </c>
      <c r="G16" t="s">
        <v>309</v>
      </c>
      <c r="H16" t="s">
        <v>310</v>
      </c>
      <c r="I16" t="s">
        <v>311</v>
      </c>
      <c r="J16" t="s">
        <v>312</v>
      </c>
      <c r="K16" t="s">
        <v>313</v>
      </c>
      <c r="L16" t="s">
        <v>313</v>
      </c>
      <c r="M16" t="s">
        <v>165</v>
      </c>
      <c r="N16" t="s">
        <v>165</v>
      </c>
      <c r="O16" t="s">
        <v>310</v>
      </c>
      <c r="P16" t="s">
        <v>310</v>
      </c>
      <c r="Q16" t="s">
        <v>310</v>
      </c>
      <c r="R16" t="s">
        <v>310</v>
      </c>
      <c r="S16" t="s">
        <v>314</v>
      </c>
      <c r="T16" t="s">
        <v>315</v>
      </c>
      <c r="U16" t="s">
        <v>315</v>
      </c>
      <c r="V16" t="s">
        <v>316</v>
      </c>
      <c r="W16" t="s">
        <v>317</v>
      </c>
      <c r="X16" t="s">
        <v>316</v>
      </c>
      <c r="Y16" t="s">
        <v>316</v>
      </c>
      <c r="Z16" t="s">
        <v>316</v>
      </c>
      <c r="AA16" t="s">
        <v>314</v>
      </c>
      <c r="AB16" t="s">
        <v>314</v>
      </c>
      <c r="AC16" t="s">
        <v>314</v>
      </c>
      <c r="AD16" t="s">
        <v>314</v>
      </c>
      <c r="AE16" t="s">
        <v>312</v>
      </c>
      <c r="AF16" t="s">
        <v>311</v>
      </c>
      <c r="AG16" t="s">
        <v>312</v>
      </c>
      <c r="AH16" t="s">
        <v>313</v>
      </c>
      <c r="AI16" t="s">
        <v>313</v>
      </c>
      <c r="AJ16" t="s">
        <v>318</v>
      </c>
      <c r="AK16" t="s">
        <v>319</v>
      </c>
      <c r="AL16" t="s">
        <v>311</v>
      </c>
      <c r="AM16" t="s">
        <v>320</v>
      </c>
      <c r="AN16" t="s">
        <v>320</v>
      </c>
      <c r="AO16" t="s">
        <v>321</v>
      </c>
      <c r="AP16" t="s">
        <v>319</v>
      </c>
      <c r="AQ16" t="s">
        <v>322</v>
      </c>
      <c r="AR16" t="s">
        <v>317</v>
      </c>
      <c r="AT16" t="s">
        <v>317</v>
      </c>
      <c r="AU16" t="s">
        <v>322</v>
      </c>
      <c r="AV16" t="s">
        <v>312</v>
      </c>
      <c r="AW16" t="s">
        <v>312</v>
      </c>
      <c r="AY16" t="s">
        <v>323</v>
      </c>
      <c r="AZ16" t="s">
        <v>324</v>
      </c>
      <c r="BC16" t="s">
        <v>310</v>
      </c>
      <c r="BE16" t="s">
        <v>309</v>
      </c>
      <c r="BF16" t="s">
        <v>313</v>
      </c>
      <c r="BG16" t="s">
        <v>313</v>
      </c>
      <c r="BH16" t="s">
        <v>320</v>
      </c>
      <c r="BI16" t="s">
        <v>320</v>
      </c>
      <c r="BJ16" t="s">
        <v>313</v>
      </c>
      <c r="BK16" t="s">
        <v>320</v>
      </c>
      <c r="BL16" t="s">
        <v>322</v>
      </c>
      <c r="BM16" t="s">
        <v>316</v>
      </c>
      <c r="BN16" t="s">
        <v>316</v>
      </c>
      <c r="BO16" t="s">
        <v>315</v>
      </c>
      <c r="BP16" t="s">
        <v>315</v>
      </c>
      <c r="BQ16" t="s">
        <v>315</v>
      </c>
      <c r="BR16" t="s">
        <v>315</v>
      </c>
      <c r="BS16" t="s">
        <v>315</v>
      </c>
      <c r="BT16" t="s">
        <v>325</v>
      </c>
      <c r="BU16" t="s">
        <v>312</v>
      </c>
      <c r="BV16" t="s">
        <v>312</v>
      </c>
      <c r="BW16" t="s">
        <v>313</v>
      </c>
      <c r="BX16" t="s">
        <v>313</v>
      </c>
      <c r="BY16" t="s">
        <v>313</v>
      </c>
      <c r="BZ16" t="s">
        <v>320</v>
      </c>
      <c r="CA16" t="s">
        <v>313</v>
      </c>
      <c r="CB16" t="s">
        <v>320</v>
      </c>
      <c r="CC16" t="s">
        <v>316</v>
      </c>
      <c r="CD16" t="s">
        <v>316</v>
      </c>
      <c r="CE16" t="s">
        <v>315</v>
      </c>
      <c r="CF16" t="s">
        <v>315</v>
      </c>
      <c r="CG16" t="s">
        <v>326</v>
      </c>
      <c r="CI16" t="s">
        <v>309</v>
      </c>
      <c r="CJ16" t="s">
        <v>309</v>
      </c>
      <c r="CL16" t="s">
        <v>327</v>
      </c>
      <c r="CM16" t="s">
        <v>328</v>
      </c>
      <c r="CN16" t="s">
        <v>327</v>
      </c>
      <c r="CO16" t="s">
        <v>328</v>
      </c>
      <c r="CP16" t="s">
        <v>327</v>
      </c>
      <c r="CQ16" t="s">
        <v>328</v>
      </c>
      <c r="CR16" t="s">
        <v>317</v>
      </c>
      <c r="CS16" t="s">
        <v>317</v>
      </c>
      <c r="CT16" t="s">
        <v>313</v>
      </c>
      <c r="CU16" t="s">
        <v>329</v>
      </c>
      <c r="CV16" t="s">
        <v>313</v>
      </c>
      <c r="CY16" t="s">
        <v>330</v>
      </c>
      <c r="DB16" t="s">
        <v>320</v>
      </c>
      <c r="DC16" t="s">
        <v>331</v>
      </c>
      <c r="DD16" t="s">
        <v>320</v>
      </c>
      <c r="DI16" t="s">
        <v>332</v>
      </c>
      <c r="DJ16" t="s">
        <v>332</v>
      </c>
      <c r="DW16" t="s">
        <v>332</v>
      </c>
      <c r="DX16" t="s">
        <v>332</v>
      </c>
      <c r="DY16" t="s">
        <v>333</v>
      </c>
      <c r="DZ16" t="s">
        <v>333</v>
      </c>
      <c r="EA16" t="s">
        <v>315</v>
      </c>
      <c r="EB16" t="s">
        <v>315</v>
      </c>
      <c r="EC16" t="s">
        <v>317</v>
      </c>
      <c r="ED16" t="s">
        <v>315</v>
      </c>
      <c r="EE16" t="s">
        <v>320</v>
      </c>
      <c r="EF16" t="s">
        <v>317</v>
      </c>
      <c r="EG16" t="s">
        <v>317</v>
      </c>
      <c r="EI16" t="s">
        <v>332</v>
      </c>
      <c r="EJ16" t="s">
        <v>332</v>
      </c>
      <c r="EK16" t="s">
        <v>332</v>
      </c>
      <c r="EL16" t="s">
        <v>332</v>
      </c>
      <c r="EM16" t="s">
        <v>332</v>
      </c>
      <c r="EN16" t="s">
        <v>332</v>
      </c>
      <c r="EO16" t="s">
        <v>332</v>
      </c>
      <c r="EP16" t="s">
        <v>334</v>
      </c>
      <c r="EQ16" t="s">
        <v>334</v>
      </c>
      <c r="ER16" t="s">
        <v>334</v>
      </c>
      <c r="ES16" t="s">
        <v>335</v>
      </c>
      <c r="ET16" t="s">
        <v>332</v>
      </c>
      <c r="EU16" t="s">
        <v>332</v>
      </c>
      <c r="EV16" t="s">
        <v>332</v>
      </c>
      <c r="EW16" t="s">
        <v>332</v>
      </c>
      <c r="EX16" t="s">
        <v>332</v>
      </c>
      <c r="EY16" t="s">
        <v>332</v>
      </c>
      <c r="EZ16" t="s">
        <v>332</v>
      </c>
      <c r="FA16" t="s">
        <v>332</v>
      </c>
      <c r="FB16" t="s">
        <v>332</v>
      </c>
      <c r="FC16" t="s">
        <v>332</v>
      </c>
      <c r="FD16" t="s">
        <v>332</v>
      </c>
      <c r="FE16" t="s">
        <v>332</v>
      </c>
      <c r="FL16" t="s">
        <v>332</v>
      </c>
      <c r="FM16" t="s">
        <v>317</v>
      </c>
      <c r="FN16" t="s">
        <v>317</v>
      </c>
      <c r="FO16" t="s">
        <v>327</v>
      </c>
      <c r="FP16" t="s">
        <v>328</v>
      </c>
      <c r="FQ16" t="s">
        <v>327</v>
      </c>
      <c r="FU16" t="s">
        <v>328</v>
      </c>
      <c r="FY16" t="s">
        <v>313</v>
      </c>
      <c r="FZ16" t="s">
        <v>313</v>
      </c>
      <c r="GA16" t="s">
        <v>320</v>
      </c>
      <c r="GB16" t="s">
        <v>320</v>
      </c>
      <c r="GC16" t="s">
        <v>336</v>
      </c>
      <c r="GD16" t="s">
        <v>336</v>
      </c>
      <c r="GE16" t="s">
        <v>332</v>
      </c>
      <c r="GF16" t="s">
        <v>332</v>
      </c>
      <c r="GG16" t="s">
        <v>332</v>
      </c>
      <c r="GH16" t="s">
        <v>332</v>
      </c>
      <c r="GI16" t="s">
        <v>332</v>
      </c>
      <c r="GJ16" t="s">
        <v>332</v>
      </c>
      <c r="GK16" t="s">
        <v>315</v>
      </c>
      <c r="GL16" t="s">
        <v>332</v>
      </c>
      <c r="GN16" t="s">
        <v>322</v>
      </c>
      <c r="GO16" t="s">
        <v>322</v>
      </c>
      <c r="GP16" t="s">
        <v>315</v>
      </c>
      <c r="GQ16" t="s">
        <v>315</v>
      </c>
      <c r="GR16" t="s">
        <v>315</v>
      </c>
      <c r="GS16" t="s">
        <v>315</v>
      </c>
      <c r="GT16" t="s">
        <v>315</v>
      </c>
      <c r="GU16" t="s">
        <v>317</v>
      </c>
      <c r="GV16" t="s">
        <v>317</v>
      </c>
      <c r="GW16" t="s">
        <v>317</v>
      </c>
      <c r="GX16" t="s">
        <v>315</v>
      </c>
      <c r="GY16" t="s">
        <v>313</v>
      </c>
      <c r="GZ16" t="s">
        <v>320</v>
      </c>
      <c r="HA16" t="s">
        <v>317</v>
      </c>
      <c r="HB16" t="s">
        <v>317</v>
      </c>
    </row>
    <row r="17" spans="1:210" x14ac:dyDescent="0.3">
      <c r="A17">
        <v>1</v>
      </c>
      <c r="B17">
        <v>1755616711.5</v>
      </c>
      <c r="C17">
        <v>0</v>
      </c>
      <c r="D17" t="s">
        <v>337</v>
      </c>
      <c r="E17" t="s">
        <v>338</v>
      </c>
      <c r="F17">
        <v>15</v>
      </c>
      <c r="G17">
        <v>1755616703.5</v>
      </c>
      <c r="H17">
        <f t="shared" ref="H17:H29" si="0">(I17)/1000</f>
        <v>4.0320653930420343E-3</v>
      </c>
      <c r="I17">
        <f t="shared" ref="I17:I29" si="1">IF(BD17, AL17, AF17)</f>
        <v>4.0320653930420347</v>
      </c>
      <c r="J17">
        <f t="shared" ref="J17:J29" si="2">IF(BD17, AG17, AE17)</f>
        <v>36.190151332470712</v>
      </c>
      <c r="K17">
        <f t="shared" ref="K17:K29" si="3">BF17 - IF(AS17&gt;1, J17*AZ17*100/(AU17), 0)</f>
        <v>365.2570322580645</v>
      </c>
      <c r="L17">
        <f t="shared" ref="L17:L29" si="4">((R17-H17/2)*K17-J17)/(R17+H17/2)</f>
        <v>293.9554965808278</v>
      </c>
      <c r="M17">
        <f t="shared" ref="M17:M29" si="5">L17*(BM17+BN17)/1000</f>
        <v>29.787103778827134</v>
      </c>
      <c r="N17">
        <f t="shared" ref="N17:N29" si="6">(BF17 - IF(AS17&gt;1, J17*AZ17*100/(AU17), 0))*(BM17+BN17)/1000</f>
        <v>37.012232301721085</v>
      </c>
      <c r="O17">
        <f t="shared" ref="O17:O29" si="7">2/((1/Q17-1/P17)+SIGN(Q17)*SQRT((1/Q17-1/P17)*(1/Q17-1/P17) + 4*BA17/((BA17+1)*(BA17+1))*(2*1/Q17*1/P17-1/P17*1/P17)))</f>
        <v>0.99095958982166421</v>
      </c>
      <c r="P17">
        <f t="shared" ref="P17:P29" si="8">IF(LEFT(BB17,1)&lt;&gt;"0",IF(LEFT(BB17,1)="1",3,BC17),$D$5+$E$5*(BT17*BM17/($K$5*1000))+$F$5*(BT17*BM17/($K$5*1000))*MAX(MIN(AZ17,$J$5),$I$5)*MAX(MIN(AZ17,$J$5),$I$5)+$G$5*MAX(MIN(AZ17,$J$5),$I$5)*(BT17*BM17/($K$5*1000))+$H$5*(BT17*BM17/($K$5*1000))*(BT17*BM17/($K$5*1000)))</f>
        <v>2.4151507175505613</v>
      </c>
      <c r="Q17">
        <f t="shared" ref="Q17:Q29" si="9">H17*(1000-(1000*0.61365*EXP(17.502*U17/(240.97+U17))/(BM17+BN17)+BH17)/2)/(1000*0.61365*EXP(17.502*U17/(240.97+U17))/(BM17+BN17)-BH17)</f>
        <v>0.82121845880068489</v>
      </c>
      <c r="R17">
        <f t="shared" ref="R17:R29" si="10">1/((BA17+1)/(O17/1.6)+1/(P17/1.37)) + BA17/((BA17+1)/(O17/1.6) + BA17/(P17/1.37))</f>
        <v>0.52620388871293799</v>
      </c>
      <c r="S17">
        <f t="shared" ref="S17:S29" si="11">(AV17*AY17)</f>
        <v>220.18474838709668</v>
      </c>
      <c r="T17">
        <f t="shared" ref="T17:T29" si="12">(BO17+(S17+2*0.95*0.0000000567*(((BO17+$B$7)+273)^4-(BO17+273)^4)-44100*H17)/(1.84*29.3*P17+8*0.95*0.0000000567*(BO17+273)^3))</f>
        <v>27.094815722547835</v>
      </c>
      <c r="U17">
        <f t="shared" ref="U17:U29" si="13">($C$7*BP17+$D$7*BQ17+$E$7*T17)</f>
        <v>25.912151612903219</v>
      </c>
      <c r="V17">
        <f t="shared" ref="V17:V29" si="14">0.61365*EXP(17.502*U17/(240.97+U17))</f>
        <v>3.3567578715305202</v>
      </c>
      <c r="W17">
        <f t="shared" ref="W17:W29" si="15">(X17/Y17*100)</f>
        <v>81.281548809018204</v>
      </c>
      <c r="X17">
        <f t="shared" ref="X17:X29" si="16">BH17*(BM17+BN17)/1000</f>
        <v>2.874529493497346</v>
      </c>
      <c r="Y17">
        <f t="shared" ref="Y17:Y29" si="17">0.61365*EXP(17.502*BO17/(240.97+BO17))</f>
        <v>3.5365092516278627</v>
      </c>
      <c r="Z17">
        <f t="shared" ref="Z17:Z29" si="18">(V17-BH17*(BM17+BN17)/1000)</f>
        <v>0.4822283780331742</v>
      </c>
      <c r="AA17">
        <f t="shared" ref="AA17:AA29" si="19">(-H17*44100)</f>
        <v>-177.81408383315372</v>
      </c>
      <c r="AB17">
        <f t="shared" ref="AB17:AB29" si="20">2*29.3*P17*0.92*(BO17-U17)</f>
        <v>115.08789465166143</v>
      </c>
      <c r="AC17">
        <f t="shared" ref="AC17:AC29" si="21">2*0.95*0.0000000567*(((BO17+$B$7)+273)^4-(U17+273)^4)</f>
        <v>10.217700928165041</v>
      </c>
      <c r="AD17">
        <f t="shared" ref="AD17:AD29" si="22">S17+AC17+AA17+AB17</f>
        <v>167.67626013376943</v>
      </c>
      <c r="AE17">
        <f t="shared" ref="AE17:AE29" si="23">BL17*AS17*(BG17-BF17*(1000-AS17*BI17)/(1000-AS17*BH17))/(100*AZ17)</f>
        <v>36.190151332470712</v>
      </c>
      <c r="AF17">
        <f t="shared" ref="AF17:AF29" si="24">1000*BL17*AS17*(BH17-BI17)/(100*AZ17*(1000-AS17*BH17))</f>
        <v>4.0320653930420347</v>
      </c>
      <c r="AG17">
        <f t="shared" ref="AG17:AG29" si="25">(AH17 - AI17 - BM17*1000/(8.314*(BO17+273.15)) * AK17/BL17 * AJ17) * BL17/(100*AZ17) * (1000 - BI17)/1000</f>
        <v>36.213189836841629</v>
      </c>
      <c r="AH17">
        <v>458.97513439092808</v>
      </c>
      <c r="AI17">
        <v>375.87616969696978</v>
      </c>
      <c r="AJ17">
        <v>-1.0875557391250049E-3</v>
      </c>
      <c r="AK17">
        <v>84.014661243559686</v>
      </c>
      <c r="AL17">
        <f t="shared" ref="AL17:AL29" si="26">(AN17 - AM17 + BM17*1000/(8.314*(BO17+273.15)) * AP17/BL17 * AO17) * BL17/(100*AZ17) * 1000/(1000 - AN17)</f>
        <v>4.0334683881289859</v>
      </c>
      <c r="AM17">
        <v>19.553414855905149</v>
      </c>
      <c r="AN17">
        <v>28.371403007518779</v>
      </c>
      <c r="AO17">
        <v>2.471103333576439E-5</v>
      </c>
      <c r="AP17">
        <v>90.527890321289746</v>
      </c>
      <c r="AQ17">
        <v>0</v>
      </c>
      <c r="AR17">
        <v>0</v>
      </c>
      <c r="AS17">
        <f t="shared" ref="AS17:AS29" si="27">IF(AQ17*$H$13&gt;=AU17,1,(AU17/(AU17-AQ17*$H$13)))</f>
        <v>1</v>
      </c>
      <c r="AT17">
        <f t="shared" ref="AT17:AT29" si="28">(AS17-1)*100</f>
        <v>0</v>
      </c>
      <c r="AU17">
        <f t="shared" ref="AU17:AU29" si="29">MAX(0,($B$13+$C$13*BT17)/(1+$D$13*BT17)*BM17/(BO17+273)*$E$13)</f>
        <v>53568.631574235667</v>
      </c>
      <c r="AV17">
        <f t="shared" ref="AV17:AV29" si="30">$B$11*BU17+$C$11*BV17</f>
        <v>1158.867096774193</v>
      </c>
      <c r="AW17">
        <f t="shared" ref="AW17:AW29" si="31">AV17*AX17</f>
        <v>927.09367741935444</v>
      </c>
      <c r="AX17">
        <f t="shared" ref="AX17:AX29" si="32">($B$11*$D$9+$C$11*$D$9)/($B$11+$C$11)</f>
        <v>0.8</v>
      </c>
      <c r="AY17">
        <f t="shared" ref="AY17:AY29" si="33">($B$11*$K$9+$C$11*$K$9)/($B$11+$C$11)</f>
        <v>0.19</v>
      </c>
      <c r="AZ17">
        <v>9</v>
      </c>
      <c r="BA17">
        <v>1.21</v>
      </c>
      <c r="BB17" t="s">
        <v>339</v>
      </c>
      <c r="BC17">
        <v>2</v>
      </c>
      <c r="BD17" t="b">
        <v>0</v>
      </c>
      <c r="BE17">
        <v>1755616703.5</v>
      </c>
      <c r="BF17">
        <v>365.2570322580645</v>
      </c>
      <c r="BG17">
        <v>450.00229032258062</v>
      </c>
      <c r="BH17">
        <v>28.36743548387096</v>
      </c>
      <c r="BI17">
        <v>19.55225161290322</v>
      </c>
      <c r="BJ17">
        <v>363.02800000000002</v>
      </c>
      <c r="BK17">
        <v>28.110458064516131</v>
      </c>
      <c r="BL17">
        <v>399.9822903225807</v>
      </c>
      <c r="BM17">
        <v>101.232064516129</v>
      </c>
      <c r="BN17">
        <v>9.9953851612903211E-2</v>
      </c>
      <c r="BO17">
        <v>26.796045161290319</v>
      </c>
      <c r="BP17">
        <v>25.912151612903219</v>
      </c>
      <c r="BQ17">
        <v>999.90000000000032</v>
      </c>
      <c r="BR17">
        <v>0</v>
      </c>
      <c r="BS17">
        <v>0</v>
      </c>
      <c r="BT17">
        <v>10000.6935483871</v>
      </c>
      <c r="BU17">
        <v>1158.867096774193</v>
      </c>
      <c r="BV17">
        <v>13.96839999999999</v>
      </c>
      <c r="BW17">
        <v>-84.745316129032261</v>
      </c>
      <c r="BX17">
        <v>375.92093548387112</v>
      </c>
      <c r="BY17">
        <v>458.97638709677409</v>
      </c>
      <c r="BZ17">
        <v>8.8151896774193563</v>
      </c>
      <c r="CA17">
        <v>450.00229032258062</v>
      </c>
      <c r="CB17">
        <v>19.55225161290322</v>
      </c>
      <c r="CC17">
        <v>2.8716967741935489</v>
      </c>
      <c r="CD17">
        <v>1.9793161290322581</v>
      </c>
      <c r="CE17">
        <v>23.302112903225801</v>
      </c>
      <c r="CF17">
        <v>17.279829032258061</v>
      </c>
      <c r="CG17">
        <v>1755616485</v>
      </c>
      <c r="CH17" t="s">
        <v>340</v>
      </c>
      <c r="CI17">
        <v>1755616477.5</v>
      </c>
      <c r="CJ17">
        <v>1755616485</v>
      </c>
      <c r="CK17">
        <v>6</v>
      </c>
      <c r="CL17">
        <v>-0.23100000000000001</v>
      </c>
      <c r="CM17">
        <v>0.03</v>
      </c>
      <c r="CN17">
        <v>2.97</v>
      </c>
      <c r="CO17">
        <v>0.25700000000000001</v>
      </c>
      <c r="CP17">
        <v>450</v>
      </c>
      <c r="CQ17">
        <v>20</v>
      </c>
      <c r="CR17">
        <v>0.02</v>
      </c>
      <c r="CS17">
        <v>0.01</v>
      </c>
      <c r="CT17">
        <v>-84.74322926829268</v>
      </c>
      <c r="CU17">
        <v>-0.13097770034845621</v>
      </c>
      <c r="CV17">
        <v>3.4232022120946511E-2</v>
      </c>
      <c r="CW17">
        <v>1</v>
      </c>
      <c r="CX17">
        <v>0</v>
      </c>
      <c r="CY17">
        <v>0</v>
      </c>
      <c r="CZ17">
        <v>0</v>
      </c>
      <c r="DA17">
        <v>-1</v>
      </c>
      <c r="DB17">
        <v>8.8153751219512184</v>
      </c>
      <c r="DC17">
        <v>4.5336585365923854E-3</v>
      </c>
      <c r="DD17">
        <v>2.916728138498362E-3</v>
      </c>
      <c r="DE17">
        <v>1</v>
      </c>
      <c r="DF17">
        <v>2</v>
      </c>
      <c r="DG17">
        <v>2</v>
      </c>
      <c r="DH17" t="s">
        <v>341</v>
      </c>
      <c r="DI17">
        <v>3.02468</v>
      </c>
      <c r="DJ17">
        <v>2.6913299999999998</v>
      </c>
      <c r="DK17">
        <v>8.6668099999999998E-2</v>
      </c>
      <c r="DL17">
        <v>0.102531</v>
      </c>
      <c r="DM17">
        <v>0.134377</v>
      </c>
      <c r="DN17">
        <v>0.10465000000000001</v>
      </c>
      <c r="DO17">
        <v>25456.400000000001</v>
      </c>
      <c r="DP17">
        <v>16223.1</v>
      </c>
      <c r="DQ17">
        <v>26444</v>
      </c>
      <c r="DR17">
        <v>16415.400000000001</v>
      </c>
      <c r="DS17">
        <v>32541</v>
      </c>
      <c r="DT17">
        <v>19174.2</v>
      </c>
      <c r="DU17">
        <v>38526.5</v>
      </c>
      <c r="DV17">
        <v>21728.2</v>
      </c>
      <c r="DW17">
        <v>1.7940199999999999</v>
      </c>
      <c r="DX17">
        <v>2.1972200000000002</v>
      </c>
      <c r="DY17">
        <v>7.6550199999999999E-2</v>
      </c>
      <c r="DZ17">
        <v>0</v>
      </c>
      <c r="EA17">
        <v>24.6555</v>
      </c>
      <c r="EB17">
        <v>999.9</v>
      </c>
      <c r="EC17">
        <v>56.4</v>
      </c>
      <c r="ED17">
        <v>32</v>
      </c>
      <c r="EE17">
        <v>26.605899999999998</v>
      </c>
      <c r="EF17">
        <v>62.6462</v>
      </c>
      <c r="EG17">
        <v>34.8718</v>
      </c>
      <c r="EH17">
        <v>1</v>
      </c>
      <c r="EI17">
        <v>1.23537E-2</v>
      </c>
      <c r="EJ17">
        <v>-0.21342700000000001</v>
      </c>
      <c r="EK17">
        <v>20.3277</v>
      </c>
      <c r="EL17">
        <v>5.2490399999999999</v>
      </c>
      <c r="EM17">
        <v>11.962</v>
      </c>
      <c r="EN17">
        <v>4.98888</v>
      </c>
      <c r="EO17">
        <v>3.2910400000000002</v>
      </c>
      <c r="EP17">
        <v>9999</v>
      </c>
      <c r="EQ17">
        <v>9999</v>
      </c>
      <c r="ER17">
        <v>9999</v>
      </c>
      <c r="ES17">
        <v>999.9</v>
      </c>
      <c r="ET17">
        <v>4.9726999999999997</v>
      </c>
      <c r="EU17">
        <v>1.8719399999999999</v>
      </c>
      <c r="EV17">
        <v>1.87212</v>
      </c>
      <c r="EW17">
        <v>1.8771899999999999</v>
      </c>
      <c r="EX17">
        <v>1.87134</v>
      </c>
      <c r="EY17">
        <v>1.8721000000000001</v>
      </c>
      <c r="EZ17">
        <v>1.8717999999999999</v>
      </c>
      <c r="FA17">
        <v>1.8687400000000001</v>
      </c>
      <c r="FB17">
        <v>0</v>
      </c>
      <c r="FC17">
        <v>0</v>
      </c>
      <c r="FD17">
        <v>0</v>
      </c>
      <c r="FE17">
        <v>0</v>
      </c>
      <c r="FF17" t="s">
        <v>342</v>
      </c>
      <c r="FG17" t="s">
        <v>343</v>
      </c>
      <c r="FH17" t="s">
        <v>344</v>
      </c>
      <c r="FI17" t="s">
        <v>344</v>
      </c>
      <c r="FJ17" t="s">
        <v>344</v>
      </c>
      <c r="FK17" t="s">
        <v>344</v>
      </c>
      <c r="FL17">
        <v>0</v>
      </c>
      <c r="FM17">
        <v>100</v>
      </c>
      <c r="FN17">
        <v>100</v>
      </c>
      <c r="FO17">
        <v>2.2280000000000002</v>
      </c>
      <c r="FP17">
        <v>0.25700000000000001</v>
      </c>
      <c r="FQ17">
        <v>-0.62182825409685183</v>
      </c>
      <c r="FR17">
        <v>7.0338458001993282E-3</v>
      </c>
      <c r="FS17">
        <v>2.3387658340725169E-6</v>
      </c>
      <c r="FT17">
        <v>-2.2874075696057401E-10</v>
      </c>
      <c r="FU17">
        <v>0.25698499999999308</v>
      </c>
      <c r="FV17">
        <v>0</v>
      </c>
      <c r="FW17">
        <v>0</v>
      </c>
      <c r="FX17">
        <v>0</v>
      </c>
      <c r="FY17">
        <v>3</v>
      </c>
      <c r="FZ17">
        <v>2105</v>
      </c>
      <c r="GA17">
        <v>-1</v>
      </c>
      <c r="GB17">
        <v>-1</v>
      </c>
      <c r="GC17">
        <v>3.9</v>
      </c>
      <c r="GD17">
        <v>3.8</v>
      </c>
      <c r="GE17">
        <v>1.1035200000000001</v>
      </c>
      <c r="GF17">
        <v>2.6232899999999999</v>
      </c>
      <c r="GG17">
        <v>1.7981</v>
      </c>
      <c r="GH17">
        <v>2.3791500000000001</v>
      </c>
      <c r="GI17">
        <v>1.5979000000000001</v>
      </c>
      <c r="GJ17">
        <v>2.5695800000000002</v>
      </c>
      <c r="GK17">
        <v>35.267099999999999</v>
      </c>
      <c r="GL17">
        <v>24.1663</v>
      </c>
      <c r="GM17">
        <v>18</v>
      </c>
      <c r="GN17">
        <v>359.96699999999998</v>
      </c>
      <c r="GO17">
        <v>673.10199999999998</v>
      </c>
      <c r="GP17">
        <v>25.83</v>
      </c>
      <c r="GQ17">
        <v>27.2089</v>
      </c>
      <c r="GR17">
        <v>30.0001</v>
      </c>
      <c r="GS17">
        <v>27.142900000000001</v>
      </c>
      <c r="GT17">
        <v>27.177800000000001</v>
      </c>
      <c r="GU17">
        <v>22.0413</v>
      </c>
      <c r="GV17">
        <v>31.602699999999999</v>
      </c>
      <c r="GW17">
        <v>0</v>
      </c>
      <c r="GX17">
        <v>25.83</v>
      </c>
      <c r="GY17">
        <v>450</v>
      </c>
      <c r="GZ17">
        <v>19.5</v>
      </c>
      <c r="HA17">
        <v>100.491</v>
      </c>
      <c r="HB17">
        <v>67.855199999999996</v>
      </c>
    </row>
    <row r="18" spans="1:210" x14ac:dyDescent="0.3">
      <c r="A18">
        <v>2</v>
      </c>
      <c r="B18">
        <v>1755616892</v>
      </c>
      <c r="C18">
        <v>180.5</v>
      </c>
      <c r="D18" t="s">
        <v>345</v>
      </c>
      <c r="E18" t="s">
        <v>346</v>
      </c>
      <c r="F18">
        <v>15</v>
      </c>
      <c r="G18">
        <v>1755616884.25</v>
      </c>
      <c r="H18">
        <f t="shared" si="0"/>
        <v>4.0937046931596331E-3</v>
      </c>
      <c r="I18">
        <f t="shared" si="1"/>
        <v>4.0937046931596335</v>
      </c>
      <c r="J18">
        <f t="shared" si="2"/>
        <v>24.482734021540779</v>
      </c>
      <c r="K18">
        <f t="shared" si="3"/>
        <v>242.6898333333333</v>
      </c>
      <c r="L18">
        <f t="shared" si="4"/>
        <v>196.02172998092851</v>
      </c>
      <c r="M18">
        <f t="shared" si="5"/>
        <v>19.862951256682798</v>
      </c>
      <c r="N18">
        <f t="shared" si="6"/>
        <v>24.591846681801425</v>
      </c>
      <c r="O18">
        <f t="shared" si="7"/>
        <v>1.0303440479664898</v>
      </c>
      <c r="P18">
        <f t="shared" si="8"/>
        <v>2.4147347005172781</v>
      </c>
      <c r="Q18">
        <f t="shared" si="9"/>
        <v>0.84806491627824754</v>
      </c>
      <c r="R18">
        <f t="shared" si="10"/>
        <v>0.54385565281547787</v>
      </c>
      <c r="S18">
        <f t="shared" si="11"/>
        <v>220.17978999999997</v>
      </c>
      <c r="T18">
        <f t="shared" si="12"/>
        <v>27.075292254659505</v>
      </c>
      <c r="U18">
        <f t="shared" si="13"/>
        <v>25.915753333333331</v>
      </c>
      <c r="V18">
        <f t="shared" si="14"/>
        <v>3.3574738204884009</v>
      </c>
      <c r="W18">
        <f t="shared" si="15"/>
        <v>81.534226227700927</v>
      </c>
      <c r="X18">
        <f t="shared" si="16"/>
        <v>2.8834035189397902</v>
      </c>
      <c r="Y18">
        <f t="shared" si="17"/>
        <v>3.5364332898521647</v>
      </c>
      <c r="Z18">
        <f t="shared" si="18"/>
        <v>0.47407030154861074</v>
      </c>
      <c r="AA18">
        <f t="shared" si="19"/>
        <v>-180.53237696833983</v>
      </c>
      <c r="AB18">
        <f t="shared" si="20"/>
        <v>114.55164914704727</v>
      </c>
      <c r="AC18">
        <f t="shared" si="21"/>
        <v>10.172009028528148</v>
      </c>
      <c r="AD18">
        <f t="shared" si="22"/>
        <v>164.37107120723556</v>
      </c>
      <c r="AE18">
        <f t="shared" si="23"/>
        <v>24.482734021540779</v>
      </c>
      <c r="AF18">
        <f t="shared" si="24"/>
        <v>4.0937046931596335</v>
      </c>
      <c r="AG18">
        <f t="shared" si="25"/>
        <v>24.482264869432559</v>
      </c>
      <c r="AH18">
        <v>305.9683227029355</v>
      </c>
      <c r="AI18">
        <v>249.78479999999999</v>
      </c>
      <c r="AJ18">
        <v>-2.4437718368265187E-4</v>
      </c>
      <c r="AK18">
        <v>84.014661243559686</v>
      </c>
      <c r="AL18">
        <f t="shared" si="26"/>
        <v>4.0963941438126872</v>
      </c>
      <c r="AM18">
        <v>19.506061247157099</v>
      </c>
      <c r="AN18">
        <v>28.461320150375929</v>
      </c>
      <c r="AO18">
        <v>4.7299863931550347E-6</v>
      </c>
      <c r="AP18">
        <v>90.527890321289746</v>
      </c>
      <c r="AQ18">
        <v>0</v>
      </c>
      <c r="AR18">
        <v>0</v>
      </c>
      <c r="AS18">
        <f t="shared" si="27"/>
        <v>1</v>
      </c>
      <c r="AT18">
        <f t="shared" si="28"/>
        <v>0</v>
      </c>
      <c r="AU18">
        <f t="shared" si="29"/>
        <v>53554.748330946233</v>
      </c>
      <c r="AV18">
        <f t="shared" si="30"/>
        <v>1158.8409999999999</v>
      </c>
      <c r="AW18">
        <f t="shared" si="31"/>
        <v>927.07279999999992</v>
      </c>
      <c r="AX18">
        <f t="shared" si="32"/>
        <v>0.8</v>
      </c>
      <c r="AY18">
        <f t="shared" si="33"/>
        <v>0.19</v>
      </c>
      <c r="AZ18">
        <v>9</v>
      </c>
      <c r="BA18">
        <v>1.21</v>
      </c>
      <c r="BB18" t="s">
        <v>339</v>
      </c>
      <c r="BC18">
        <v>2</v>
      </c>
      <c r="BD18" t="b">
        <v>0</v>
      </c>
      <c r="BE18">
        <v>1755616884.25</v>
      </c>
      <c r="BF18">
        <v>242.6898333333333</v>
      </c>
      <c r="BG18">
        <v>300.01610000000011</v>
      </c>
      <c r="BH18">
        <v>28.455476666666659</v>
      </c>
      <c r="BI18">
        <v>19.506</v>
      </c>
      <c r="BJ18">
        <v>241.47986666666671</v>
      </c>
      <c r="BK18">
        <v>28.198493333333332</v>
      </c>
      <c r="BL18">
        <v>399.96693333333332</v>
      </c>
      <c r="BM18">
        <v>101.2304</v>
      </c>
      <c r="BN18">
        <v>9.9953826666666648E-2</v>
      </c>
      <c r="BO18">
        <v>26.795680000000001</v>
      </c>
      <c r="BP18">
        <v>25.915753333333331</v>
      </c>
      <c r="BQ18">
        <v>999.9000000000002</v>
      </c>
      <c r="BR18">
        <v>0</v>
      </c>
      <c r="BS18">
        <v>0</v>
      </c>
      <c r="BT18">
        <v>9998.15</v>
      </c>
      <c r="BU18">
        <v>1158.8409999999999</v>
      </c>
      <c r="BV18">
        <v>13.968400000000001</v>
      </c>
      <c r="BW18">
        <v>-57.326396666666668</v>
      </c>
      <c r="BX18">
        <v>249.7979</v>
      </c>
      <c r="BY18">
        <v>305.98466666666673</v>
      </c>
      <c r="BZ18">
        <v>8.9494809999999969</v>
      </c>
      <c r="CA18">
        <v>300.01610000000011</v>
      </c>
      <c r="CB18">
        <v>19.506</v>
      </c>
      <c r="CC18">
        <v>2.8805603333333338</v>
      </c>
      <c r="CD18">
        <v>1.974599666666667</v>
      </c>
      <c r="CE18">
        <v>23.353149999999989</v>
      </c>
      <c r="CF18">
        <v>17.242116666666661</v>
      </c>
      <c r="CG18">
        <v>1755616485</v>
      </c>
      <c r="CH18" t="s">
        <v>340</v>
      </c>
      <c r="CI18">
        <v>1755616477.5</v>
      </c>
      <c r="CJ18">
        <v>1755616485</v>
      </c>
      <c r="CK18">
        <v>6</v>
      </c>
      <c r="CL18">
        <v>-0.23100000000000001</v>
      </c>
      <c r="CM18">
        <v>0.03</v>
      </c>
      <c r="CN18">
        <v>2.97</v>
      </c>
      <c r="CO18">
        <v>0.25700000000000001</v>
      </c>
      <c r="CP18">
        <v>450</v>
      </c>
      <c r="CQ18">
        <v>20</v>
      </c>
      <c r="CR18">
        <v>0.02</v>
      </c>
      <c r="CS18">
        <v>0.01</v>
      </c>
      <c r="CT18">
        <v>-57.312231707317068</v>
      </c>
      <c r="CU18">
        <v>-0.18089895470381109</v>
      </c>
      <c r="CV18">
        <v>3.1029187196261191E-2</v>
      </c>
      <c r="CW18">
        <v>1</v>
      </c>
      <c r="CX18">
        <v>0</v>
      </c>
      <c r="CY18">
        <v>0</v>
      </c>
      <c r="CZ18">
        <v>0</v>
      </c>
      <c r="DA18">
        <v>-1</v>
      </c>
      <c r="DB18">
        <v>8.9487834146341463</v>
      </c>
      <c r="DC18">
        <v>2.535261324043683E-2</v>
      </c>
      <c r="DD18">
        <v>2.990403847232309E-3</v>
      </c>
      <c r="DE18">
        <v>1</v>
      </c>
      <c r="DF18">
        <v>2</v>
      </c>
      <c r="DG18">
        <v>2</v>
      </c>
      <c r="DH18" t="s">
        <v>341</v>
      </c>
      <c r="DI18">
        <v>3.0245799999999998</v>
      </c>
      <c r="DJ18">
        <v>2.6912400000000001</v>
      </c>
      <c r="DK18">
        <v>6.2131400000000003E-2</v>
      </c>
      <c r="DL18">
        <v>7.4787800000000001E-2</v>
      </c>
      <c r="DM18">
        <v>0.134663</v>
      </c>
      <c r="DN18">
        <v>0.10448300000000001</v>
      </c>
      <c r="DO18">
        <v>26139.3</v>
      </c>
      <c r="DP18">
        <v>16724.3</v>
      </c>
      <c r="DQ18">
        <v>26443.200000000001</v>
      </c>
      <c r="DR18">
        <v>16415.099999999999</v>
      </c>
      <c r="DS18">
        <v>32527.9</v>
      </c>
      <c r="DT18">
        <v>19177.099999999999</v>
      </c>
      <c r="DU18">
        <v>38524.699999999997</v>
      </c>
      <c r="DV18">
        <v>21727.9</v>
      </c>
      <c r="DW18">
        <v>1.7934600000000001</v>
      </c>
      <c r="DX18">
        <v>2.19672</v>
      </c>
      <c r="DY18">
        <v>7.6949600000000007E-2</v>
      </c>
      <c r="DZ18">
        <v>0</v>
      </c>
      <c r="EA18">
        <v>24.653400000000001</v>
      </c>
      <c r="EB18">
        <v>999.9</v>
      </c>
      <c r="EC18">
        <v>56.4</v>
      </c>
      <c r="ED18">
        <v>32</v>
      </c>
      <c r="EE18">
        <v>26.604099999999999</v>
      </c>
      <c r="EF18">
        <v>62.756300000000003</v>
      </c>
      <c r="EG18">
        <v>34.907899999999998</v>
      </c>
      <c r="EH18">
        <v>1</v>
      </c>
      <c r="EI18">
        <v>1.33496E-2</v>
      </c>
      <c r="EJ18">
        <v>-0.210484</v>
      </c>
      <c r="EK18">
        <v>20.328299999999999</v>
      </c>
      <c r="EL18">
        <v>5.2491599999999998</v>
      </c>
      <c r="EM18">
        <v>11.962</v>
      </c>
      <c r="EN18">
        <v>4.9898400000000001</v>
      </c>
      <c r="EO18">
        <v>3.2914400000000001</v>
      </c>
      <c r="EP18">
        <v>9999</v>
      </c>
      <c r="EQ18">
        <v>9999</v>
      </c>
      <c r="ER18">
        <v>9999</v>
      </c>
      <c r="ES18">
        <v>999.9</v>
      </c>
      <c r="ET18">
        <v>4.9726600000000003</v>
      </c>
      <c r="EU18">
        <v>1.8718900000000001</v>
      </c>
      <c r="EV18">
        <v>1.87212</v>
      </c>
      <c r="EW18">
        <v>1.8771800000000001</v>
      </c>
      <c r="EX18">
        <v>1.87134</v>
      </c>
      <c r="EY18">
        <v>1.8721000000000001</v>
      </c>
      <c r="EZ18">
        <v>1.8717600000000001</v>
      </c>
      <c r="FA18">
        <v>1.8687400000000001</v>
      </c>
      <c r="FB18">
        <v>0</v>
      </c>
      <c r="FC18">
        <v>0</v>
      </c>
      <c r="FD18">
        <v>0</v>
      </c>
      <c r="FE18">
        <v>0</v>
      </c>
      <c r="FF18" t="s">
        <v>342</v>
      </c>
      <c r="FG18" t="s">
        <v>343</v>
      </c>
      <c r="FH18" t="s">
        <v>344</v>
      </c>
      <c r="FI18" t="s">
        <v>344</v>
      </c>
      <c r="FJ18" t="s">
        <v>344</v>
      </c>
      <c r="FK18" t="s">
        <v>344</v>
      </c>
      <c r="FL18">
        <v>0</v>
      </c>
      <c r="FM18">
        <v>100</v>
      </c>
      <c r="FN18">
        <v>100</v>
      </c>
      <c r="FO18">
        <v>1.21</v>
      </c>
      <c r="FP18">
        <v>0.25700000000000001</v>
      </c>
      <c r="FQ18">
        <v>-0.62182825409685183</v>
      </c>
      <c r="FR18">
        <v>7.0338458001993282E-3</v>
      </c>
      <c r="FS18">
        <v>2.3387658340725169E-6</v>
      </c>
      <c r="FT18">
        <v>-2.2874075696057401E-10</v>
      </c>
      <c r="FU18">
        <v>0.25698499999999308</v>
      </c>
      <c r="FV18">
        <v>0</v>
      </c>
      <c r="FW18">
        <v>0</v>
      </c>
      <c r="FX18">
        <v>0</v>
      </c>
      <c r="FY18">
        <v>3</v>
      </c>
      <c r="FZ18">
        <v>2105</v>
      </c>
      <c r="GA18">
        <v>-1</v>
      </c>
      <c r="GB18">
        <v>-1</v>
      </c>
      <c r="GC18">
        <v>6.9</v>
      </c>
      <c r="GD18">
        <v>6.8</v>
      </c>
      <c r="GE18">
        <v>0.80078099999999997</v>
      </c>
      <c r="GF18">
        <v>2.6403799999999999</v>
      </c>
      <c r="GG18">
        <v>1.7981</v>
      </c>
      <c r="GH18">
        <v>2.3791500000000001</v>
      </c>
      <c r="GI18">
        <v>1.5979000000000001</v>
      </c>
      <c r="GJ18">
        <v>2.5659200000000002</v>
      </c>
      <c r="GK18">
        <v>35.244</v>
      </c>
      <c r="GL18">
        <v>24.1663</v>
      </c>
      <c r="GM18">
        <v>18</v>
      </c>
      <c r="GN18">
        <v>359.76</v>
      </c>
      <c r="GO18">
        <v>672.81700000000001</v>
      </c>
      <c r="GP18">
        <v>25.830100000000002</v>
      </c>
      <c r="GQ18">
        <v>27.222300000000001</v>
      </c>
      <c r="GR18">
        <v>30.0001</v>
      </c>
      <c r="GS18">
        <v>27.154699999999998</v>
      </c>
      <c r="GT18">
        <v>27.189699999999998</v>
      </c>
      <c r="GU18">
        <v>15.987500000000001</v>
      </c>
      <c r="GV18">
        <v>31.875299999999999</v>
      </c>
      <c r="GW18">
        <v>0</v>
      </c>
      <c r="GX18">
        <v>25.83</v>
      </c>
      <c r="GY18">
        <v>300</v>
      </c>
      <c r="GZ18">
        <v>19.5</v>
      </c>
      <c r="HA18">
        <v>100.48699999999999</v>
      </c>
      <c r="HB18">
        <v>67.854200000000006</v>
      </c>
    </row>
    <row r="19" spans="1:210" x14ac:dyDescent="0.3">
      <c r="A19">
        <v>3</v>
      </c>
      <c r="B19">
        <v>1755617072.5999999</v>
      </c>
      <c r="C19">
        <v>361.09999990463263</v>
      </c>
      <c r="D19" t="s">
        <v>347</v>
      </c>
      <c r="E19" t="s">
        <v>348</v>
      </c>
      <c r="F19">
        <v>15</v>
      </c>
      <c r="G19">
        <v>1755617064.849999</v>
      </c>
      <c r="H19">
        <f t="shared" si="0"/>
        <v>4.1321831343520705E-3</v>
      </c>
      <c r="I19">
        <f t="shared" si="1"/>
        <v>4.1321831343520703</v>
      </c>
      <c r="J19">
        <f t="shared" si="2"/>
        <v>15.330062991064569</v>
      </c>
      <c r="K19">
        <f t="shared" si="3"/>
        <v>163.98593333333329</v>
      </c>
      <c r="L19">
        <f t="shared" si="4"/>
        <v>135.5034387209918</v>
      </c>
      <c r="M19">
        <f t="shared" si="5"/>
        <v>13.730742219349901</v>
      </c>
      <c r="N19">
        <f t="shared" si="6"/>
        <v>16.616910976228077</v>
      </c>
      <c r="O19">
        <f t="shared" si="7"/>
        <v>1.0666282159856113</v>
      </c>
      <c r="P19">
        <f t="shared" si="8"/>
        <v>2.414899935509724</v>
      </c>
      <c r="Q19">
        <f t="shared" si="9"/>
        <v>0.87251238654428664</v>
      </c>
      <c r="R19">
        <f t="shared" si="10"/>
        <v>0.55995219780412797</v>
      </c>
      <c r="S19">
        <f t="shared" si="11"/>
        <v>220.12260000000001</v>
      </c>
      <c r="T19">
        <f t="shared" si="12"/>
        <v>27.070276520585182</v>
      </c>
      <c r="U19">
        <f t="shared" si="13"/>
        <v>25.919546666666669</v>
      </c>
      <c r="V19">
        <f t="shared" si="14"/>
        <v>3.3582280024086022</v>
      </c>
      <c r="W19">
        <f t="shared" si="15"/>
        <v>81.773791948967656</v>
      </c>
      <c r="X19">
        <f t="shared" si="16"/>
        <v>2.8931300889125668</v>
      </c>
      <c r="Y19">
        <f t="shared" si="17"/>
        <v>3.5379673853428182</v>
      </c>
      <c r="Z19">
        <f t="shared" si="18"/>
        <v>0.46509791349603535</v>
      </c>
      <c r="AA19">
        <f t="shared" si="19"/>
        <v>-182.22927622492631</v>
      </c>
      <c r="AB19">
        <f t="shared" si="20"/>
        <v>115.02557533028229</v>
      </c>
      <c r="AC19">
        <f t="shared" si="21"/>
        <v>10.213965724321985</v>
      </c>
      <c r="AD19">
        <f t="shared" si="22"/>
        <v>163.13286482967797</v>
      </c>
      <c r="AE19">
        <f t="shared" si="23"/>
        <v>15.330062991064569</v>
      </c>
      <c r="AF19">
        <f t="shared" si="24"/>
        <v>4.1321831343520703</v>
      </c>
      <c r="AG19">
        <f t="shared" si="25"/>
        <v>15.316011794577923</v>
      </c>
      <c r="AH19">
        <v>203.93914226242401</v>
      </c>
      <c r="AI19">
        <v>168.79706666666661</v>
      </c>
      <c r="AJ19">
        <v>-1.1109313483571159E-4</v>
      </c>
      <c r="AK19">
        <v>84.014661243559686</v>
      </c>
      <c r="AL19">
        <f t="shared" si="26"/>
        <v>4.1353336969622134</v>
      </c>
      <c r="AM19">
        <v>19.519674580965798</v>
      </c>
      <c r="AN19">
        <v>28.55734751879697</v>
      </c>
      <c r="AO19">
        <v>7.1173887102036273E-6</v>
      </c>
      <c r="AP19">
        <v>90.527890321289746</v>
      </c>
      <c r="AQ19">
        <v>0</v>
      </c>
      <c r="AR19">
        <v>0</v>
      </c>
      <c r="AS19">
        <f t="shared" si="27"/>
        <v>1</v>
      </c>
      <c r="AT19">
        <f t="shared" si="28"/>
        <v>0</v>
      </c>
      <c r="AU19">
        <f t="shared" si="29"/>
        <v>53558.976957793362</v>
      </c>
      <c r="AV19">
        <f t="shared" si="30"/>
        <v>1158.54</v>
      </c>
      <c r="AW19">
        <f t="shared" si="31"/>
        <v>926.83199999999999</v>
      </c>
      <c r="AX19">
        <f t="shared" si="32"/>
        <v>0.8</v>
      </c>
      <c r="AY19">
        <f t="shared" si="33"/>
        <v>0.19</v>
      </c>
      <c r="AZ19">
        <v>9</v>
      </c>
      <c r="BA19">
        <v>1.21</v>
      </c>
      <c r="BB19" t="s">
        <v>339</v>
      </c>
      <c r="BC19">
        <v>2</v>
      </c>
      <c r="BD19" t="b">
        <v>0</v>
      </c>
      <c r="BE19">
        <v>1755617064.849999</v>
      </c>
      <c r="BF19">
        <v>163.98593333333329</v>
      </c>
      <c r="BG19">
        <v>199.9990333333333</v>
      </c>
      <c r="BH19">
        <v>28.551193333333341</v>
      </c>
      <c r="BI19">
        <v>19.520283333333339</v>
      </c>
      <c r="BJ19">
        <v>163.39709999999999</v>
      </c>
      <c r="BK19">
        <v>28.294206666666671</v>
      </c>
      <c r="BL19">
        <v>400.04649999999998</v>
      </c>
      <c r="BM19">
        <v>101.2313333333333</v>
      </c>
      <c r="BN19">
        <v>9.998599666666666E-2</v>
      </c>
      <c r="BO19">
        <v>26.803053333333331</v>
      </c>
      <c r="BP19">
        <v>25.919546666666669</v>
      </c>
      <c r="BQ19">
        <v>999.9000000000002</v>
      </c>
      <c r="BR19">
        <v>0</v>
      </c>
      <c r="BS19">
        <v>0</v>
      </c>
      <c r="BT19">
        <v>9999.1333333333332</v>
      </c>
      <c r="BU19">
        <v>1158.54</v>
      </c>
      <c r="BV19">
        <v>13.968400000000001</v>
      </c>
      <c r="BW19">
        <v>-36.013036666666657</v>
      </c>
      <c r="BX19">
        <v>168.80556666666669</v>
      </c>
      <c r="BY19">
        <v>203.98076666666671</v>
      </c>
      <c r="BZ19">
        <v>9.0308986666666673</v>
      </c>
      <c r="CA19">
        <v>199.9990333333333</v>
      </c>
      <c r="CB19">
        <v>19.520283333333339</v>
      </c>
      <c r="CC19">
        <v>2.8902779999999999</v>
      </c>
      <c r="CD19">
        <v>1.9760676666666659</v>
      </c>
      <c r="CE19">
        <v>23.40896333333334</v>
      </c>
      <c r="CF19">
        <v>17.253853333333328</v>
      </c>
      <c r="CG19">
        <v>1755616485</v>
      </c>
      <c r="CH19" t="s">
        <v>340</v>
      </c>
      <c r="CI19">
        <v>1755616477.5</v>
      </c>
      <c r="CJ19">
        <v>1755616485</v>
      </c>
      <c r="CK19">
        <v>6</v>
      </c>
      <c r="CL19">
        <v>-0.23100000000000001</v>
      </c>
      <c r="CM19">
        <v>0.03</v>
      </c>
      <c r="CN19">
        <v>2.97</v>
      </c>
      <c r="CO19">
        <v>0.25700000000000001</v>
      </c>
      <c r="CP19">
        <v>450</v>
      </c>
      <c r="CQ19">
        <v>20</v>
      </c>
      <c r="CR19">
        <v>0.02</v>
      </c>
      <c r="CS19">
        <v>0.01</v>
      </c>
      <c r="CT19">
        <v>-36.016540000000013</v>
      </c>
      <c r="CU19">
        <v>2.8894559099507881E-2</v>
      </c>
      <c r="CV19">
        <v>2.5543940573059469E-2</v>
      </c>
      <c r="CW19">
        <v>1</v>
      </c>
      <c r="CX19">
        <v>0</v>
      </c>
      <c r="CY19">
        <v>0</v>
      </c>
      <c r="CZ19">
        <v>0</v>
      </c>
      <c r="DA19">
        <v>-1</v>
      </c>
      <c r="DB19">
        <v>9.0290280000000003</v>
      </c>
      <c r="DC19">
        <v>5.3937861163218102E-2</v>
      </c>
      <c r="DD19">
        <v>5.3620169712524906E-3</v>
      </c>
      <c r="DE19">
        <v>1</v>
      </c>
      <c r="DF19">
        <v>2</v>
      </c>
      <c r="DG19">
        <v>2</v>
      </c>
      <c r="DH19" t="s">
        <v>341</v>
      </c>
      <c r="DI19">
        <v>3.0245600000000001</v>
      </c>
      <c r="DJ19">
        <v>2.6911800000000001</v>
      </c>
      <c r="DK19">
        <v>4.3964900000000001E-2</v>
      </c>
      <c r="DL19">
        <v>5.2975500000000002E-2</v>
      </c>
      <c r="DM19">
        <v>0.13496900000000001</v>
      </c>
      <c r="DN19">
        <v>0.104521</v>
      </c>
      <c r="DO19">
        <v>26645.3</v>
      </c>
      <c r="DP19">
        <v>17118.599999999999</v>
      </c>
      <c r="DQ19">
        <v>26442.9</v>
      </c>
      <c r="DR19">
        <v>16415.2</v>
      </c>
      <c r="DS19">
        <v>32515.7</v>
      </c>
      <c r="DT19">
        <v>19176.3</v>
      </c>
      <c r="DU19">
        <v>38524.699999999997</v>
      </c>
      <c r="DV19">
        <v>21728.2</v>
      </c>
      <c r="DW19">
        <v>1.7934000000000001</v>
      </c>
      <c r="DX19">
        <v>2.1964199999999998</v>
      </c>
      <c r="DY19">
        <v>7.70092E-2</v>
      </c>
      <c r="DZ19">
        <v>0</v>
      </c>
      <c r="EA19">
        <v>24.662800000000001</v>
      </c>
      <c r="EB19">
        <v>999.9</v>
      </c>
      <c r="EC19">
        <v>56.5</v>
      </c>
      <c r="ED19">
        <v>32</v>
      </c>
      <c r="EE19">
        <v>26.650300000000001</v>
      </c>
      <c r="EF19">
        <v>62.696300000000001</v>
      </c>
      <c r="EG19">
        <v>34.623399999999997</v>
      </c>
      <c r="EH19">
        <v>1</v>
      </c>
      <c r="EI19">
        <v>1.4252000000000001E-2</v>
      </c>
      <c r="EJ19">
        <v>-0.204878</v>
      </c>
      <c r="EK19">
        <v>20.328099999999999</v>
      </c>
      <c r="EL19">
        <v>5.2517899999999997</v>
      </c>
      <c r="EM19">
        <v>11.962</v>
      </c>
      <c r="EN19">
        <v>4.9897200000000002</v>
      </c>
      <c r="EO19">
        <v>3.29128</v>
      </c>
      <c r="EP19">
        <v>9999</v>
      </c>
      <c r="EQ19">
        <v>9999</v>
      </c>
      <c r="ER19">
        <v>9999</v>
      </c>
      <c r="ES19">
        <v>999.9</v>
      </c>
      <c r="ET19">
        <v>4.9726999999999997</v>
      </c>
      <c r="EU19">
        <v>1.8719300000000001</v>
      </c>
      <c r="EV19">
        <v>1.87212</v>
      </c>
      <c r="EW19">
        <v>1.87723</v>
      </c>
      <c r="EX19">
        <v>1.87134</v>
      </c>
      <c r="EY19">
        <v>1.8721000000000001</v>
      </c>
      <c r="EZ19">
        <v>1.8717900000000001</v>
      </c>
      <c r="FA19">
        <v>1.8687400000000001</v>
      </c>
      <c r="FB19">
        <v>0</v>
      </c>
      <c r="FC19">
        <v>0</v>
      </c>
      <c r="FD19">
        <v>0</v>
      </c>
      <c r="FE19">
        <v>0</v>
      </c>
      <c r="FF19" t="s">
        <v>342</v>
      </c>
      <c r="FG19" t="s">
        <v>343</v>
      </c>
      <c r="FH19" t="s">
        <v>344</v>
      </c>
      <c r="FI19" t="s">
        <v>344</v>
      </c>
      <c r="FJ19" t="s">
        <v>344</v>
      </c>
      <c r="FK19" t="s">
        <v>344</v>
      </c>
      <c r="FL19">
        <v>0</v>
      </c>
      <c r="FM19">
        <v>100</v>
      </c>
      <c r="FN19">
        <v>100</v>
      </c>
      <c r="FO19">
        <v>0.58899999999999997</v>
      </c>
      <c r="FP19">
        <v>0.25700000000000001</v>
      </c>
      <c r="FQ19">
        <v>-0.62182825409685183</v>
      </c>
      <c r="FR19">
        <v>7.0338458001993282E-3</v>
      </c>
      <c r="FS19">
        <v>2.3387658340725169E-6</v>
      </c>
      <c r="FT19">
        <v>-2.2874075696057401E-10</v>
      </c>
      <c r="FU19">
        <v>0.25698499999999308</v>
      </c>
      <c r="FV19">
        <v>0</v>
      </c>
      <c r="FW19">
        <v>0</v>
      </c>
      <c r="FX19">
        <v>0</v>
      </c>
      <c r="FY19">
        <v>3</v>
      </c>
      <c r="FZ19">
        <v>2105</v>
      </c>
      <c r="GA19">
        <v>-1</v>
      </c>
      <c r="GB19">
        <v>-1</v>
      </c>
      <c r="GC19">
        <v>9.9</v>
      </c>
      <c r="GD19">
        <v>9.8000000000000007</v>
      </c>
      <c r="GE19">
        <v>0.58837899999999999</v>
      </c>
      <c r="GF19">
        <v>2.6464799999999999</v>
      </c>
      <c r="GG19">
        <v>1.7981</v>
      </c>
      <c r="GH19">
        <v>2.3791500000000001</v>
      </c>
      <c r="GI19">
        <v>1.5979000000000001</v>
      </c>
      <c r="GJ19">
        <v>2.5708000000000002</v>
      </c>
      <c r="GK19">
        <v>35.244</v>
      </c>
      <c r="GL19">
        <v>24.157499999999999</v>
      </c>
      <c r="GM19">
        <v>18</v>
      </c>
      <c r="GN19">
        <v>359.80399999999997</v>
      </c>
      <c r="GO19">
        <v>672.70399999999995</v>
      </c>
      <c r="GP19">
        <v>25.83</v>
      </c>
      <c r="GQ19">
        <v>27.234300000000001</v>
      </c>
      <c r="GR19">
        <v>30.0002</v>
      </c>
      <c r="GS19">
        <v>27.1661</v>
      </c>
      <c r="GT19">
        <v>27.2013</v>
      </c>
      <c r="GU19">
        <v>11.7155</v>
      </c>
      <c r="GV19">
        <v>31.875299999999999</v>
      </c>
      <c r="GW19">
        <v>0</v>
      </c>
      <c r="GX19">
        <v>25.83</v>
      </c>
      <c r="GY19">
        <v>200</v>
      </c>
      <c r="GZ19">
        <v>19.5</v>
      </c>
      <c r="HA19">
        <v>100.486</v>
      </c>
      <c r="HB19">
        <v>67.854799999999997</v>
      </c>
    </row>
    <row r="20" spans="1:210" x14ac:dyDescent="0.3">
      <c r="A20">
        <v>4</v>
      </c>
      <c r="B20">
        <v>1755617253.0999999</v>
      </c>
      <c r="C20">
        <v>541.59999990463257</v>
      </c>
      <c r="D20" t="s">
        <v>349</v>
      </c>
      <c r="E20" t="s">
        <v>350</v>
      </c>
      <c r="F20">
        <v>15</v>
      </c>
      <c r="G20">
        <v>1755617245.349999</v>
      </c>
      <c r="H20">
        <f t="shared" si="0"/>
        <v>4.1768061499675687E-3</v>
      </c>
      <c r="I20">
        <f t="shared" si="1"/>
        <v>4.176806149967569</v>
      </c>
      <c r="J20">
        <f t="shared" si="2"/>
        <v>7.8729911235628434</v>
      </c>
      <c r="K20">
        <f t="shared" si="3"/>
        <v>106.2931</v>
      </c>
      <c r="L20">
        <f t="shared" si="4"/>
        <v>91.849950542810831</v>
      </c>
      <c r="M20">
        <f t="shared" si="5"/>
        <v>9.3073326272559704</v>
      </c>
      <c r="N20">
        <f t="shared" si="6"/>
        <v>10.770884816329554</v>
      </c>
      <c r="O20">
        <f t="shared" si="7"/>
        <v>1.0980757727528712</v>
      </c>
      <c r="P20">
        <f t="shared" si="8"/>
        <v>2.4147758916347088</v>
      </c>
      <c r="Q20">
        <f t="shared" si="9"/>
        <v>0.89344080903470646</v>
      </c>
      <c r="R20">
        <f t="shared" si="10"/>
        <v>0.57375253951127103</v>
      </c>
      <c r="S20">
        <f t="shared" si="11"/>
        <v>220.08586666666673</v>
      </c>
      <c r="T20">
        <f t="shared" si="12"/>
        <v>27.062314041960789</v>
      </c>
      <c r="U20">
        <f t="shared" si="13"/>
        <v>25.931080000000009</v>
      </c>
      <c r="V20">
        <f t="shared" si="14"/>
        <v>3.3605219424996329</v>
      </c>
      <c r="W20">
        <f t="shared" si="15"/>
        <v>81.978826499608374</v>
      </c>
      <c r="X20">
        <f t="shared" si="16"/>
        <v>2.9014357595569855</v>
      </c>
      <c r="Y20">
        <f t="shared" si="17"/>
        <v>3.53925017403225</v>
      </c>
      <c r="Z20">
        <f t="shared" si="18"/>
        <v>0.45908618294264736</v>
      </c>
      <c r="AA20">
        <f t="shared" si="19"/>
        <v>-184.19715121356978</v>
      </c>
      <c r="AB20">
        <f t="shared" si="20"/>
        <v>114.32057133406859</v>
      </c>
      <c r="AC20">
        <f t="shared" si="21"/>
        <v>10.152784649792894</v>
      </c>
      <c r="AD20">
        <f t="shared" si="22"/>
        <v>160.36207143695844</v>
      </c>
      <c r="AE20">
        <f t="shared" si="23"/>
        <v>7.8729911235628434</v>
      </c>
      <c r="AF20">
        <f t="shared" si="24"/>
        <v>4.176806149967569</v>
      </c>
      <c r="AG20">
        <f t="shared" si="25"/>
        <v>7.8688252574561615</v>
      </c>
      <c r="AH20">
        <v>127.4680975543525</v>
      </c>
      <c r="AI20">
        <v>109.4128303030303</v>
      </c>
      <c r="AJ20">
        <v>6.570408185840073E-6</v>
      </c>
      <c r="AK20">
        <v>84.014661243559686</v>
      </c>
      <c r="AL20">
        <f t="shared" si="26"/>
        <v>4.1784628979748319</v>
      </c>
      <c r="AM20">
        <v>19.505226571871031</v>
      </c>
      <c r="AN20">
        <v>28.636602706766901</v>
      </c>
      <c r="AO20">
        <v>4.8895152919047428E-8</v>
      </c>
      <c r="AP20">
        <v>90.527890321289746</v>
      </c>
      <c r="AQ20">
        <v>0</v>
      </c>
      <c r="AR20">
        <v>0</v>
      </c>
      <c r="AS20">
        <f t="shared" si="27"/>
        <v>1</v>
      </c>
      <c r="AT20">
        <f t="shared" si="28"/>
        <v>0</v>
      </c>
      <c r="AU20">
        <f t="shared" si="29"/>
        <v>53553.740826845024</v>
      </c>
      <c r="AV20">
        <f t="shared" si="30"/>
        <v>1158.346666666667</v>
      </c>
      <c r="AW20">
        <f t="shared" si="31"/>
        <v>926.67733333333365</v>
      </c>
      <c r="AX20">
        <f t="shared" si="32"/>
        <v>0.8</v>
      </c>
      <c r="AY20">
        <f t="shared" si="33"/>
        <v>0.19</v>
      </c>
      <c r="AZ20">
        <v>9</v>
      </c>
      <c r="BA20">
        <v>1.21</v>
      </c>
      <c r="BB20" t="s">
        <v>339</v>
      </c>
      <c r="BC20">
        <v>2</v>
      </c>
      <c r="BD20" t="b">
        <v>0</v>
      </c>
      <c r="BE20">
        <v>1755617245.349999</v>
      </c>
      <c r="BF20">
        <v>106.2931</v>
      </c>
      <c r="BG20">
        <v>125.00433333333331</v>
      </c>
      <c r="BH20">
        <v>28.632986666666671</v>
      </c>
      <c r="BI20">
        <v>19.50519666666667</v>
      </c>
      <c r="BJ20">
        <v>106.1423333333333</v>
      </c>
      <c r="BK20">
        <v>28.375996666666669</v>
      </c>
      <c r="BL20">
        <v>400.0410333333333</v>
      </c>
      <c r="BM20">
        <v>101.2319333333333</v>
      </c>
      <c r="BN20">
        <v>9.9995233333333322E-2</v>
      </c>
      <c r="BO20">
        <v>26.809216666666671</v>
      </c>
      <c r="BP20">
        <v>25.931080000000009</v>
      </c>
      <c r="BQ20">
        <v>999.9000000000002</v>
      </c>
      <c r="BR20">
        <v>0</v>
      </c>
      <c r="BS20">
        <v>0</v>
      </c>
      <c r="BT20">
        <v>9998.2666666666664</v>
      </c>
      <c r="BU20">
        <v>1158.346666666667</v>
      </c>
      <c r="BV20">
        <v>13.968400000000001</v>
      </c>
      <c r="BW20">
        <v>-18.711200000000002</v>
      </c>
      <c r="BX20">
        <v>109.4264</v>
      </c>
      <c r="BY20">
        <v>127.491</v>
      </c>
      <c r="BZ20">
        <v>9.127789333333336</v>
      </c>
      <c r="CA20">
        <v>125.00433333333331</v>
      </c>
      <c r="CB20">
        <v>19.50519666666667</v>
      </c>
      <c r="CC20">
        <v>2.8985713333333329</v>
      </c>
      <c r="CD20">
        <v>1.974547333333333</v>
      </c>
      <c r="CE20">
        <v>23.456453333333339</v>
      </c>
      <c r="CF20">
        <v>17.24169666666667</v>
      </c>
      <c r="CG20">
        <v>1755616485</v>
      </c>
      <c r="CH20" t="s">
        <v>340</v>
      </c>
      <c r="CI20">
        <v>1755616477.5</v>
      </c>
      <c r="CJ20">
        <v>1755616485</v>
      </c>
      <c r="CK20">
        <v>6</v>
      </c>
      <c r="CL20">
        <v>-0.23100000000000001</v>
      </c>
      <c r="CM20">
        <v>0.03</v>
      </c>
      <c r="CN20">
        <v>2.97</v>
      </c>
      <c r="CO20">
        <v>0.25700000000000001</v>
      </c>
      <c r="CP20">
        <v>450</v>
      </c>
      <c r="CQ20">
        <v>20</v>
      </c>
      <c r="CR20">
        <v>0.02</v>
      </c>
      <c r="CS20">
        <v>0.01</v>
      </c>
      <c r="CT20">
        <v>-18.7056</v>
      </c>
      <c r="CU20">
        <v>-4.275196998121663E-2</v>
      </c>
      <c r="CV20">
        <v>1.913215879089452E-2</v>
      </c>
      <c r="CW20">
        <v>1</v>
      </c>
      <c r="CX20">
        <v>0</v>
      </c>
      <c r="CY20">
        <v>0</v>
      </c>
      <c r="CZ20">
        <v>0</v>
      </c>
      <c r="DA20">
        <v>-1</v>
      </c>
      <c r="DB20">
        <v>9.1255292500000014</v>
      </c>
      <c r="DC20">
        <v>4.204716697934803E-2</v>
      </c>
      <c r="DD20">
        <v>4.2844727724072971E-3</v>
      </c>
      <c r="DE20">
        <v>1</v>
      </c>
      <c r="DF20">
        <v>2</v>
      </c>
      <c r="DG20">
        <v>2</v>
      </c>
      <c r="DH20" t="s">
        <v>341</v>
      </c>
      <c r="DI20">
        <v>3.0246499999999998</v>
      </c>
      <c r="DJ20">
        <v>2.6911900000000002</v>
      </c>
      <c r="DK20">
        <v>2.9314E-2</v>
      </c>
      <c r="DL20">
        <v>3.4399300000000001E-2</v>
      </c>
      <c r="DM20">
        <v>0.13523299999999999</v>
      </c>
      <c r="DN20">
        <v>0.10446900000000001</v>
      </c>
      <c r="DO20">
        <v>27052.2</v>
      </c>
      <c r="DP20">
        <v>17454.2</v>
      </c>
      <c r="DQ20">
        <v>26441.599999999999</v>
      </c>
      <c r="DR20">
        <v>16415.099999999999</v>
      </c>
      <c r="DS20">
        <v>32503.9</v>
      </c>
      <c r="DT20">
        <v>19177</v>
      </c>
      <c r="DU20">
        <v>38523.199999999997</v>
      </c>
      <c r="DV20">
        <v>21728</v>
      </c>
      <c r="DW20">
        <v>1.79362</v>
      </c>
      <c r="DX20">
        <v>2.1958199999999999</v>
      </c>
      <c r="DY20">
        <v>7.7575400000000003E-2</v>
      </c>
      <c r="DZ20">
        <v>0</v>
      </c>
      <c r="EA20">
        <v>24.67</v>
      </c>
      <c r="EB20">
        <v>999.9</v>
      </c>
      <c r="EC20">
        <v>56.5</v>
      </c>
      <c r="ED20">
        <v>32</v>
      </c>
      <c r="EE20">
        <v>26.649899999999999</v>
      </c>
      <c r="EF20">
        <v>62.596299999999999</v>
      </c>
      <c r="EG20">
        <v>34.867800000000003</v>
      </c>
      <c r="EH20">
        <v>1</v>
      </c>
      <c r="EI20">
        <v>1.4745899999999999E-2</v>
      </c>
      <c r="EJ20">
        <v>-0.204708</v>
      </c>
      <c r="EK20">
        <v>20.328299999999999</v>
      </c>
      <c r="EL20">
        <v>5.2519099999999996</v>
      </c>
      <c r="EM20">
        <v>11.962</v>
      </c>
      <c r="EN20">
        <v>4.9896399999999996</v>
      </c>
      <c r="EO20">
        <v>3.2913800000000002</v>
      </c>
      <c r="EP20">
        <v>9999</v>
      </c>
      <c r="EQ20">
        <v>9999</v>
      </c>
      <c r="ER20">
        <v>9999</v>
      </c>
      <c r="ES20">
        <v>999.9</v>
      </c>
      <c r="ET20">
        <v>4.9726800000000004</v>
      </c>
      <c r="EU20">
        <v>1.8719300000000001</v>
      </c>
      <c r="EV20">
        <v>1.8721300000000001</v>
      </c>
      <c r="EW20">
        <v>1.87721</v>
      </c>
      <c r="EX20">
        <v>1.87134</v>
      </c>
      <c r="EY20">
        <v>1.8721000000000001</v>
      </c>
      <c r="EZ20">
        <v>1.8717900000000001</v>
      </c>
      <c r="FA20">
        <v>1.8687400000000001</v>
      </c>
      <c r="FB20">
        <v>0</v>
      </c>
      <c r="FC20">
        <v>0</v>
      </c>
      <c r="FD20">
        <v>0</v>
      </c>
      <c r="FE20">
        <v>0</v>
      </c>
      <c r="FF20" t="s">
        <v>342</v>
      </c>
      <c r="FG20" t="s">
        <v>343</v>
      </c>
      <c r="FH20" t="s">
        <v>344</v>
      </c>
      <c r="FI20" t="s">
        <v>344</v>
      </c>
      <c r="FJ20" t="s">
        <v>344</v>
      </c>
      <c r="FK20" t="s">
        <v>344</v>
      </c>
      <c r="FL20">
        <v>0</v>
      </c>
      <c r="FM20">
        <v>100</v>
      </c>
      <c r="FN20">
        <v>100</v>
      </c>
      <c r="FO20">
        <v>0.151</v>
      </c>
      <c r="FP20">
        <v>0.25700000000000001</v>
      </c>
      <c r="FQ20">
        <v>-0.62182825409685183</v>
      </c>
      <c r="FR20">
        <v>7.0338458001993282E-3</v>
      </c>
      <c r="FS20">
        <v>2.3387658340725169E-6</v>
      </c>
      <c r="FT20">
        <v>-2.2874075696057401E-10</v>
      </c>
      <c r="FU20">
        <v>0.25698499999999308</v>
      </c>
      <c r="FV20">
        <v>0</v>
      </c>
      <c r="FW20">
        <v>0</v>
      </c>
      <c r="FX20">
        <v>0</v>
      </c>
      <c r="FY20">
        <v>3</v>
      </c>
      <c r="FZ20">
        <v>2105</v>
      </c>
      <c r="GA20">
        <v>-1</v>
      </c>
      <c r="GB20">
        <v>-1</v>
      </c>
      <c r="GC20">
        <v>12.9</v>
      </c>
      <c r="GD20">
        <v>12.8</v>
      </c>
      <c r="GE20">
        <v>0.42236299999999999</v>
      </c>
      <c r="GF20">
        <v>2.65015</v>
      </c>
      <c r="GG20">
        <v>1.7981</v>
      </c>
      <c r="GH20">
        <v>2.3791500000000001</v>
      </c>
      <c r="GI20">
        <v>1.5979000000000001</v>
      </c>
      <c r="GJ20">
        <v>2.5561500000000001</v>
      </c>
      <c r="GK20">
        <v>35.2209</v>
      </c>
      <c r="GL20">
        <v>24.157499999999999</v>
      </c>
      <c r="GM20">
        <v>18</v>
      </c>
      <c r="GN20">
        <v>359.96</v>
      </c>
      <c r="GO20">
        <v>672.29399999999998</v>
      </c>
      <c r="GP20">
        <v>25.83</v>
      </c>
      <c r="GQ20">
        <v>27.238900000000001</v>
      </c>
      <c r="GR20">
        <v>30</v>
      </c>
      <c r="GS20">
        <v>27.172899999999998</v>
      </c>
      <c r="GT20">
        <v>27.210100000000001</v>
      </c>
      <c r="GU20">
        <v>8.4206500000000002</v>
      </c>
      <c r="GV20">
        <v>31.875299999999999</v>
      </c>
      <c r="GW20">
        <v>0</v>
      </c>
      <c r="GX20">
        <v>25.83</v>
      </c>
      <c r="GY20">
        <v>125</v>
      </c>
      <c r="GZ20">
        <v>19.5</v>
      </c>
      <c r="HA20">
        <v>100.482</v>
      </c>
      <c r="HB20">
        <v>67.854200000000006</v>
      </c>
    </row>
    <row r="21" spans="1:210" x14ac:dyDescent="0.3">
      <c r="A21">
        <v>5</v>
      </c>
      <c r="B21">
        <v>1755617433.5999999</v>
      </c>
      <c r="C21">
        <v>722.09999990463257</v>
      </c>
      <c r="D21" t="s">
        <v>351</v>
      </c>
      <c r="E21" t="s">
        <v>352</v>
      </c>
      <c r="F21">
        <v>15</v>
      </c>
      <c r="G21">
        <v>1755617425.849999</v>
      </c>
      <c r="H21">
        <f t="shared" si="0"/>
        <v>4.2176903157802462E-3</v>
      </c>
      <c r="I21">
        <f t="shared" si="1"/>
        <v>4.2176903157802466</v>
      </c>
      <c r="J21">
        <f t="shared" si="2"/>
        <v>2.7238752159997617</v>
      </c>
      <c r="K21">
        <f t="shared" si="3"/>
        <v>68.217413333333326</v>
      </c>
      <c r="L21">
        <f t="shared" si="4"/>
        <v>63.107269879311225</v>
      </c>
      <c r="M21">
        <f t="shared" si="5"/>
        <v>6.3945534555393406</v>
      </c>
      <c r="N21">
        <f t="shared" si="6"/>
        <v>6.9123556920282851</v>
      </c>
      <c r="O21">
        <f t="shared" si="7"/>
        <v>1.1290285039917891</v>
      </c>
      <c r="P21">
        <f t="shared" si="8"/>
        <v>2.4151032706643227</v>
      </c>
      <c r="Q21">
        <f t="shared" si="9"/>
        <v>0.91385501044769424</v>
      </c>
      <c r="R21">
        <f t="shared" si="10"/>
        <v>0.58722786655672299</v>
      </c>
      <c r="S21">
        <f t="shared" si="11"/>
        <v>220.08098999999999</v>
      </c>
      <c r="T21">
        <f t="shared" si="12"/>
        <v>27.058462771745802</v>
      </c>
      <c r="U21">
        <f t="shared" si="13"/>
        <v>25.94100666666667</v>
      </c>
      <c r="V21">
        <f t="shared" si="14"/>
        <v>3.3624974179419169</v>
      </c>
      <c r="W21">
        <f t="shared" si="15"/>
        <v>82.158222469273056</v>
      </c>
      <c r="X21">
        <f t="shared" si="16"/>
        <v>2.909312633835162</v>
      </c>
      <c r="Y21">
        <f t="shared" si="17"/>
        <v>3.5411095157556955</v>
      </c>
      <c r="Z21">
        <f t="shared" si="18"/>
        <v>0.45318478410675489</v>
      </c>
      <c r="AA21">
        <f t="shared" si="19"/>
        <v>-186.00014292590885</v>
      </c>
      <c r="AB21">
        <f t="shared" si="20"/>
        <v>114.20630110875685</v>
      </c>
      <c r="AC21">
        <f t="shared" si="21"/>
        <v>10.142219595445189</v>
      </c>
      <c r="AD21">
        <f t="shared" si="22"/>
        <v>158.42936777829317</v>
      </c>
      <c r="AE21">
        <f t="shared" si="23"/>
        <v>2.7238752159997617</v>
      </c>
      <c r="AF21">
        <f t="shared" si="24"/>
        <v>4.2176903157802466</v>
      </c>
      <c r="AG21">
        <f t="shared" si="25"/>
        <v>2.7346238517230126</v>
      </c>
      <c r="AH21">
        <v>76.500683138417443</v>
      </c>
      <c r="AI21">
        <v>70.226945454545429</v>
      </c>
      <c r="AJ21">
        <v>-1.9302354289682671E-4</v>
      </c>
      <c r="AK21">
        <v>84.014661243559686</v>
      </c>
      <c r="AL21">
        <f t="shared" si="26"/>
        <v>4.2175384790912265</v>
      </c>
      <c r="AM21">
        <v>19.493787099486521</v>
      </c>
      <c r="AN21">
        <v>28.711041052631561</v>
      </c>
      <c r="AO21">
        <v>-2.80705055460694E-6</v>
      </c>
      <c r="AP21">
        <v>90.527890321289746</v>
      </c>
      <c r="AQ21">
        <v>0</v>
      </c>
      <c r="AR21">
        <v>0</v>
      </c>
      <c r="AS21">
        <f t="shared" si="27"/>
        <v>1</v>
      </c>
      <c r="AT21">
        <f t="shared" si="28"/>
        <v>0</v>
      </c>
      <c r="AU21">
        <f t="shared" si="29"/>
        <v>53563.016040981107</v>
      </c>
      <c r="AV21">
        <f t="shared" si="30"/>
        <v>1158.3209999999999</v>
      </c>
      <c r="AW21">
        <f t="shared" si="31"/>
        <v>926.65679999999998</v>
      </c>
      <c r="AX21">
        <f t="shared" si="32"/>
        <v>0.8</v>
      </c>
      <c r="AY21">
        <f t="shared" si="33"/>
        <v>0.19</v>
      </c>
      <c r="AZ21">
        <v>9</v>
      </c>
      <c r="BA21">
        <v>1.21</v>
      </c>
      <c r="BB21" t="s">
        <v>339</v>
      </c>
      <c r="BC21">
        <v>2</v>
      </c>
      <c r="BD21" t="b">
        <v>0</v>
      </c>
      <c r="BE21">
        <v>1755617425.849999</v>
      </c>
      <c r="BF21">
        <v>68.217413333333326</v>
      </c>
      <c r="BG21">
        <v>74.99366333333333</v>
      </c>
      <c r="BH21">
        <v>28.711743333333342</v>
      </c>
      <c r="BI21">
        <v>19.49419</v>
      </c>
      <c r="BJ21">
        <v>68.347646666666662</v>
      </c>
      <c r="BK21">
        <v>28.45476</v>
      </c>
      <c r="BL21">
        <v>399.99050000000011</v>
      </c>
      <c r="BM21">
        <v>101.2283666666666</v>
      </c>
      <c r="BN21">
        <v>9.9950463333333323E-2</v>
      </c>
      <c r="BO21">
        <v>26.81814666666666</v>
      </c>
      <c r="BP21">
        <v>25.94100666666667</v>
      </c>
      <c r="BQ21">
        <v>999.9000000000002</v>
      </c>
      <c r="BR21">
        <v>0</v>
      </c>
      <c r="BS21">
        <v>0</v>
      </c>
      <c r="BT21">
        <v>10000.75</v>
      </c>
      <c r="BU21">
        <v>1158.3209999999999</v>
      </c>
      <c r="BV21">
        <v>13.968400000000001</v>
      </c>
      <c r="BW21">
        <v>-6.7762603333333322</v>
      </c>
      <c r="BX21">
        <v>70.233943333333343</v>
      </c>
      <c r="BY21">
        <v>76.484673333333333</v>
      </c>
      <c r="BZ21">
        <v>9.2175456666666662</v>
      </c>
      <c r="CA21">
        <v>74.99366333333333</v>
      </c>
      <c r="CB21">
        <v>19.49419</v>
      </c>
      <c r="CC21">
        <v>2.9064416666666659</v>
      </c>
      <c r="CD21">
        <v>1.973365666666667</v>
      </c>
      <c r="CE21">
        <v>23.50142</v>
      </c>
      <c r="CF21">
        <v>17.232226666666669</v>
      </c>
      <c r="CG21">
        <v>1755616485</v>
      </c>
      <c r="CH21" t="s">
        <v>340</v>
      </c>
      <c r="CI21">
        <v>1755616477.5</v>
      </c>
      <c r="CJ21">
        <v>1755616485</v>
      </c>
      <c r="CK21">
        <v>6</v>
      </c>
      <c r="CL21">
        <v>-0.23100000000000001</v>
      </c>
      <c r="CM21">
        <v>0.03</v>
      </c>
      <c r="CN21">
        <v>2.97</v>
      </c>
      <c r="CO21">
        <v>0.25700000000000001</v>
      </c>
      <c r="CP21">
        <v>450</v>
      </c>
      <c r="CQ21">
        <v>20</v>
      </c>
      <c r="CR21">
        <v>0.02</v>
      </c>
      <c r="CS21">
        <v>0.01</v>
      </c>
      <c r="CT21">
        <v>-6.7871587499999988</v>
      </c>
      <c r="CU21">
        <v>0.15139305816137871</v>
      </c>
      <c r="CV21">
        <v>2.3655457318291221E-2</v>
      </c>
      <c r="CW21">
        <v>1</v>
      </c>
      <c r="CX21">
        <v>0</v>
      </c>
      <c r="CY21">
        <v>0</v>
      </c>
      <c r="CZ21">
        <v>0</v>
      </c>
      <c r="DA21">
        <v>-1</v>
      </c>
      <c r="DB21">
        <v>9.2165092499999979</v>
      </c>
      <c r="DC21">
        <v>1.573609756095937E-2</v>
      </c>
      <c r="DD21">
        <v>2.2464854634517239E-3</v>
      </c>
      <c r="DE21">
        <v>1</v>
      </c>
      <c r="DF21">
        <v>2</v>
      </c>
      <c r="DG21">
        <v>2</v>
      </c>
      <c r="DH21" t="s">
        <v>341</v>
      </c>
      <c r="DI21">
        <v>3.02461</v>
      </c>
      <c r="DJ21">
        <v>2.6910599999999998</v>
      </c>
      <c r="DK21">
        <v>1.9087E-2</v>
      </c>
      <c r="DL21">
        <v>2.0997700000000001E-2</v>
      </c>
      <c r="DM21">
        <v>0.13547200000000001</v>
      </c>
      <c r="DN21">
        <v>0.104425</v>
      </c>
      <c r="DO21">
        <v>27337.200000000001</v>
      </c>
      <c r="DP21">
        <v>17696.7</v>
      </c>
      <c r="DQ21">
        <v>26441.599999999999</v>
      </c>
      <c r="DR21">
        <v>16415.2</v>
      </c>
      <c r="DS21">
        <v>32494.7</v>
      </c>
      <c r="DT21">
        <v>19177.900000000001</v>
      </c>
      <c r="DU21">
        <v>38523.4</v>
      </c>
      <c r="DV21">
        <v>21728.2</v>
      </c>
      <c r="DW21">
        <v>1.79356</v>
      </c>
      <c r="DX21">
        <v>2.1957800000000001</v>
      </c>
      <c r="DY21">
        <v>7.7828800000000004E-2</v>
      </c>
      <c r="DZ21">
        <v>0</v>
      </c>
      <c r="EA21">
        <v>24.6661</v>
      </c>
      <c r="EB21">
        <v>999.9</v>
      </c>
      <c r="EC21">
        <v>56.5</v>
      </c>
      <c r="ED21">
        <v>32</v>
      </c>
      <c r="EE21">
        <v>26.6523</v>
      </c>
      <c r="EF21">
        <v>62.596299999999999</v>
      </c>
      <c r="EG21">
        <v>34.651400000000002</v>
      </c>
      <c r="EH21">
        <v>1</v>
      </c>
      <c r="EI21">
        <v>1.50569E-2</v>
      </c>
      <c r="EJ21">
        <v>-0.20573</v>
      </c>
      <c r="EK21">
        <v>20.328199999999999</v>
      </c>
      <c r="EL21">
        <v>5.2528699999999997</v>
      </c>
      <c r="EM21">
        <v>11.962</v>
      </c>
      <c r="EN21">
        <v>4.9897600000000004</v>
      </c>
      <c r="EO21">
        <v>3.2911600000000001</v>
      </c>
      <c r="EP21">
        <v>9999</v>
      </c>
      <c r="EQ21">
        <v>9999</v>
      </c>
      <c r="ER21">
        <v>9999</v>
      </c>
      <c r="ES21">
        <v>999.9</v>
      </c>
      <c r="ET21">
        <v>4.9727199999999998</v>
      </c>
      <c r="EU21">
        <v>1.8719399999999999</v>
      </c>
      <c r="EV21">
        <v>1.87216</v>
      </c>
      <c r="EW21">
        <v>1.87721</v>
      </c>
      <c r="EX21">
        <v>1.87134</v>
      </c>
      <c r="EY21">
        <v>1.8721000000000001</v>
      </c>
      <c r="EZ21">
        <v>1.8717900000000001</v>
      </c>
      <c r="FA21">
        <v>1.8687400000000001</v>
      </c>
      <c r="FB21">
        <v>0</v>
      </c>
      <c r="FC21">
        <v>0</v>
      </c>
      <c r="FD21">
        <v>0</v>
      </c>
      <c r="FE21">
        <v>0</v>
      </c>
      <c r="FF21" t="s">
        <v>342</v>
      </c>
      <c r="FG21" t="s">
        <v>343</v>
      </c>
      <c r="FH21" t="s">
        <v>344</v>
      </c>
      <c r="FI21" t="s">
        <v>344</v>
      </c>
      <c r="FJ21" t="s">
        <v>344</v>
      </c>
      <c r="FK21" t="s">
        <v>344</v>
      </c>
      <c r="FL21">
        <v>0</v>
      </c>
      <c r="FM21">
        <v>100</v>
      </c>
      <c r="FN21">
        <v>100</v>
      </c>
      <c r="FO21">
        <v>-0.13</v>
      </c>
      <c r="FP21">
        <v>0.25700000000000001</v>
      </c>
      <c r="FQ21">
        <v>-0.62182825409685183</v>
      </c>
      <c r="FR21">
        <v>7.0338458001993282E-3</v>
      </c>
      <c r="FS21">
        <v>2.3387658340725169E-6</v>
      </c>
      <c r="FT21">
        <v>-2.2874075696057401E-10</v>
      </c>
      <c r="FU21">
        <v>0.25698499999999308</v>
      </c>
      <c r="FV21">
        <v>0</v>
      </c>
      <c r="FW21">
        <v>0</v>
      </c>
      <c r="FX21">
        <v>0</v>
      </c>
      <c r="FY21">
        <v>3</v>
      </c>
      <c r="FZ21">
        <v>2105</v>
      </c>
      <c r="GA21">
        <v>-1</v>
      </c>
      <c r="GB21">
        <v>-1</v>
      </c>
      <c r="GC21">
        <v>15.9</v>
      </c>
      <c r="GD21">
        <v>15.8</v>
      </c>
      <c r="GE21">
        <v>0.3125</v>
      </c>
      <c r="GF21">
        <v>2.6843300000000001</v>
      </c>
      <c r="GG21">
        <v>1.79932</v>
      </c>
      <c r="GH21">
        <v>2.3791500000000001</v>
      </c>
      <c r="GI21">
        <v>1.5979000000000001</v>
      </c>
      <c r="GJ21">
        <v>2.51709</v>
      </c>
      <c r="GK21">
        <v>35.244</v>
      </c>
      <c r="GL21">
        <v>24.157499999999999</v>
      </c>
      <c r="GM21">
        <v>18</v>
      </c>
      <c r="GN21">
        <v>359.98399999999998</v>
      </c>
      <c r="GO21">
        <v>672.34699999999998</v>
      </c>
      <c r="GP21">
        <v>25.829899999999999</v>
      </c>
      <c r="GQ21">
        <v>27.245799999999999</v>
      </c>
      <c r="GR21">
        <v>30.0001</v>
      </c>
      <c r="GS21">
        <v>27.1814</v>
      </c>
      <c r="GT21">
        <v>27.216999999999999</v>
      </c>
      <c r="GU21">
        <v>6.1965599999999998</v>
      </c>
      <c r="GV21">
        <v>31.875299999999999</v>
      </c>
      <c r="GW21">
        <v>0</v>
      </c>
      <c r="GX21">
        <v>25.83</v>
      </c>
      <c r="GY21">
        <v>75</v>
      </c>
      <c r="GZ21">
        <v>19.5</v>
      </c>
      <c r="HA21">
        <v>100.482</v>
      </c>
      <c r="HB21">
        <v>67.854900000000001</v>
      </c>
    </row>
    <row r="22" spans="1:210" x14ac:dyDescent="0.3">
      <c r="A22">
        <v>6</v>
      </c>
      <c r="B22">
        <v>1755617614.0999999</v>
      </c>
      <c r="C22">
        <v>902.59999990463257</v>
      </c>
      <c r="D22" t="s">
        <v>353</v>
      </c>
      <c r="E22" t="s">
        <v>354</v>
      </c>
      <c r="F22">
        <v>15</v>
      </c>
      <c r="G22">
        <v>1755617606.349999</v>
      </c>
      <c r="H22">
        <f t="shared" si="0"/>
        <v>4.184728991717096E-3</v>
      </c>
      <c r="I22">
        <f t="shared" si="1"/>
        <v>4.1847289917170958</v>
      </c>
      <c r="J22">
        <f t="shared" si="2"/>
        <v>35.809043828002288</v>
      </c>
      <c r="K22">
        <f t="shared" si="3"/>
        <v>366.00213333333329</v>
      </c>
      <c r="L22">
        <f t="shared" si="4"/>
        <v>302.85549152893032</v>
      </c>
      <c r="M22">
        <f t="shared" si="5"/>
        <v>30.687050122345163</v>
      </c>
      <c r="N22">
        <f t="shared" si="6"/>
        <v>37.08542894099169</v>
      </c>
      <c r="O22">
        <f t="shared" si="7"/>
        <v>1.133749278763533</v>
      </c>
      <c r="P22">
        <f t="shared" si="8"/>
        <v>2.4143699168983837</v>
      </c>
      <c r="Q22">
        <f t="shared" si="9"/>
        <v>0.91689321097295506</v>
      </c>
      <c r="R22">
        <f t="shared" si="10"/>
        <v>0.58924016720163874</v>
      </c>
      <c r="S22">
        <f t="shared" si="11"/>
        <v>220.07193333333328</v>
      </c>
      <c r="T22">
        <f t="shared" si="12"/>
        <v>27.058477344504926</v>
      </c>
      <c r="U22">
        <f t="shared" si="13"/>
        <v>25.897823333333331</v>
      </c>
      <c r="V22">
        <f t="shared" si="14"/>
        <v>3.3539110204507065</v>
      </c>
      <c r="W22">
        <f t="shared" si="15"/>
        <v>82.106837727898224</v>
      </c>
      <c r="X22">
        <f t="shared" si="16"/>
        <v>2.9057419325891853</v>
      </c>
      <c r="Y22">
        <f t="shared" si="17"/>
        <v>3.5389767929180316</v>
      </c>
      <c r="Z22">
        <f t="shared" si="18"/>
        <v>0.44816908786152121</v>
      </c>
      <c r="AA22">
        <f t="shared" si="19"/>
        <v>-184.54654853472394</v>
      </c>
      <c r="AB22">
        <f t="shared" si="20"/>
        <v>118.45920805431915</v>
      </c>
      <c r="AC22">
        <f t="shared" si="21"/>
        <v>10.520284261014289</v>
      </c>
      <c r="AD22">
        <f t="shared" si="22"/>
        <v>164.50487711394277</v>
      </c>
      <c r="AE22">
        <f t="shared" si="23"/>
        <v>35.809043828002288</v>
      </c>
      <c r="AF22">
        <f t="shared" si="24"/>
        <v>4.1847289917170958</v>
      </c>
      <c r="AG22">
        <f t="shared" si="25"/>
        <v>36.077399699680903</v>
      </c>
      <c r="AH22">
        <v>458.99642445165529</v>
      </c>
      <c r="AI22">
        <v>376.53763030303008</v>
      </c>
      <c r="AJ22">
        <v>-3.9894831960960248E-2</v>
      </c>
      <c r="AK22">
        <v>84.014661243559686</v>
      </c>
      <c r="AL22">
        <f t="shared" si="26"/>
        <v>4.1841142107331661</v>
      </c>
      <c r="AM22">
        <v>19.531707157232582</v>
      </c>
      <c r="AN22">
        <v>28.67687067669171</v>
      </c>
      <c r="AO22">
        <v>-1.4975606747082069E-6</v>
      </c>
      <c r="AP22">
        <v>90.527890321289746</v>
      </c>
      <c r="AQ22">
        <v>0</v>
      </c>
      <c r="AR22">
        <v>0</v>
      </c>
      <c r="AS22">
        <f t="shared" si="27"/>
        <v>1</v>
      </c>
      <c r="AT22">
        <f t="shared" si="28"/>
        <v>0</v>
      </c>
      <c r="AU22">
        <f t="shared" si="29"/>
        <v>53540.266946113567</v>
      </c>
      <c r="AV22">
        <f t="shared" si="30"/>
        <v>1158.2733333333331</v>
      </c>
      <c r="AW22">
        <f t="shared" si="31"/>
        <v>926.61866666666651</v>
      </c>
      <c r="AX22">
        <f t="shared" si="32"/>
        <v>0.8</v>
      </c>
      <c r="AY22">
        <f t="shared" si="33"/>
        <v>0.19</v>
      </c>
      <c r="AZ22">
        <v>9</v>
      </c>
      <c r="BA22">
        <v>1.21</v>
      </c>
      <c r="BB22" t="s">
        <v>339</v>
      </c>
      <c r="BC22">
        <v>2</v>
      </c>
      <c r="BD22" t="b">
        <v>0</v>
      </c>
      <c r="BE22">
        <v>1755617606.349999</v>
      </c>
      <c r="BF22">
        <v>366.00213333333329</v>
      </c>
      <c r="BG22">
        <v>450.02656666666661</v>
      </c>
      <c r="BH22">
        <v>28.677240000000001</v>
      </c>
      <c r="BI22">
        <v>19.530750000000001</v>
      </c>
      <c r="BJ22">
        <v>363.76683333333341</v>
      </c>
      <c r="BK22">
        <v>28.420259999999999</v>
      </c>
      <c r="BL22">
        <v>399.9622</v>
      </c>
      <c r="BM22">
        <v>101.2257666666667</v>
      </c>
      <c r="BN22">
        <v>9.9951310000000002E-2</v>
      </c>
      <c r="BO22">
        <v>26.807903333333339</v>
      </c>
      <c r="BP22">
        <v>25.897823333333331</v>
      </c>
      <c r="BQ22">
        <v>999.9000000000002</v>
      </c>
      <c r="BR22">
        <v>0</v>
      </c>
      <c r="BS22">
        <v>0</v>
      </c>
      <c r="BT22">
        <v>9996.2333333333336</v>
      </c>
      <c r="BU22">
        <v>1158.2733333333331</v>
      </c>
      <c r="BV22">
        <v>13.968400000000001</v>
      </c>
      <c r="BW22">
        <v>-84.024383333333361</v>
      </c>
      <c r="BX22">
        <v>376.80793333333332</v>
      </c>
      <c r="BY22">
        <v>458.99086666666682</v>
      </c>
      <c r="BZ22">
        <v>9.146490666666665</v>
      </c>
      <c r="CA22">
        <v>450.02656666666661</v>
      </c>
      <c r="CB22">
        <v>19.530750000000001</v>
      </c>
      <c r="CC22">
        <v>2.902874999999999</v>
      </c>
      <c r="CD22">
        <v>1.977014666666667</v>
      </c>
      <c r="CE22">
        <v>23.481059999999999</v>
      </c>
      <c r="CF22">
        <v>17.26144</v>
      </c>
      <c r="CG22">
        <v>1755616485</v>
      </c>
      <c r="CH22" t="s">
        <v>340</v>
      </c>
      <c r="CI22">
        <v>1755616477.5</v>
      </c>
      <c r="CJ22">
        <v>1755616485</v>
      </c>
      <c r="CK22">
        <v>6</v>
      </c>
      <c r="CL22">
        <v>-0.23100000000000001</v>
      </c>
      <c r="CM22">
        <v>0.03</v>
      </c>
      <c r="CN22">
        <v>2.97</v>
      </c>
      <c r="CO22">
        <v>0.25700000000000001</v>
      </c>
      <c r="CP22">
        <v>450</v>
      </c>
      <c r="CQ22">
        <v>20</v>
      </c>
      <c r="CR22">
        <v>0.02</v>
      </c>
      <c r="CS22">
        <v>0.01</v>
      </c>
      <c r="CT22">
        <v>-83.902457499999997</v>
      </c>
      <c r="CU22">
        <v>-2.412379362101134</v>
      </c>
      <c r="CV22">
        <v>0.23411856599541669</v>
      </c>
      <c r="CW22">
        <v>0</v>
      </c>
      <c r="CX22">
        <v>0</v>
      </c>
      <c r="CY22">
        <v>0</v>
      </c>
      <c r="CZ22">
        <v>0</v>
      </c>
      <c r="DA22">
        <v>-1</v>
      </c>
      <c r="DB22">
        <v>9.1458919999999999</v>
      </c>
      <c r="DC22">
        <v>2.3655534709131989E-3</v>
      </c>
      <c r="DD22">
        <v>1.655883751958387E-3</v>
      </c>
      <c r="DE22">
        <v>1</v>
      </c>
      <c r="DF22">
        <v>1</v>
      </c>
      <c r="DG22">
        <v>2</v>
      </c>
      <c r="DH22" t="s">
        <v>355</v>
      </c>
      <c r="DI22">
        <v>3.0247099999999998</v>
      </c>
      <c r="DJ22">
        <v>2.6911900000000002</v>
      </c>
      <c r="DK22">
        <v>8.6747400000000002E-2</v>
      </c>
      <c r="DL22">
        <v>0.102508</v>
      </c>
      <c r="DM22">
        <v>0.135349</v>
      </c>
      <c r="DN22">
        <v>0.10455200000000001</v>
      </c>
      <c r="DO22">
        <v>25452</v>
      </c>
      <c r="DP22">
        <v>16223.3</v>
      </c>
      <c r="DQ22">
        <v>26441.9</v>
      </c>
      <c r="DR22">
        <v>16415.3</v>
      </c>
      <c r="DS22">
        <v>32501.200000000001</v>
      </c>
      <c r="DT22">
        <v>19176.5</v>
      </c>
      <c r="DU22">
        <v>38523.5</v>
      </c>
      <c r="DV22">
        <v>21728.400000000001</v>
      </c>
      <c r="DW22">
        <v>1.79356</v>
      </c>
      <c r="DX22">
        <v>2.1966000000000001</v>
      </c>
      <c r="DY22">
        <v>7.4923000000000003E-2</v>
      </c>
      <c r="DZ22">
        <v>0</v>
      </c>
      <c r="EA22">
        <v>24.667899999999999</v>
      </c>
      <c r="EB22">
        <v>999.9</v>
      </c>
      <c r="EC22">
        <v>56.5</v>
      </c>
      <c r="ED22">
        <v>32</v>
      </c>
      <c r="EE22">
        <v>26.6557</v>
      </c>
      <c r="EF22">
        <v>62.706299999999999</v>
      </c>
      <c r="EG22">
        <v>34.583300000000001</v>
      </c>
      <c r="EH22">
        <v>1</v>
      </c>
      <c r="EI22">
        <v>1.54553E-2</v>
      </c>
      <c r="EJ22">
        <v>-0.20429</v>
      </c>
      <c r="EK22">
        <v>20.3278</v>
      </c>
      <c r="EL22">
        <v>5.2511900000000002</v>
      </c>
      <c r="EM22">
        <v>11.962</v>
      </c>
      <c r="EN22">
        <v>4.9893999999999998</v>
      </c>
      <c r="EO22">
        <v>3.2910599999999999</v>
      </c>
      <c r="EP22">
        <v>9999</v>
      </c>
      <c r="EQ22">
        <v>9999</v>
      </c>
      <c r="ER22">
        <v>9999</v>
      </c>
      <c r="ES22">
        <v>999.9</v>
      </c>
      <c r="ET22">
        <v>4.9727199999999998</v>
      </c>
      <c r="EU22">
        <v>1.8718900000000001</v>
      </c>
      <c r="EV22">
        <v>1.8721099999999999</v>
      </c>
      <c r="EW22">
        <v>1.8771800000000001</v>
      </c>
      <c r="EX22">
        <v>1.87134</v>
      </c>
      <c r="EY22">
        <v>1.8721099999999999</v>
      </c>
      <c r="EZ22">
        <v>1.8717999999999999</v>
      </c>
      <c r="FA22">
        <v>1.8687400000000001</v>
      </c>
      <c r="FB22">
        <v>0</v>
      </c>
      <c r="FC22">
        <v>0</v>
      </c>
      <c r="FD22">
        <v>0</v>
      </c>
      <c r="FE22">
        <v>0</v>
      </c>
      <c r="FF22" t="s">
        <v>342</v>
      </c>
      <c r="FG22" t="s">
        <v>343</v>
      </c>
      <c r="FH22" t="s">
        <v>344</v>
      </c>
      <c r="FI22" t="s">
        <v>344</v>
      </c>
      <c r="FJ22" t="s">
        <v>344</v>
      </c>
      <c r="FK22" t="s">
        <v>344</v>
      </c>
      <c r="FL22">
        <v>0</v>
      </c>
      <c r="FM22">
        <v>100</v>
      </c>
      <c r="FN22">
        <v>100</v>
      </c>
      <c r="FO22">
        <v>2.2330000000000001</v>
      </c>
      <c r="FP22">
        <v>0.25690000000000002</v>
      </c>
      <c r="FQ22">
        <v>-0.62182825409685183</v>
      </c>
      <c r="FR22">
        <v>7.0338458001993282E-3</v>
      </c>
      <c r="FS22">
        <v>2.3387658340725169E-6</v>
      </c>
      <c r="FT22">
        <v>-2.2874075696057401E-10</v>
      </c>
      <c r="FU22">
        <v>0.25698499999999308</v>
      </c>
      <c r="FV22">
        <v>0</v>
      </c>
      <c r="FW22">
        <v>0</v>
      </c>
      <c r="FX22">
        <v>0</v>
      </c>
      <c r="FY22">
        <v>3</v>
      </c>
      <c r="FZ22">
        <v>2105</v>
      </c>
      <c r="GA22">
        <v>-1</v>
      </c>
      <c r="GB22">
        <v>-1</v>
      </c>
      <c r="GC22">
        <v>18.899999999999999</v>
      </c>
      <c r="GD22">
        <v>18.8</v>
      </c>
      <c r="GE22">
        <v>1.1035200000000001</v>
      </c>
      <c r="GF22">
        <v>2.6403799999999999</v>
      </c>
      <c r="GG22">
        <v>1.7981</v>
      </c>
      <c r="GH22">
        <v>2.3791500000000001</v>
      </c>
      <c r="GI22">
        <v>1.5979000000000001</v>
      </c>
      <c r="GJ22">
        <v>2.5830099999999998</v>
      </c>
      <c r="GK22">
        <v>35.2209</v>
      </c>
      <c r="GL22">
        <v>24.157499999999999</v>
      </c>
      <c r="GM22">
        <v>18</v>
      </c>
      <c r="GN22">
        <v>360.01799999999997</v>
      </c>
      <c r="GO22">
        <v>673.11800000000005</v>
      </c>
      <c r="GP22">
        <v>25.83</v>
      </c>
      <c r="GQ22">
        <v>27.250499999999999</v>
      </c>
      <c r="GR22">
        <v>30.0001</v>
      </c>
      <c r="GS22">
        <v>27.186599999999999</v>
      </c>
      <c r="GT22">
        <v>27.221599999999999</v>
      </c>
      <c r="GU22">
        <v>22.046199999999999</v>
      </c>
      <c r="GV22">
        <v>31.875299999999999</v>
      </c>
      <c r="GW22">
        <v>0</v>
      </c>
      <c r="GX22">
        <v>25.83</v>
      </c>
      <c r="GY22">
        <v>450</v>
      </c>
      <c r="GZ22">
        <v>19.5</v>
      </c>
      <c r="HA22">
        <v>100.483</v>
      </c>
      <c r="HB22">
        <v>67.8553</v>
      </c>
    </row>
    <row r="23" spans="1:210" x14ac:dyDescent="0.3">
      <c r="A23">
        <v>7</v>
      </c>
      <c r="B23">
        <v>1755617794.5999999</v>
      </c>
      <c r="C23">
        <v>1083.099999904633</v>
      </c>
      <c r="D23" t="s">
        <v>356</v>
      </c>
      <c r="E23" t="s">
        <v>357</v>
      </c>
      <c r="F23">
        <v>15</v>
      </c>
      <c r="G23">
        <v>1755617786.849999</v>
      </c>
      <c r="H23">
        <f t="shared" si="0"/>
        <v>4.2034177120988401E-3</v>
      </c>
      <c r="I23">
        <f t="shared" si="1"/>
        <v>4.2034177120988403</v>
      </c>
      <c r="J23">
        <f t="shared" si="2"/>
        <v>36.506985005603575</v>
      </c>
      <c r="K23">
        <f t="shared" si="3"/>
        <v>364.42146666666662</v>
      </c>
      <c r="L23">
        <f t="shared" si="4"/>
        <v>301.12784768779551</v>
      </c>
      <c r="M23">
        <f t="shared" si="5"/>
        <v>30.510394904332777</v>
      </c>
      <c r="N23">
        <f t="shared" si="6"/>
        <v>36.923329891241984</v>
      </c>
      <c r="O23">
        <f t="shared" si="7"/>
        <v>1.1559923905647658</v>
      </c>
      <c r="P23">
        <f t="shared" si="8"/>
        <v>2.4158716203520778</v>
      </c>
      <c r="Q23">
        <f t="shared" si="9"/>
        <v>0.93150387795730694</v>
      </c>
      <c r="R23">
        <f t="shared" si="10"/>
        <v>0.59888779477712961</v>
      </c>
      <c r="S23">
        <f t="shared" si="11"/>
        <v>220.09840666666653</v>
      </c>
      <c r="T23">
        <f t="shared" si="12"/>
        <v>27.050654819924056</v>
      </c>
      <c r="U23">
        <f t="shared" si="13"/>
        <v>25.899976666666671</v>
      </c>
      <c r="V23">
        <f t="shared" si="14"/>
        <v>3.354338726325977</v>
      </c>
      <c r="W23">
        <f t="shared" si="15"/>
        <v>82.272895757566133</v>
      </c>
      <c r="X23">
        <f t="shared" si="16"/>
        <v>2.9112664980149177</v>
      </c>
      <c r="Y23">
        <f t="shared" si="17"/>
        <v>3.5385487179077275</v>
      </c>
      <c r="Z23">
        <f t="shared" si="18"/>
        <v>0.4430722283110593</v>
      </c>
      <c r="AA23">
        <f t="shared" si="19"/>
        <v>-185.37072110355885</v>
      </c>
      <c r="AB23">
        <f t="shared" si="20"/>
        <v>117.9845587603541</v>
      </c>
      <c r="AC23">
        <f t="shared" si="21"/>
        <v>10.471622622613801</v>
      </c>
      <c r="AD23">
        <f t="shared" si="22"/>
        <v>163.1838669460756</v>
      </c>
      <c r="AE23">
        <f t="shared" si="23"/>
        <v>36.506985005603575</v>
      </c>
      <c r="AF23">
        <f t="shared" si="24"/>
        <v>4.2034177120988403</v>
      </c>
      <c r="AG23">
        <f t="shared" si="25"/>
        <v>36.516293987562847</v>
      </c>
      <c r="AH23">
        <v>458.95120994655741</v>
      </c>
      <c r="AI23">
        <v>375.15862424242408</v>
      </c>
      <c r="AJ23">
        <v>-9.5073611906534557E-4</v>
      </c>
      <c r="AK23">
        <v>84.014661243559686</v>
      </c>
      <c r="AL23">
        <f t="shared" si="26"/>
        <v>4.2035883417583628</v>
      </c>
      <c r="AM23">
        <v>19.547877203443441</v>
      </c>
      <c r="AN23">
        <v>28.734274135338339</v>
      </c>
      <c r="AO23">
        <v>1.429056718593694E-6</v>
      </c>
      <c r="AP23">
        <v>90.527890321289746</v>
      </c>
      <c r="AQ23">
        <v>0</v>
      </c>
      <c r="AR23">
        <v>0</v>
      </c>
      <c r="AS23">
        <f t="shared" si="27"/>
        <v>1</v>
      </c>
      <c r="AT23">
        <f t="shared" si="28"/>
        <v>0</v>
      </c>
      <c r="AU23">
        <f t="shared" si="29"/>
        <v>53590.738001811318</v>
      </c>
      <c r="AV23">
        <f t="shared" si="30"/>
        <v>1158.4126666666659</v>
      </c>
      <c r="AW23">
        <f t="shared" si="31"/>
        <v>926.73013333333279</v>
      </c>
      <c r="AX23">
        <f t="shared" si="32"/>
        <v>0.8</v>
      </c>
      <c r="AY23">
        <f t="shared" si="33"/>
        <v>0.19</v>
      </c>
      <c r="AZ23">
        <v>9</v>
      </c>
      <c r="BA23">
        <v>1.21</v>
      </c>
      <c r="BB23" t="s">
        <v>339</v>
      </c>
      <c r="BC23">
        <v>2</v>
      </c>
      <c r="BD23" t="b">
        <v>0</v>
      </c>
      <c r="BE23">
        <v>1755617786.849999</v>
      </c>
      <c r="BF23">
        <v>364.42146666666662</v>
      </c>
      <c r="BG23">
        <v>450.00976666666668</v>
      </c>
      <c r="BH23">
        <v>28.733270000000001</v>
      </c>
      <c r="BI23">
        <v>19.547223333333331</v>
      </c>
      <c r="BJ23">
        <v>362.19966666666659</v>
      </c>
      <c r="BK23">
        <v>28.476279999999999</v>
      </c>
      <c r="BL23">
        <v>399.99533333333329</v>
      </c>
      <c r="BM23">
        <v>101.2204666666667</v>
      </c>
      <c r="BN23">
        <v>9.9936406666666644E-2</v>
      </c>
      <c r="BO23">
        <v>26.805846666666671</v>
      </c>
      <c r="BP23">
        <v>25.899976666666671</v>
      </c>
      <c r="BQ23">
        <v>999.9000000000002</v>
      </c>
      <c r="BR23">
        <v>0</v>
      </c>
      <c r="BS23">
        <v>0</v>
      </c>
      <c r="BT23">
        <v>10006.533333333329</v>
      </c>
      <c r="BU23">
        <v>1158.4126666666659</v>
      </c>
      <c r="BV23">
        <v>13.960813333333331</v>
      </c>
      <c r="BW23">
        <v>-85.588233333333335</v>
      </c>
      <c r="BX23">
        <v>375.20226666666662</v>
      </c>
      <c r="BY23">
        <v>458.98146666666668</v>
      </c>
      <c r="BZ23">
        <v>9.1860403333333345</v>
      </c>
      <c r="CA23">
        <v>450.00976666666668</v>
      </c>
      <c r="CB23">
        <v>19.547223333333331</v>
      </c>
      <c r="CC23">
        <v>2.9083969999999999</v>
      </c>
      <c r="CD23">
        <v>1.9785820000000001</v>
      </c>
      <c r="CE23">
        <v>23.51257</v>
      </c>
      <c r="CF23">
        <v>17.27396666666667</v>
      </c>
      <c r="CG23">
        <v>1755616485</v>
      </c>
      <c r="CH23" t="s">
        <v>340</v>
      </c>
      <c r="CI23">
        <v>1755616477.5</v>
      </c>
      <c r="CJ23">
        <v>1755616485</v>
      </c>
      <c r="CK23">
        <v>6</v>
      </c>
      <c r="CL23">
        <v>-0.23100000000000001</v>
      </c>
      <c r="CM23">
        <v>0.03</v>
      </c>
      <c r="CN23">
        <v>2.97</v>
      </c>
      <c r="CO23">
        <v>0.25700000000000001</v>
      </c>
      <c r="CP23">
        <v>450</v>
      </c>
      <c r="CQ23">
        <v>20</v>
      </c>
      <c r="CR23">
        <v>0.02</v>
      </c>
      <c r="CS23">
        <v>0.01</v>
      </c>
      <c r="CT23">
        <v>-85.575973170731714</v>
      </c>
      <c r="CU23">
        <v>-2.8459233449436221E-2</v>
      </c>
      <c r="CV23">
        <v>3.7441127930099842E-2</v>
      </c>
      <c r="CW23">
        <v>1</v>
      </c>
      <c r="CX23">
        <v>0</v>
      </c>
      <c r="CY23">
        <v>0</v>
      </c>
      <c r="CZ23">
        <v>0</v>
      </c>
      <c r="DA23">
        <v>-1</v>
      </c>
      <c r="DB23">
        <v>9.1857636585365849</v>
      </c>
      <c r="DC23">
        <v>5.7284320557656806E-3</v>
      </c>
      <c r="DD23">
        <v>1.1425810663400859E-3</v>
      </c>
      <c r="DE23">
        <v>1</v>
      </c>
      <c r="DF23">
        <v>2</v>
      </c>
      <c r="DG23">
        <v>2</v>
      </c>
      <c r="DH23" t="s">
        <v>341</v>
      </c>
      <c r="DI23">
        <v>3.0247000000000002</v>
      </c>
      <c r="DJ23">
        <v>2.6913100000000001</v>
      </c>
      <c r="DK23">
        <v>8.6494199999999993E-2</v>
      </c>
      <c r="DL23">
        <v>0.10249800000000001</v>
      </c>
      <c r="DM23">
        <v>0.13553299999999999</v>
      </c>
      <c r="DN23">
        <v>0.104615</v>
      </c>
      <c r="DO23">
        <v>25458.5</v>
      </c>
      <c r="DP23">
        <v>16223.7</v>
      </c>
      <c r="DQ23">
        <v>26441.3</v>
      </c>
      <c r="DR23">
        <v>16415.400000000001</v>
      </c>
      <c r="DS23">
        <v>32493.5</v>
      </c>
      <c r="DT23">
        <v>19175.5</v>
      </c>
      <c r="DU23">
        <v>38522.699999999997</v>
      </c>
      <c r="DV23">
        <v>21728.799999999999</v>
      </c>
      <c r="DW23">
        <v>1.7937799999999999</v>
      </c>
      <c r="DX23">
        <v>2.1962999999999999</v>
      </c>
      <c r="DY23">
        <v>7.45952E-2</v>
      </c>
      <c r="DZ23">
        <v>0</v>
      </c>
      <c r="EA23">
        <v>24.676200000000001</v>
      </c>
      <c r="EB23">
        <v>999.9</v>
      </c>
      <c r="EC23">
        <v>56.5</v>
      </c>
      <c r="ED23">
        <v>32</v>
      </c>
      <c r="EE23">
        <v>26.653199999999998</v>
      </c>
      <c r="EF23">
        <v>62.586399999999998</v>
      </c>
      <c r="EG23">
        <v>34.6755</v>
      </c>
      <c r="EH23">
        <v>1</v>
      </c>
      <c r="EI23">
        <v>1.5764199999999999E-2</v>
      </c>
      <c r="EJ23">
        <v>-0.2</v>
      </c>
      <c r="EK23">
        <v>20.328099999999999</v>
      </c>
      <c r="EL23">
        <v>5.2529899999999996</v>
      </c>
      <c r="EM23">
        <v>11.962</v>
      </c>
      <c r="EN23">
        <v>4.9896399999999996</v>
      </c>
      <c r="EO23">
        <v>3.29128</v>
      </c>
      <c r="EP23">
        <v>9999</v>
      </c>
      <c r="EQ23">
        <v>9999</v>
      </c>
      <c r="ER23">
        <v>9999</v>
      </c>
      <c r="ES23">
        <v>999.9</v>
      </c>
      <c r="ET23">
        <v>4.9727199999999998</v>
      </c>
      <c r="EU23">
        <v>1.8719399999999999</v>
      </c>
      <c r="EV23">
        <v>1.8721099999999999</v>
      </c>
      <c r="EW23">
        <v>1.87721</v>
      </c>
      <c r="EX23">
        <v>1.87134</v>
      </c>
      <c r="EY23">
        <v>1.8721099999999999</v>
      </c>
      <c r="EZ23">
        <v>1.8717900000000001</v>
      </c>
      <c r="FA23">
        <v>1.8687400000000001</v>
      </c>
      <c r="FB23">
        <v>0</v>
      </c>
      <c r="FC23">
        <v>0</v>
      </c>
      <c r="FD23">
        <v>0</v>
      </c>
      <c r="FE23">
        <v>0</v>
      </c>
      <c r="FF23" t="s">
        <v>342</v>
      </c>
      <c r="FG23" t="s">
        <v>343</v>
      </c>
      <c r="FH23" t="s">
        <v>344</v>
      </c>
      <c r="FI23" t="s">
        <v>344</v>
      </c>
      <c r="FJ23" t="s">
        <v>344</v>
      </c>
      <c r="FK23" t="s">
        <v>344</v>
      </c>
      <c r="FL23">
        <v>0</v>
      </c>
      <c r="FM23">
        <v>100</v>
      </c>
      <c r="FN23">
        <v>100</v>
      </c>
      <c r="FO23">
        <v>2.222</v>
      </c>
      <c r="FP23">
        <v>0.25700000000000001</v>
      </c>
      <c r="FQ23">
        <v>-0.62182825409685183</v>
      </c>
      <c r="FR23">
        <v>7.0338458001993282E-3</v>
      </c>
      <c r="FS23">
        <v>2.3387658340725169E-6</v>
      </c>
      <c r="FT23">
        <v>-2.2874075696057401E-10</v>
      </c>
      <c r="FU23">
        <v>0.25698499999999308</v>
      </c>
      <c r="FV23">
        <v>0</v>
      </c>
      <c r="FW23">
        <v>0</v>
      </c>
      <c r="FX23">
        <v>0</v>
      </c>
      <c r="FY23">
        <v>3</v>
      </c>
      <c r="FZ23">
        <v>2105</v>
      </c>
      <c r="GA23">
        <v>-1</v>
      </c>
      <c r="GB23">
        <v>-1</v>
      </c>
      <c r="GC23">
        <v>22</v>
      </c>
      <c r="GD23">
        <v>21.8</v>
      </c>
      <c r="GE23">
        <v>1.1035200000000001</v>
      </c>
      <c r="GF23">
        <v>2.65747</v>
      </c>
      <c r="GG23">
        <v>1.79932</v>
      </c>
      <c r="GH23">
        <v>2.3779300000000001</v>
      </c>
      <c r="GI23">
        <v>1.5979000000000001</v>
      </c>
      <c r="GJ23">
        <v>2.4523899999999998</v>
      </c>
      <c r="GK23">
        <v>35.2209</v>
      </c>
      <c r="GL23">
        <v>24.148800000000001</v>
      </c>
      <c r="GM23">
        <v>18</v>
      </c>
      <c r="GN23">
        <v>360.15899999999999</v>
      </c>
      <c r="GO23">
        <v>672.94500000000005</v>
      </c>
      <c r="GP23">
        <v>25.829899999999999</v>
      </c>
      <c r="GQ23">
        <v>27.257400000000001</v>
      </c>
      <c r="GR23">
        <v>30.0001</v>
      </c>
      <c r="GS23">
        <v>27.191099999999999</v>
      </c>
      <c r="GT23">
        <v>27.2285</v>
      </c>
      <c r="GU23">
        <v>22.0458</v>
      </c>
      <c r="GV23">
        <v>31.875299999999999</v>
      </c>
      <c r="GW23">
        <v>0</v>
      </c>
      <c r="GX23">
        <v>25.83</v>
      </c>
      <c r="GY23">
        <v>450</v>
      </c>
      <c r="GZ23">
        <v>19.5</v>
      </c>
      <c r="HA23">
        <v>100.48099999999999</v>
      </c>
      <c r="HB23">
        <v>67.856300000000005</v>
      </c>
    </row>
    <row r="24" spans="1:210" x14ac:dyDescent="0.3">
      <c r="A24">
        <v>8</v>
      </c>
      <c r="B24">
        <v>1755617975.0999999</v>
      </c>
      <c r="C24">
        <v>1263.599999904633</v>
      </c>
      <c r="D24" t="s">
        <v>358</v>
      </c>
      <c r="E24" t="s">
        <v>359</v>
      </c>
      <c r="F24">
        <v>15</v>
      </c>
      <c r="G24">
        <v>1755617967.349999</v>
      </c>
      <c r="H24">
        <f t="shared" si="0"/>
        <v>4.2322375481128926E-3</v>
      </c>
      <c r="I24">
        <f t="shared" si="1"/>
        <v>4.2322375481128924</v>
      </c>
      <c r="J24">
        <f t="shared" si="2"/>
        <v>36.689433925761726</v>
      </c>
      <c r="K24">
        <f t="shared" si="3"/>
        <v>363.99986666666678</v>
      </c>
      <c r="L24">
        <f t="shared" si="4"/>
        <v>301.60302160399686</v>
      </c>
      <c r="M24">
        <f t="shared" si="5"/>
        <v>30.558227227166885</v>
      </c>
      <c r="N24">
        <f t="shared" si="6"/>
        <v>36.880236070257752</v>
      </c>
      <c r="O24">
        <f t="shared" si="7"/>
        <v>1.1834049617547295</v>
      </c>
      <c r="P24">
        <f t="shared" si="8"/>
        <v>2.4149451887933964</v>
      </c>
      <c r="Q24">
        <f t="shared" si="9"/>
        <v>0.94915604732251513</v>
      </c>
      <c r="R24">
        <f t="shared" si="10"/>
        <v>0.61057459965215988</v>
      </c>
      <c r="S24">
        <f t="shared" si="11"/>
        <v>220.09549333333328</v>
      </c>
      <c r="T24">
        <f t="shared" si="12"/>
        <v>27.039328388700056</v>
      </c>
      <c r="U24">
        <f t="shared" si="13"/>
        <v>25.89456666666667</v>
      </c>
      <c r="V24">
        <f t="shared" si="14"/>
        <v>3.3532642554683516</v>
      </c>
      <c r="W24">
        <f t="shared" si="15"/>
        <v>82.403250168477783</v>
      </c>
      <c r="X24">
        <f t="shared" si="16"/>
        <v>2.9154624206350221</v>
      </c>
      <c r="Y24">
        <f t="shared" si="17"/>
        <v>3.538042995481617</v>
      </c>
      <c r="Z24">
        <f t="shared" si="18"/>
        <v>0.43780183483332946</v>
      </c>
      <c r="AA24">
        <f t="shared" si="19"/>
        <v>-186.64167587177857</v>
      </c>
      <c r="AB24">
        <f t="shared" si="20"/>
        <v>118.32729406281811</v>
      </c>
      <c r="AC24">
        <f t="shared" si="21"/>
        <v>10.505658087262626</v>
      </c>
      <c r="AD24">
        <f t="shared" si="22"/>
        <v>162.28676961163544</v>
      </c>
      <c r="AE24">
        <f t="shared" si="23"/>
        <v>36.689433925761726</v>
      </c>
      <c r="AF24">
        <f t="shared" si="24"/>
        <v>4.2322375481128924</v>
      </c>
      <c r="AG24">
        <f t="shared" si="25"/>
        <v>36.711349815891822</v>
      </c>
      <c r="AH24">
        <v>459.02870546886129</v>
      </c>
      <c r="AI24">
        <v>374.79125454545419</v>
      </c>
      <c r="AJ24">
        <v>3.7659376517294111E-4</v>
      </c>
      <c r="AK24">
        <v>84.014661243559686</v>
      </c>
      <c r="AL24">
        <f t="shared" si="26"/>
        <v>4.2328183344463861</v>
      </c>
      <c r="AM24">
        <v>19.525635666131571</v>
      </c>
      <c r="AN24">
        <v>28.774202556390961</v>
      </c>
      <c r="AO24">
        <v>-2.2345755991773059E-6</v>
      </c>
      <c r="AP24">
        <v>90.527890321289746</v>
      </c>
      <c r="AQ24">
        <v>0</v>
      </c>
      <c r="AR24">
        <v>0</v>
      </c>
      <c r="AS24">
        <f t="shared" si="27"/>
        <v>1</v>
      </c>
      <c r="AT24">
        <f t="shared" si="28"/>
        <v>0</v>
      </c>
      <c r="AU24">
        <f t="shared" si="29"/>
        <v>53560.165131283917</v>
      </c>
      <c r="AV24">
        <f t="shared" si="30"/>
        <v>1158.3973333333331</v>
      </c>
      <c r="AW24">
        <f t="shared" si="31"/>
        <v>926.71786666666651</v>
      </c>
      <c r="AX24">
        <f t="shared" si="32"/>
        <v>0.8</v>
      </c>
      <c r="AY24">
        <f t="shared" si="33"/>
        <v>0.19</v>
      </c>
      <c r="AZ24">
        <v>9</v>
      </c>
      <c r="BA24">
        <v>1.21</v>
      </c>
      <c r="BB24" t="s">
        <v>339</v>
      </c>
      <c r="BC24">
        <v>2</v>
      </c>
      <c r="BD24" t="b">
        <v>0</v>
      </c>
      <c r="BE24">
        <v>1755617967.349999</v>
      </c>
      <c r="BF24">
        <v>363.99986666666678</v>
      </c>
      <c r="BG24">
        <v>450.00563333333332</v>
      </c>
      <c r="BH24">
        <v>28.774976666666682</v>
      </c>
      <c r="BI24">
        <v>19.527706666666671</v>
      </c>
      <c r="BJ24">
        <v>361.78169999999989</v>
      </c>
      <c r="BK24">
        <v>28.51799333333333</v>
      </c>
      <c r="BL24">
        <v>400.0542333333334</v>
      </c>
      <c r="BM24">
        <v>101.2193</v>
      </c>
      <c r="BN24">
        <v>0.1000669766666667</v>
      </c>
      <c r="BO24">
        <v>26.803416666666671</v>
      </c>
      <c r="BP24">
        <v>25.89456666666667</v>
      </c>
      <c r="BQ24">
        <v>999.9000000000002</v>
      </c>
      <c r="BR24">
        <v>0</v>
      </c>
      <c r="BS24">
        <v>0</v>
      </c>
      <c r="BT24">
        <v>10000.61666666667</v>
      </c>
      <c r="BU24">
        <v>1158.3973333333331</v>
      </c>
      <c r="BV24">
        <v>13.968400000000001</v>
      </c>
      <c r="BW24">
        <v>-86.005773333333323</v>
      </c>
      <c r="BX24">
        <v>374.78423333333342</v>
      </c>
      <c r="BY24">
        <v>458.96816666666672</v>
      </c>
      <c r="BZ24">
        <v>9.2472733333333341</v>
      </c>
      <c r="CA24">
        <v>450.00563333333332</v>
      </c>
      <c r="CB24">
        <v>19.527706666666671</v>
      </c>
      <c r="CC24">
        <v>2.9125853333333329</v>
      </c>
      <c r="CD24">
        <v>1.976581333333334</v>
      </c>
      <c r="CE24">
        <v>23.53644000000001</v>
      </c>
      <c r="CF24">
        <v>17.257983333333328</v>
      </c>
      <c r="CG24">
        <v>1755616485</v>
      </c>
      <c r="CH24" t="s">
        <v>340</v>
      </c>
      <c r="CI24">
        <v>1755616477.5</v>
      </c>
      <c r="CJ24">
        <v>1755616485</v>
      </c>
      <c r="CK24">
        <v>6</v>
      </c>
      <c r="CL24">
        <v>-0.23100000000000001</v>
      </c>
      <c r="CM24">
        <v>0.03</v>
      </c>
      <c r="CN24">
        <v>2.97</v>
      </c>
      <c r="CO24">
        <v>0.25700000000000001</v>
      </c>
      <c r="CP24">
        <v>450</v>
      </c>
      <c r="CQ24">
        <v>20</v>
      </c>
      <c r="CR24">
        <v>0.02</v>
      </c>
      <c r="CS24">
        <v>0.01</v>
      </c>
      <c r="CT24">
        <v>-86.001319512195124</v>
      </c>
      <c r="CU24">
        <v>-0.21122299651592991</v>
      </c>
      <c r="CV24">
        <v>4.9727134564111992E-2</v>
      </c>
      <c r="CW24">
        <v>1</v>
      </c>
      <c r="CX24">
        <v>0</v>
      </c>
      <c r="CY24">
        <v>0</v>
      </c>
      <c r="CZ24">
        <v>0</v>
      </c>
      <c r="DA24">
        <v>-1</v>
      </c>
      <c r="DB24">
        <v>9.2453180487804865</v>
      </c>
      <c r="DC24">
        <v>2.551191637630864E-2</v>
      </c>
      <c r="DD24">
        <v>3.364745646540445E-3</v>
      </c>
      <c r="DE24">
        <v>1</v>
      </c>
      <c r="DF24">
        <v>2</v>
      </c>
      <c r="DG24">
        <v>2</v>
      </c>
      <c r="DH24" t="s">
        <v>341</v>
      </c>
      <c r="DI24">
        <v>3.0248499999999998</v>
      </c>
      <c r="DJ24">
        <v>2.6914199999999999</v>
      </c>
      <c r="DK24">
        <v>8.6417599999999997E-2</v>
      </c>
      <c r="DL24">
        <v>0.102491</v>
      </c>
      <c r="DM24">
        <v>0.13566</v>
      </c>
      <c r="DN24">
        <v>0.104528</v>
      </c>
      <c r="DO24">
        <v>25460.7</v>
      </c>
      <c r="DP24">
        <v>16223.3</v>
      </c>
      <c r="DQ24">
        <v>26441.4</v>
      </c>
      <c r="DR24">
        <v>16414.900000000001</v>
      </c>
      <c r="DS24">
        <v>32488.9</v>
      </c>
      <c r="DT24">
        <v>19176.900000000001</v>
      </c>
      <c r="DU24">
        <v>38523.1</v>
      </c>
      <c r="DV24">
        <v>21728.2</v>
      </c>
      <c r="DW24">
        <v>1.79382</v>
      </c>
      <c r="DX24">
        <v>2.1960600000000001</v>
      </c>
      <c r="DY24">
        <v>7.4863399999999997E-2</v>
      </c>
      <c r="DZ24">
        <v>0</v>
      </c>
      <c r="EA24">
        <v>24.674900000000001</v>
      </c>
      <c r="EB24">
        <v>999.9</v>
      </c>
      <c r="EC24">
        <v>56.5</v>
      </c>
      <c r="ED24">
        <v>32</v>
      </c>
      <c r="EE24">
        <v>26.654499999999999</v>
      </c>
      <c r="EF24">
        <v>62.096400000000003</v>
      </c>
      <c r="EG24">
        <v>34.6755</v>
      </c>
      <c r="EH24">
        <v>1</v>
      </c>
      <c r="EI24">
        <v>1.6146299999999999E-2</v>
      </c>
      <c r="EJ24">
        <v>-0.18939</v>
      </c>
      <c r="EK24">
        <v>20.328299999999999</v>
      </c>
      <c r="EL24">
        <v>5.2521500000000003</v>
      </c>
      <c r="EM24">
        <v>11.962</v>
      </c>
      <c r="EN24">
        <v>4.98956</v>
      </c>
      <c r="EO24">
        <v>3.29142</v>
      </c>
      <c r="EP24">
        <v>9999</v>
      </c>
      <c r="EQ24">
        <v>9999</v>
      </c>
      <c r="ER24">
        <v>9999</v>
      </c>
      <c r="ES24">
        <v>999.9</v>
      </c>
      <c r="ET24">
        <v>4.9727300000000003</v>
      </c>
      <c r="EU24">
        <v>1.87195</v>
      </c>
      <c r="EV24">
        <v>1.8721099999999999</v>
      </c>
      <c r="EW24">
        <v>1.87723</v>
      </c>
      <c r="EX24">
        <v>1.87134</v>
      </c>
      <c r="EY24">
        <v>1.8721099999999999</v>
      </c>
      <c r="EZ24">
        <v>1.8717999999999999</v>
      </c>
      <c r="FA24">
        <v>1.8687400000000001</v>
      </c>
      <c r="FB24">
        <v>0</v>
      </c>
      <c r="FC24">
        <v>0</v>
      </c>
      <c r="FD24">
        <v>0</v>
      </c>
      <c r="FE24">
        <v>0</v>
      </c>
      <c r="FF24" t="s">
        <v>342</v>
      </c>
      <c r="FG24" t="s">
        <v>343</v>
      </c>
      <c r="FH24" t="s">
        <v>344</v>
      </c>
      <c r="FI24" t="s">
        <v>344</v>
      </c>
      <c r="FJ24" t="s">
        <v>344</v>
      </c>
      <c r="FK24" t="s">
        <v>344</v>
      </c>
      <c r="FL24">
        <v>0</v>
      </c>
      <c r="FM24">
        <v>100</v>
      </c>
      <c r="FN24">
        <v>100</v>
      </c>
      <c r="FO24">
        <v>2.218</v>
      </c>
      <c r="FP24">
        <v>0.25700000000000001</v>
      </c>
      <c r="FQ24">
        <v>-0.62182825409685183</v>
      </c>
      <c r="FR24">
        <v>7.0338458001993282E-3</v>
      </c>
      <c r="FS24">
        <v>2.3387658340725169E-6</v>
      </c>
      <c r="FT24">
        <v>-2.2874075696057401E-10</v>
      </c>
      <c r="FU24">
        <v>0.25698499999999308</v>
      </c>
      <c r="FV24">
        <v>0</v>
      </c>
      <c r="FW24">
        <v>0</v>
      </c>
      <c r="FX24">
        <v>0</v>
      </c>
      <c r="FY24">
        <v>3</v>
      </c>
      <c r="FZ24">
        <v>2105</v>
      </c>
      <c r="GA24">
        <v>-1</v>
      </c>
      <c r="GB24">
        <v>-1</v>
      </c>
      <c r="GC24">
        <v>25</v>
      </c>
      <c r="GD24">
        <v>24.8</v>
      </c>
      <c r="GE24">
        <v>1.1035200000000001</v>
      </c>
      <c r="GF24">
        <v>2.63672</v>
      </c>
      <c r="GG24">
        <v>1.79932</v>
      </c>
      <c r="GH24">
        <v>2.3779300000000001</v>
      </c>
      <c r="GI24">
        <v>1.5979000000000001</v>
      </c>
      <c r="GJ24">
        <v>2.5329600000000001</v>
      </c>
      <c r="GK24">
        <v>35.2209</v>
      </c>
      <c r="GL24">
        <v>24.157499999999999</v>
      </c>
      <c r="GM24">
        <v>18</v>
      </c>
      <c r="GN24">
        <v>360.21699999999998</v>
      </c>
      <c r="GO24">
        <v>672.79499999999996</v>
      </c>
      <c r="GP24">
        <v>25.830100000000002</v>
      </c>
      <c r="GQ24">
        <v>27.2621</v>
      </c>
      <c r="GR24">
        <v>30.0001</v>
      </c>
      <c r="GS24">
        <v>27.197099999999999</v>
      </c>
      <c r="GT24">
        <v>27.2331</v>
      </c>
      <c r="GU24">
        <v>22.045100000000001</v>
      </c>
      <c r="GV24">
        <v>31.875299999999999</v>
      </c>
      <c r="GW24">
        <v>0</v>
      </c>
      <c r="GX24">
        <v>25.83</v>
      </c>
      <c r="GY24">
        <v>450</v>
      </c>
      <c r="GZ24">
        <v>19.5</v>
      </c>
      <c r="HA24">
        <v>100.48099999999999</v>
      </c>
      <c r="HB24">
        <v>67.854399999999998</v>
      </c>
    </row>
    <row r="25" spans="1:210" x14ac:dyDescent="0.3">
      <c r="A25">
        <v>9</v>
      </c>
      <c r="B25">
        <v>1755618155.5999999</v>
      </c>
      <c r="C25">
        <v>1444.099999904633</v>
      </c>
      <c r="D25" t="s">
        <v>360</v>
      </c>
      <c r="E25" t="s">
        <v>361</v>
      </c>
      <c r="F25">
        <v>15</v>
      </c>
      <c r="G25">
        <v>1755618147.849999</v>
      </c>
      <c r="H25">
        <f t="shared" si="0"/>
        <v>4.2492784250510156E-3</v>
      </c>
      <c r="I25">
        <f t="shared" si="1"/>
        <v>4.2492784250510161</v>
      </c>
      <c r="J25">
        <f t="shared" si="2"/>
        <v>44.293384314706579</v>
      </c>
      <c r="K25">
        <f t="shared" si="3"/>
        <v>495.61216666666672</v>
      </c>
      <c r="L25">
        <f t="shared" si="4"/>
        <v>420.1656952645875</v>
      </c>
      <c r="M25">
        <f t="shared" si="5"/>
        <v>42.572492074382509</v>
      </c>
      <c r="N25">
        <f t="shared" si="6"/>
        <v>50.21696267730146</v>
      </c>
      <c r="O25">
        <f t="shared" si="7"/>
        <v>1.1887674112798075</v>
      </c>
      <c r="P25">
        <f t="shared" si="8"/>
        <v>2.4152895889100447</v>
      </c>
      <c r="Q25">
        <f t="shared" si="9"/>
        <v>0.95263073430615586</v>
      </c>
      <c r="R25">
        <f t="shared" si="10"/>
        <v>0.61287268987975696</v>
      </c>
      <c r="S25">
        <f t="shared" si="11"/>
        <v>220.24268000000001</v>
      </c>
      <c r="T25">
        <f t="shared" si="12"/>
        <v>27.036396250293752</v>
      </c>
      <c r="U25">
        <f t="shared" si="13"/>
        <v>25.893713333333331</v>
      </c>
      <c r="V25">
        <f t="shared" si="14"/>
        <v>3.3530948038442965</v>
      </c>
      <c r="W25">
        <f t="shared" si="15"/>
        <v>82.386858700350032</v>
      </c>
      <c r="X25">
        <f t="shared" si="16"/>
        <v>2.9151156632102135</v>
      </c>
      <c r="Y25">
        <f t="shared" si="17"/>
        <v>3.5383260257716662</v>
      </c>
      <c r="Z25">
        <f t="shared" si="18"/>
        <v>0.43797914063408294</v>
      </c>
      <c r="AA25">
        <f t="shared" si="19"/>
        <v>-187.39317854474979</v>
      </c>
      <c r="AB25">
        <f t="shared" si="20"/>
        <v>118.63237393025774</v>
      </c>
      <c r="AC25">
        <f t="shared" si="21"/>
        <v>10.531269498223571</v>
      </c>
      <c r="AD25">
        <f t="shared" si="22"/>
        <v>162.01314488373151</v>
      </c>
      <c r="AE25">
        <f t="shared" si="23"/>
        <v>44.293384314706579</v>
      </c>
      <c r="AF25">
        <f t="shared" si="24"/>
        <v>4.2492784250510161</v>
      </c>
      <c r="AG25">
        <f t="shared" si="25"/>
        <v>44.471228194375591</v>
      </c>
      <c r="AH25">
        <v>611.9512776269172</v>
      </c>
      <c r="AI25">
        <v>510.12888484848457</v>
      </c>
      <c r="AJ25">
        <v>-2.57725011867849E-2</v>
      </c>
      <c r="AK25">
        <v>84.014661243559686</v>
      </c>
      <c r="AL25">
        <f t="shared" si="26"/>
        <v>4.2496493670178701</v>
      </c>
      <c r="AM25">
        <v>19.484448536037242</v>
      </c>
      <c r="AN25">
        <v>28.7704929323308</v>
      </c>
      <c r="AO25">
        <v>-3.320918113061278E-6</v>
      </c>
      <c r="AP25">
        <v>90.527890321289746</v>
      </c>
      <c r="AQ25">
        <v>0</v>
      </c>
      <c r="AR25">
        <v>0</v>
      </c>
      <c r="AS25">
        <f t="shared" si="27"/>
        <v>1</v>
      </c>
      <c r="AT25">
        <f t="shared" si="28"/>
        <v>0</v>
      </c>
      <c r="AU25">
        <f t="shared" si="29"/>
        <v>53571.521498684153</v>
      </c>
      <c r="AV25">
        <f t="shared" si="30"/>
        <v>1159.172</v>
      </c>
      <c r="AW25">
        <f t="shared" si="31"/>
        <v>927.33760000000007</v>
      </c>
      <c r="AX25">
        <f t="shared" si="32"/>
        <v>0.8</v>
      </c>
      <c r="AY25">
        <f t="shared" si="33"/>
        <v>0.19</v>
      </c>
      <c r="AZ25">
        <v>9</v>
      </c>
      <c r="BA25">
        <v>1.21</v>
      </c>
      <c r="BB25" t="s">
        <v>339</v>
      </c>
      <c r="BC25">
        <v>2</v>
      </c>
      <c r="BD25" t="b">
        <v>0</v>
      </c>
      <c r="BE25">
        <v>1755618147.849999</v>
      </c>
      <c r="BF25">
        <v>495.61216666666672</v>
      </c>
      <c r="BG25">
        <v>600.00400000000002</v>
      </c>
      <c r="BH25">
        <v>28.770493333333341</v>
      </c>
      <c r="BI25">
        <v>19.485289999999999</v>
      </c>
      <c r="BJ25">
        <v>492.23226666666682</v>
      </c>
      <c r="BK25">
        <v>28.513500000000001</v>
      </c>
      <c r="BL25">
        <v>400.02593333333328</v>
      </c>
      <c r="BM25">
        <v>101.2231</v>
      </c>
      <c r="BN25">
        <v>0.1000031333333333</v>
      </c>
      <c r="BO25">
        <v>26.804776666666669</v>
      </c>
      <c r="BP25">
        <v>25.893713333333331</v>
      </c>
      <c r="BQ25">
        <v>999.9000000000002</v>
      </c>
      <c r="BR25">
        <v>0</v>
      </c>
      <c r="BS25">
        <v>0</v>
      </c>
      <c r="BT25">
        <v>10002.48333333333</v>
      </c>
      <c r="BU25">
        <v>1159.172</v>
      </c>
      <c r="BV25">
        <v>13.968023333333329</v>
      </c>
      <c r="BW25">
        <v>-104.39190000000001</v>
      </c>
      <c r="BX25">
        <v>510.29349999999988</v>
      </c>
      <c r="BY25">
        <v>611.92753333333337</v>
      </c>
      <c r="BZ25">
        <v>9.2851906666666668</v>
      </c>
      <c r="CA25">
        <v>600.00400000000002</v>
      </c>
      <c r="CB25">
        <v>19.485289999999999</v>
      </c>
      <c r="CC25">
        <v>2.9122423333333329</v>
      </c>
      <c r="CD25">
        <v>1.9723653333333331</v>
      </c>
      <c r="CE25">
        <v>23.534483333333331</v>
      </c>
      <c r="CF25">
        <v>17.22420666666666</v>
      </c>
      <c r="CG25">
        <v>1755616485</v>
      </c>
      <c r="CH25" t="s">
        <v>340</v>
      </c>
      <c r="CI25">
        <v>1755616477.5</v>
      </c>
      <c r="CJ25">
        <v>1755616485</v>
      </c>
      <c r="CK25">
        <v>6</v>
      </c>
      <c r="CL25">
        <v>-0.23100000000000001</v>
      </c>
      <c r="CM25">
        <v>0.03</v>
      </c>
      <c r="CN25">
        <v>2.97</v>
      </c>
      <c r="CO25">
        <v>0.25700000000000001</v>
      </c>
      <c r="CP25">
        <v>450</v>
      </c>
      <c r="CQ25">
        <v>20</v>
      </c>
      <c r="CR25">
        <v>0.02</v>
      </c>
      <c r="CS25">
        <v>0.01</v>
      </c>
      <c r="CT25">
        <v>-104.3507</v>
      </c>
      <c r="CU25">
        <v>-0.66887054408976299</v>
      </c>
      <c r="CV25">
        <v>7.1607332026825274E-2</v>
      </c>
      <c r="CW25">
        <v>0</v>
      </c>
      <c r="CX25">
        <v>0</v>
      </c>
      <c r="CY25">
        <v>0</v>
      </c>
      <c r="CZ25">
        <v>0</v>
      </c>
      <c r="DA25">
        <v>-1</v>
      </c>
      <c r="DB25">
        <v>9.283755750000001</v>
      </c>
      <c r="DC25">
        <v>1.7818198874284812E-2</v>
      </c>
      <c r="DD25">
        <v>3.0393378287876761E-3</v>
      </c>
      <c r="DE25">
        <v>1</v>
      </c>
      <c r="DF25">
        <v>1</v>
      </c>
      <c r="DG25">
        <v>2</v>
      </c>
      <c r="DH25" t="s">
        <v>355</v>
      </c>
      <c r="DI25">
        <v>3.0248699999999999</v>
      </c>
      <c r="DJ25">
        <v>2.6914199999999999</v>
      </c>
      <c r="DK25">
        <v>0.108934</v>
      </c>
      <c r="DL25">
        <v>0.12603800000000001</v>
      </c>
      <c r="DM25">
        <v>0.13565199999999999</v>
      </c>
      <c r="DN25">
        <v>0.10437200000000001</v>
      </c>
      <c r="DO25">
        <v>24832.5</v>
      </c>
      <c r="DP25">
        <v>15798.3</v>
      </c>
      <c r="DQ25">
        <v>26440.6</v>
      </c>
      <c r="DR25">
        <v>16415.5</v>
      </c>
      <c r="DS25">
        <v>32488.7</v>
      </c>
      <c r="DT25">
        <v>19181.599999999999</v>
      </c>
      <c r="DU25">
        <v>38521.599999999999</v>
      </c>
      <c r="DV25">
        <v>21729.3</v>
      </c>
      <c r="DW25">
        <v>1.79426</v>
      </c>
      <c r="DX25">
        <v>2.1960600000000001</v>
      </c>
      <c r="DY25">
        <v>7.3397199999999996E-2</v>
      </c>
      <c r="DZ25">
        <v>0</v>
      </c>
      <c r="EA25">
        <v>24.686599999999999</v>
      </c>
      <c r="EB25">
        <v>999.9</v>
      </c>
      <c r="EC25">
        <v>56.4</v>
      </c>
      <c r="ED25">
        <v>32</v>
      </c>
      <c r="EE25">
        <v>26.605799999999999</v>
      </c>
      <c r="EF25">
        <v>62.5764</v>
      </c>
      <c r="EG25">
        <v>34.683500000000002</v>
      </c>
      <c r="EH25">
        <v>1</v>
      </c>
      <c r="EI25">
        <v>1.64248E-2</v>
      </c>
      <c r="EJ25">
        <v>-0.18856200000000001</v>
      </c>
      <c r="EK25">
        <v>20.328299999999999</v>
      </c>
      <c r="EL25">
        <v>5.2483199999999997</v>
      </c>
      <c r="EM25">
        <v>11.962</v>
      </c>
      <c r="EN25">
        <v>4.9897600000000004</v>
      </c>
      <c r="EO25">
        <v>3.29128</v>
      </c>
      <c r="EP25">
        <v>9999</v>
      </c>
      <c r="EQ25">
        <v>9999</v>
      </c>
      <c r="ER25">
        <v>9999</v>
      </c>
      <c r="ES25">
        <v>999.9</v>
      </c>
      <c r="ET25">
        <v>4.9727300000000003</v>
      </c>
      <c r="EU25">
        <v>1.8719399999999999</v>
      </c>
      <c r="EV25">
        <v>1.8721099999999999</v>
      </c>
      <c r="EW25">
        <v>1.87723</v>
      </c>
      <c r="EX25">
        <v>1.87134</v>
      </c>
      <c r="EY25">
        <v>1.8721000000000001</v>
      </c>
      <c r="EZ25">
        <v>1.8717999999999999</v>
      </c>
      <c r="FA25">
        <v>1.8687400000000001</v>
      </c>
      <c r="FB25">
        <v>0</v>
      </c>
      <c r="FC25">
        <v>0</v>
      </c>
      <c r="FD25">
        <v>0</v>
      </c>
      <c r="FE25">
        <v>0</v>
      </c>
      <c r="FF25" t="s">
        <v>342</v>
      </c>
      <c r="FG25" t="s">
        <v>343</v>
      </c>
      <c r="FH25" t="s">
        <v>344</v>
      </c>
      <c r="FI25" t="s">
        <v>344</v>
      </c>
      <c r="FJ25" t="s">
        <v>344</v>
      </c>
      <c r="FK25" t="s">
        <v>344</v>
      </c>
      <c r="FL25">
        <v>0</v>
      </c>
      <c r="FM25">
        <v>100</v>
      </c>
      <c r="FN25">
        <v>100</v>
      </c>
      <c r="FO25">
        <v>3.379</v>
      </c>
      <c r="FP25">
        <v>0.25700000000000001</v>
      </c>
      <c r="FQ25">
        <v>-0.62182825409685183</v>
      </c>
      <c r="FR25">
        <v>7.0338458001993282E-3</v>
      </c>
      <c r="FS25">
        <v>2.3387658340725169E-6</v>
      </c>
      <c r="FT25">
        <v>-2.2874075696057401E-10</v>
      </c>
      <c r="FU25">
        <v>0.25698499999999308</v>
      </c>
      <c r="FV25">
        <v>0</v>
      </c>
      <c r="FW25">
        <v>0</v>
      </c>
      <c r="FX25">
        <v>0</v>
      </c>
      <c r="FY25">
        <v>3</v>
      </c>
      <c r="FZ25">
        <v>2105</v>
      </c>
      <c r="GA25">
        <v>-1</v>
      </c>
      <c r="GB25">
        <v>-1</v>
      </c>
      <c r="GC25">
        <v>28</v>
      </c>
      <c r="GD25">
        <v>27.8</v>
      </c>
      <c r="GE25">
        <v>1.3903799999999999</v>
      </c>
      <c r="GF25">
        <v>2.65259</v>
      </c>
      <c r="GG25">
        <v>1.79932</v>
      </c>
      <c r="GH25">
        <v>2.3779300000000001</v>
      </c>
      <c r="GI25">
        <v>1.5979000000000001</v>
      </c>
      <c r="GJ25">
        <v>2.4450699999999999</v>
      </c>
      <c r="GK25">
        <v>35.244</v>
      </c>
      <c r="GL25">
        <v>24.148800000000001</v>
      </c>
      <c r="GM25">
        <v>18</v>
      </c>
      <c r="GN25">
        <v>360.46100000000001</v>
      </c>
      <c r="GO25">
        <v>672.83100000000002</v>
      </c>
      <c r="GP25">
        <v>25.83</v>
      </c>
      <c r="GQ25">
        <v>27.2666</v>
      </c>
      <c r="GR25">
        <v>30.0002</v>
      </c>
      <c r="GS25">
        <v>27.200299999999999</v>
      </c>
      <c r="GT25">
        <v>27.236000000000001</v>
      </c>
      <c r="GU25">
        <v>27.781500000000001</v>
      </c>
      <c r="GV25">
        <v>31.875299999999999</v>
      </c>
      <c r="GW25">
        <v>0</v>
      </c>
      <c r="GX25">
        <v>25.83</v>
      </c>
      <c r="GY25">
        <v>600</v>
      </c>
      <c r="GZ25">
        <v>19.5</v>
      </c>
      <c r="HA25">
        <v>100.47799999999999</v>
      </c>
      <c r="HB25">
        <v>67.857399999999998</v>
      </c>
    </row>
    <row r="26" spans="1:210" x14ac:dyDescent="0.3">
      <c r="A26">
        <v>10</v>
      </c>
      <c r="B26">
        <v>1755618336.0999999</v>
      </c>
      <c r="C26">
        <v>1624.599999904633</v>
      </c>
      <c r="D26" t="s">
        <v>362</v>
      </c>
      <c r="E26" t="s">
        <v>363</v>
      </c>
      <c r="F26">
        <v>15</v>
      </c>
      <c r="G26">
        <v>1755618328.349999</v>
      </c>
      <c r="H26">
        <f t="shared" si="0"/>
        <v>4.2412264370618388E-3</v>
      </c>
      <c r="I26">
        <f t="shared" si="1"/>
        <v>4.2412264370618384</v>
      </c>
      <c r="J26">
        <f t="shared" si="2"/>
        <v>50.49370813329358</v>
      </c>
      <c r="K26">
        <f t="shared" si="3"/>
        <v>778.97410000000002</v>
      </c>
      <c r="L26">
        <f t="shared" si="4"/>
        <v>690.75547171747189</v>
      </c>
      <c r="M26">
        <f t="shared" si="5"/>
        <v>69.991857274902344</v>
      </c>
      <c r="N26">
        <f t="shared" si="6"/>
        <v>78.930745047135375</v>
      </c>
      <c r="O26">
        <f t="shared" si="7"/>
        <v>1.1766435914839315</v>
      </c>
      <c r="P26">
        <f t="shared" si="8"/>
        <v>2.4151420125895409</v>
      </c>
      <c r="Q26">
        <f t="shared" si="9"/>
        <v>0.94481523386565358</v>
      </c>
      <c r="R26">
        <f t="shared" si="10"/>
        <v>0.60769972436038344</v>
      </c>
      <c r="S26">
        <f t="shared" si="11"/>
        <v>220.22412333333327</v>
      </c>
      <c r="T26">
        <f t="shared" si="12"/>
        <v>27.034233142242488</v>
      </c>
      <c r="U26">
        <f t="shared" si="13"/>
        <v>25.885196666666669</v>
      </c>
      <c r="V26">
        <f t="shared" si="14"/>
        <v>3.3514040069915874</v>
      </c>
      <c r="W26">
        <f t="shared" si="15"/>
        <v>82.281520619898671</v>
      </c>
      <c r="X26">
        <f t="shared" si="16"/>
        <v>2.9106093962735513</v>
      </c>
      <c r="Y26">
        <f t="shared" si="17"/>
        <v>3.5373792005123197</v>
      </c>
      <c r="Z26">
        <f t="shared" si="18"/>
        <v>0.44079461071803605</v>
      </c>
      <c r="AA26">
        <f t="shared" si="19"/>
        <v>-187.03808587442708</v>
      </c>
      <c r="AB26">
        <f t="shared" si="20"/>
        <v>119.1416057612812</v>
      </c>
      <c r="AC26">
        <f t="shared" si="21"/>
        <v>10.576429143083498</v>
      </c>
      <c r="AD26">
        <f t="shared" si="22"/>
        <v>162.90407236327087</v>
      </c>
      <c r="AE26">
        <f t="shared" si="23"/>
        <v>50.49370813329358</v>
      </c>
      <c r="AF26">
        <f t="shared" si="24"/>
        <v>4.2412264370618384</v>
      </c>
      <c r="AG26">
        <f t="shared" si="25"/>
        <v>50.56606512596457</v>
      </c>
      <c r="AH26">
        <v>917.91533482746286</v>
      </c>
      <c r="AI26">
        <v>801.9938121212125</v>
      </c>
      <c r="AJ26">
        <v>-1.1483397143957271E-2</v>
      </c>
      <c r="AK26">
        <v>84.014661243559686</v>
      </c>
      <c r="AL26">
        <f t="shared" si="26"/>
        <v>4.241521499605728</v>
      </c>
      <c r="AM26">
        <v>19.456787113266511</v>
      </c>
      <c r="AN26">
        <v>28.725131428571409</v>
      </c>
      <c r="AO26">
        <v>-7.6602221134464378E-7</v>
      </c>
      <c r="AP26">
        <v>90.527890321289746</v>
      </c>
      <c r="AQ26">
        <v>0</v>
      </c>
      <c r="AR26">
        <v>0</v>
      </c>
      <c r="AS26">
        <f t="shared" si="27"/>
        <v>1</v>
      </c>
      <c r="AT26">
        <f t="shared" si="28"/>
        <v>0</v>
      </c>
      <c r="AU26">
        <f t="shared" si="29"/>
        <v>53567.473605537627</v>
      </c>
      <c r="AV26">
        <f t="shared" si="30"/>
        <v>1159.074333333333</v>
      </c>
      <c r="AW26">
        <f t="shared" si="31"/>
        <v>927.25946666666641</v>
      </c>
      <c r="AX26">
        <f t="shared" si="32"/>
        <v>0.8</v>
      </c>
      <c r="AY26">
        <f t="shared" si="33"/>
        <v>0.19</v>
      </c>
      <c r="AZ26">
        <v>9</v>
      </c>
      <c r="BA26">
        <v>1.21</v>
      </c>
      <c r="BB26" t="s">
        <v>339</v>
      </c>
      <c r="BC26">
        <v>2</v>
      </c>
      <c r="BD26" t="b">
        <v>0</v>
      </c>
      <c r="BE26">
        <v>1755618328.349999</v>
      </c>
      <c r="BF26">
        <v>778.97410000000002</v>
      </c>
      <c r="BG26">
        <v>900.00610000000006</v>
      </c>
      <c r="BH26">
        <v>28.725046666666671</v>
      </c>
      <c r="BI26">
        <v>19.45735333333333</v>
      </c>
      <c r="BJ26">
        <v>772.86820000000012</v>
      </c>
      <c r="BK26">
        <v>28.468056666666669</v>
      </c>
      <c r="BL26">
        <v>400.041</v>
      </c>
      <c r="BM26">
        <v>101.22653333333329</v>
      </c>
      <c r="BN26">
        <v>9.9999920000000034E-2</v>
      </c>
      <c r="BO26">
        <v>26.800226666666671</v>
      </c>
      <c r="BP26">
        <v>25.885196666666669</v>
      </c>
      <c r="BQ26">
        <v>999.9000000000002</v>
      </c>
      <c r="BR26">
        <v>0</v>
      </c>
      <c r="BS26">
        <v>0</v>
      </c>
      <c r="BT26">
        <v>10001.183333333331</v>
      </c>
      <c r="BU26">
        <v>1159.074333333333</v>
      </c>
      <c r="BV26">
        <v>13.968400000000001</v>
      </c>
      <c r="BW26">
        <v>-121.03189999999999</v>
      </c>
      <c r="BX26">
        <v>802.01206666666667</v>
      </c>
      <c r="BY26">
        <v>917.86526666666657</v>
      </c>
      <c r="BZ26">
        <v>9.2676970000000001</v>
      </c>
      <c r="CA26">
        <v>900.00610000000006</v>
      </c>
      <c r="CB26">
        <v>19.45735333333333</v>
      </c>
      <c r="CC26">
        <v>2.9077383333333331</v>
      </c>
      <c r="CD26">
        <v>1.969600333333333</v>
      </c>
      <c r="CE26">
        <v>23.50881</v>
      </c>
      <c r="CF26">
        <v>17.20205</v>
      </c>
      <c r="CG26">
        <v>1755616485</v>
      </c>
      <c r="CH26" t="s">
        <v>340</v>
      </c>
      <c r="CI26">
        <v>1755616477.5</v>
      </c>
      <c r="CJ26">
        <v>1755616485</v>
      </c>
      <c r="CK26">
        <v>6</v>
      </c>
      <c r="CL26">
        <v>-0.23100000000000001</v>
      </c>
      <c r="CM26">
        <v>0.03</v>
      </c>
      <c r="CN26">
        <v>2.97</v>
      </c>
      <c r="CO26">
        <v>0.25700000000000001</v>
      </c>
      <c r="CP26">
        <v>450</v>
      </c>
      <c r="CQ26">
        <v>20</v>
      </c>
      <c r="CR26">
        <v>0.02</v>
      </c>
      <c r="CS26">
        <v>0.01</v>
      </c>
      <c r="CT26">
        <v>-121.0089024390244</v>
      </c>
      <c r="CU26">
        <v>-0.27384668989577049</v>
      </c>
      <c r="CV26">
        <v>6.6722506853987076E-2</v>
      </c>
      <c r="CW26">
        <v>1</v>
      </c>
      <c r="CX26">
        <v>0</v>
      </c>
      <c r="CY26">
        <v>0</v>
      </c>
      <c r="CZ26">
        <v>0</v>
      </c>
      <c r="DA26">
        <v>-1</v>
      </c>
      <c r="DB26">
        <v>9.2694987804878046</v>
      </c>
      <c r="DC26">
        <v>-2.5625644599309071E-2</v>
      </c>
      <c r="DD26">
        <v>3.079363408335404E-3</v>
      </c>
      <c r="DE26">
        <v>1</v>
      </c>
      <c r="DF26">
        <v>2</v>
      </c>
      <c r="DG26">
        <v>2</v>
      </c>
      <c r="DH26" t="s">
        <v>341</v>
      </c>
      <c r="DI26">
        <v>3.02475</v>
      </c>
      <c r="DJ26">
        <v>2.6914199999999999</v>
      </c>
      <c r="DK26">
        <v>0.14896000000000001</v>
      </c>
      <c r="DL26">
        <v>0.16540199999999999</v>
      </c>
      <c r="DM26">
        <v>0.13550100000000001</v>
      </c>
      <c r="DN26">
        <v>0.104271</v>
      </c>
      <c r="DO26">
        <v>23716.799999999999</v>
      </c>
      <c r="DP26">
        <v>15087.6</v>
      </c>
      <c r="DQ26">
        <v>26440.3</v>
      </c>
      <c r="DR26">
        <v>16416.400000000001</v>
      </c>
      <c r="DS26">
        <v>32494.6</v>
      </c>
      <c r="DT26">
        <v>19185.8</v>
      </c>
      <c r="DU26">
        <v>38520.5</v>
      </c>
      <c r="DV26">
        <v>21730.9</v>
      </c>
      <c r="DW26">
        <v>1.79406</v>
      </c>
      <c r="DX26">
        <v>2.1969599999999998</v>
      </c>
      <c r="DY26">
        <v>7.3516399999999996E-2</v>
      </c>
      <c r="DZ26">
        <v>0</v>
      </c>
      <c r="EA26">
        <v>24.680900000000001</v>
      </c>
      <c r="EB26">
        <v>999.9</v>
      </c>
      <c r="EC26">
        <v>56.3</v>
      </c>
      <c r="ED26">
        <v>32</v>
      </c>
      <c r="EE26">
        <v>26.557300000000001</v>
      </c>
      <c r="EF26">
        <v>62.596400000000003</v>
      </c>
      <c r="EG26">
        <v>34.366999999999997</v>
      </c>
      <c r="EH26">
        <v>1</v>
      </c>
      <c r="EI26">
        <v>1.7258099999999998E-2</v>
      </c>
      <c r="EJ26">
        <v>-0.19567999999999999</v>
      </c>
      <c r="EK26">
        <v>20.328199999999999</v>
      </c>
      <c r="EL26">
        <v>5.25143</v>
      </c>
      <c r="EM26">
        <v>11.962</v>
      </c>
      <c r="EN26">
        <v>4.9897200000000002</v>
      </c>
      <c r="EO26">
        <v>3.2912400000000002</v>
      </c>
      <c r="EP26">
        <v>9999</v>
      </c>
      <c r="EQ26">
        <v>9999</v>
      </c>
      <c r="ER26">
        <v>9999</v>
      </c>
      <c r="ES26">
        <v>999.9</v>
      </c>
      <c r="ET26">
        <v>4.9727100000000002</v>
      </c>
      <c r="EU26">
        <v>1.87195</v>
      </c>
      <c r="EV26">
        <v>1.87212</v>
      </c>
      <c r="EW26">
        <v>1.87723</v>
      </c>
      <c r="EX26">
        <v>1.87134</v>
      </c>
      <c r="EY26">
        <v>1.8721000000000001</v>
      </c>
      <c r="EZ26">
        <v>1.8717999999999999</v>
      </c>
      <c r="FA26">
        <v>1.8687400000000001</v>
      </c>
      <c r="FB26">
        <v>0</v>
      </c>
      <c r="FC26">
        <v>0</v>
      </c>
      <c r="FD26">
        <v>0</v>
      </c>
      <c r="FE26">
        <v>0</v>
      </c>
      <c r="FF26" t="s">
        <v>342</v>
      </c>
      <c r="FG26" t="s">
        <v>343</v>
      </c>
      <c r="FH26" t="s">
        <v>344</v>
      </c>
      <c r="FI26" t="s">
        <v>344</v>
      </c>
      <c r="FJ26" t="s">
        <v>344</v>
      </c>
      <c r="FK26" t="s">
        <v>344</v>
      </c>
      <c r="FL26">
        <v>0</v>
      </c>
      <c r="FM26">
        <v>100</v>
      </c>
      <c r="FN26">
        <v>100</v>
      </c>
      <c r="FO26">
        <v>6.1050000000000004</v>
      </c>
      <c r="FP26">
        <v>0.25700000000000001</v>
      </c>
      <c r="FQ26">
        <v>-0.62182825409685183</v>
      </c>
      <c r="FR26">
        <v>7.0338458001993282E-3</v>
      </c>
      <c r="FS26">
        <v>2.3387658340725169E-6</v>
      </c>
      <c r="FT26">
        <v>-2.2874075696057401E-10</v>
      </c>
      <c r="FU26">
        <v>0.25698499999999308</v>
      </c>
      <c r="FV26">
        <v>0</v>
      </c>
      <c r="FW26">
        <v>0</v>
      </c>
      <c r="FX26">
        <v>0</v>
      </c>
      <c r="FY26">
        <v>3</v>
      </c>
      <c r="FZ26">
        <v>2105</v>
      </c>
      <c r="GA26">
        <v>-1</v>
      </c>
      <c r="GB26">
        <v>-1</v>
      </c>
      <c r="GC26">
        <v>31</v>
      </c>
      <c r="GD26">
        <v>30.9</v>
      </c>
      <c r="GE26">
        <v>1.9323699999999999</v>
      </c>
      <c r="GF26">
        <v>2.6220699999999999</v>
      </c>
      <c r="GG26">
        <v>1.7981</v>
      </c>
      <c r="GH26">
        <v>2.3791500000000001</v>
      </c>
      <c r="GI26">
        <v>1.5979000000000001</v>
      </c>
      <c r="GJ26">
        <v>2.5842299999999998</v>
      </c>
      <c r="GK26">
        <v>35.244</v>
      </c>
      <c r="GL26">
        <v>24.157499999999999</v>
      </c>
      <c r="GM26">
        <v>18</v>
      </c>
      <c r="GN26">
        <v>360.404</v>
      </c>
      <c r="GO26">
        <v>673.69600000000003</v>
      </c>
      <c r="GP26">
        <v>25.83</v>
      </c>
      <c r="GQ26">
        <v>27.273599999999998</v>
      </c>
      <c r="GR26">
        <v>30.0001</v>
      </c>
      <c r="GS26">
        <v>27.207100000000001</v>
      </c>
      <c r="GT26">
        <v>27.2424</v>
      </c>
      <c r="GU26">
        <v>38.630899999999997</v>
      </c>
      <c r="GV26">
        <v>31.875299999999999</v>
      </c>
      <c r="GW26">
        <v>0</v>
      </c>
      <c r="GX26">
        <v>25.83</v>
      </c>
      <c r="GY26">
        <v>900</v>
      </c>
      <c r="GZ26">
        <v>19.5</v>
      </c>
      <c r="HA26">
        <v>100.476</v>
      </c>
      <c r="HB26">
        <v>67.861800000000002</v>
      </c>
    </row>
    <row r="27" spans="1:210" x14ac:dyDescent="0.3">
      <c r="A27">
        <v>11</v>
      </c>
      <c r="B27">
        <v>1755618516.5999999</v>
      </c>
      <c r="C27">
        <v>1805.099999904633</v>
      </c>
      <c r="D27" t="s">
        <v>364</v>
      </c>
      <c r="E27" t="s">
        <v>365</v>
      </c>
      <c r="F27">
        <v>15</v>
      </c>
      <c r="G27">
        <v>1755618508.849999</v>
      </c>
      <c r="H27">
        <f t="shared" si="0"/>
        <v>4.2019569384185709E-3</v>
      </c>
      <c r="I27">
        <f t="shared" si="1"/>
        <v>4.2019569384185713</v>
      </c>
      <c r="J27">
        <f t="shared" si="2"/>
        <v>51.389262148825253</v>
      </c>
      <c r="K27">
        <f t="shared" si="3"/>
        <v>1074.210333333333</v>
      </c>
      <c r="L27">
        <f t="shared" si="4"/>
        <v>979.1665923400127</v>
      </c>
      <c r="M27">
        <f t="shared" si="5"/>
        <v>99.214215607659</v>
      </c>
      <c r="N27">
        <f t="shared" si="6"/>
        <v>108.84453825636652</v>
      </c>
      <c r="O27">
        <f t="shared" si="7"/>
        <v>1.1263565257194175</v>
      </c>
      <c r="P27">
        <f t="shared" si="8"/>
        <v>2.4153680478033341</v>
      </c>
      <c r="Q27">
        <f t="shared" si="9"/>
        <v>0.91212208906814896</v>
      </c>
      <c r="R27">
        <f t="shared" si="10"/>
        <v>0.58608133767326276</v>
      </c>
      <c r="S27">
        <f t="shared" si="11"/>
        <v>220.24230000000003</v>
      </c>
      <c r="T27">
        <f t="shared" si="12"/>
        <v>27.053743454989849</v>
      </c>
      <c r="U27">
        <f t="shared" si="13"/>
        <v>25.899419999999999</v>
      </c>
      <c r="V27">
        <f t="shared" si="14"/>
        <v>3.3542281538327687</v>
      </c>
      <c r="W27">
        <f t="shared" si="15"/>
        <v>81.999320100890884</v>
      </c>
      <c r="X27">
        <f t="shared" si="16"/>
        <v>2.9018544131737976</v>
      </c>
      <c r="Y27">
        <f t="shared" si="17"/>
        <v>3.5388761877578911</v>
      </c>
      <c r="Z27">
        <f t="shared" si="18"/>
        <v>0.45237374065897118</v>
      </c>
      <c r="AA27">
        <f t="shared" si="19"/>
        <v>-185.30630098425897</v>
      </c>
      <c r="AB27">
        <f t="shared" si="20"/>
        <v>118.23732855140156</v>
      </c>
      <c r="AC27">
        <f t="shared" si="21"/>
        <v>10.4962984554335</v>
      </c>
      <c r="AD27">
        <f t="shared" si="22"/>
        <v>163.66962602257613</v>
      </c>
      <c r="AE27">
        <f t="shared" si="23"/>
        <v>51.389262148825253</v>
      </c>
      <c r="AF27">
        <f t="shared" si="24"/>
        <v>4.2019569384185713</v>
      </c>
      <c r="AG27">
        <f t="shared" si="25"/>
        <v>51.458169849848986</v>
      </c>
      <c r="AH27">
        <v>1223.779784002056</v>
      </c>
      <c r="AI27">
        <v>1105.8069090909089</v>
      </c>
      <c r="AJ27">
        <v>-1.301649625364709E-2</v>
      </c>
      <c r="AK27">
        <v>84.014661243559686</v>
      </c>
      <c r="AL27">
        <f t="shared" si="26"/>
        <v>4.1967924733394337</v>
      </c>
      <c r="AM27">
        <v>19.455918804278479</v>
      </c>
      <c r="AN27">
        <v>28.628820902255629</v>
      </c>
      <c r="AO27">
        <v>-7.4401554112024875E-7</v>
      </c>
      <c r="AP27">
        <v>90.527890321289746</v>
      </c>
      <c r="AQ27">
        <v>0</v>
      </c>
      <c r="AR27">
        <v>0</v>
      </c>
      <c r="AS27">
        <f t="shared" si="27"/>
        <v>1</v>
      </c>
      <c r="AT27">
        <f t="shared" si="28"/>
        <v>0</v>
      </c>
      <c r="AU27">
        <f t="shared" si="29"/>
        <v>53573.719201234235</v>
      </c>
      <c r="AV27">
        <f t="shared" si="30"/>
        <v>1159.17</v>
      </c>
      <c r="AW27">
        <f t="shared" si="31"/>
        <v>927.33600000000013</v>
      </c>
      <c r="AX27">
        <f t="shared" si="32"/>
        <v>0.8</v>
      </c>
      <c r="AY27">
        <f t="shared" si="33"/>
        <v>0.19</v>
      </c>
      <c r="AZ27">
        <v>9</v>
      </c>
      <c r="BA27">
        <v>1.21</v>
      </c>
      <c r="BB27" t="s">
        <v>339</v>
      </c>
      <c r="BC27">
        <v>2</v>
      </c>
      <c r="BD27" t="b">
        <v>0</v>
      </c>
      <c r="BE27">
        <v>1755618508.849999</v>
      </c>
      <c r="BF27">
        <v>1074.210333333333</v>
      </c>
      <c r="BG27">
        <v>1199.998333333333</v>
      </c>
      <c r="BH27">
        <v>28.639030000000002</v>
      </c>
      <c r="BI27">
        <v>19.45494333333334</v>
      </c>
      <c r="BJ27">
        <v>1064.9659999999999</v>
      </c>
      <c r="BK27">
        <v>28.38204666666666</v>
      </c>
      <c r="BL27">
        <v>399.98046666666681</v>
      </c>
      <c r="BM27">
        <v>101.22523333333331</v>
      </c>
      <c r="BN27">
        <v>9.9930723333333332E-2</v>
      </c>
      <c r="BO27">
        <v>26.80742</v>
      </c>
      <c r="BP27">
        <v>25.899419999999999</v>
      </c>
      <c r="BQ27">
        <v>999.9000000000002</v>
      </c>
      <c r="BR27">
        <v>0</v>
      </c>
      <c r="BS27">
        <v>0</v>
      </c>
      <c r="BT27">
        <v>10002.783333333329</v>
      </c>
      <c r="BU27">
        <v>1159.17</v>
      </c>
      <c r="BV27">
        <v>13.9114</v>
      </c>
      <c r="BW27">
        <v>-125.78693333333329</v>
      </c>
      <c r="BX27">
        <v>1105.881333333333</v>
      </c>
      <c r="BY27">
        <v>1223.807666666667</v>
      </c>
      <c r="BZ27">
        <v>9.1840899999999994</v>
      </c>
      <c r="CA27">
        <v>1199.998333333333</v>
      </c>
      <c r="CB27">
        <v>19.45494333333334</v>
      </c>
      <c r="CC27">
        <v>2.898993333333332</v>
      </c>
      <c r="CD27">
        <v>1.9693309999999999</v>
      </c>
      <c r="CE27">
        <v>23.458860000000001</v>
      </c>
      <c r="CF27">
        <v>17.199886666666671</v>
      </c>
      <c r="CG27">
        <v>1755616485</v>
      </c>
      <c r="CH27" t="s">
        <v>340</v>
      </c>
      <c r="CI27">
        <v>1755616477.5</v>
      </c>
      <c r="CJ27">
        <v>1755616485</v>
      </c>
      <c r="CK27">
        <v>6</v>
      </c>
      <c r="CL27">
        <v>-0.23100000000000001</v>
      </c>
      <c r="CM27">
        <v>0.03</v>
      </c>
      <c r="CN27">
        <v>2.97</v>
      </c>
      <c r="CO27">
        <v>0.25700000000000001</v>
      </c>
      <c r="CP27">
        <v>450</v>
      </c>
      <c r="CQ27">
        <v>20</v>
      </c>
      <c r="CR27">
        <v>0.02</v>
      </c>
      <c r="CS27">
        <v>0.01</v>
      </c>
      <c r="CT27">
        <v>-125.75855</v>
      </c>
      <c r="CU27">
        <v>-0.7042851782361701</v>
      </c>
      <c r="CV27">
        <v>8.5591749018231633E-2</v>
      </c>
      <c r="CW27">
        <v>0</v>
      </c>
      <c r="CX27">
        <v>0</v>
      </c>
      <c r="CY27">
        <v>0</v>
      </c>
      <c r="CZ27">
        <v>0</v>
      </c>
      <c r="DA27">
        <v>-1</v>
      </c>
      <c r="DB27">
        <v>9.187265</v>
      </c>
      <c r="DC27">
        <v>-5.5707692307690078E-2</v>
      </c>
      <c r="DD27">
        <v>5.5937858378739304E-3</v>
      </c>
      <c r="DE27">
        <v>1</v>
      </c>
      <c r="DF27">
        <v>1</v>
      </c>
      <c r="DG27">
        <v>2</v>
      </c>
      <c r="DH27" t="s">
        <v>355</v>
      </c>
      <c r="DI27">
        <v>3.0247099999999998</v>
      </c>
      <c r="DJ27">
        <v>2.6914400000000001</v>
      </c>
      <c r="DK27">
        <v>0.183167</v>
      </c>
      <c r="DL27">
        <v>0.198326</v>
      </c>
      <c r="DM27">
        <v>0.13519400000000001</v>
      </c>
      <c r="DN27">
        <v>0.104271</v>
      </c>
      <c r="DO27">
        <v>22763</v>
      </c>
      <c r="DP27">
        <v>14492.8</v>
      </c>
      <c r="DQ27">
        <v>26439.5</v>
      </c>
      <c r="DR27">
        <v>16416.8</v>
      </c>
      <c r="DS27">
        <v>32506.7</v>
      </c>
      <c r="DT27">
        <v>19186.900000000001</v>
      </c>
      <c r="DU27">
        <v>38519.699999999997</v>
      </c>
      <c r="DV27">
        <v>21731.599999999999</v>
      </c>
      <c r="DW27">
        <v>1.7941800000000001</v>
      </c>
      <c r="DX27">
        <v>2.19794</v>
      </c>
      <c r="DY27">
        <v>7.3766700000000004E-2</v>
      </c>
      <c r="DZ27">
        <v>0</v>
      </c>
      <c r="EA27">
        <v>24.682500000000001</v>
      </c>
      <c r="EB27">
        <v>999.9</v>
      </c>
      <c r="EC27">
        <v>56.3</v>
      </c>
      <c r="ED27">
        <v>32</v>
      </c>
      <c r="EE27">
        <v>26.560500000000001</v>
      </c>
      <c r="EF27">
        <v>62.5364</v>
      </c>
      <c r="EG27">
        <v>34.447099999999999</v>
      </c>
      <c r="EH27">
        <v>1</v>
      </c>
      <c r="EI27">
        <v>1.7561E-2</v>
      </c>
      <c r="EJ27">
        <v>-0.19222900000000001</v>
      </c>
      <c r="EK27">
        <v>20.3278</v>
      </c>
      <c r="EL27">
        <v>5.2486800000000002</v>
      </c>
      <c r="EM27">
        <v>11.962</v>
      </c>
      <c r="EN27">
        <v>4.9890800000000004</v>
      </c>
      <c r="EO27">
        <v>3.2909199999999998</v>
      </c>
      <c r="EP27">
        <v>9999</v>
      </c>
      <c r="EQ27">
        <v>9999</v>
      </c>
      <c r="ER27">
        <v>9999</v>
      </c>
      <c r="ES27">
        <v>999.9</v>
      </c>
      <c r="ET27">
        <v>4.9727100000000002</v>
      </c>
      <c r="EU27">
        <v>1.8719399999999999</v>
      </c>
      <c r="EV27">
        <v>1.87215</v>
      </c>
      <c r="EW27">
        <v>1.87724</v>
      </c>
      <c r="EX27">
        <v>1.87134</v>
      </c>
      <c r="EY27">
        <v>1.8721000000000001</v>
      </c>
      <c r="EZ27">
        <v>1.8717999999999999</v>
      </c>
      <c r="FA27">
        <v>1.8687499999999999</v>
      </c>
      <c r="FB27">
        <v>0</v>
      </c>
      <c r="FC27">
        <v>0</v>
      </c>
      <c r="FD27">
        <v>0</v>
      </c>
      <c r="FE27">
        <v>0</v>
      </c>
      <c r="FF27" t="s">
        <v>342</v>
      </c>
      <c r="FG27" t="s">
        <v>343</v>
      </c>
      <c r="FH27" t="s">
        <v>344</v>
      </c>
      <c r="FI27" t="s">
        <v>344</v>
      </c>
      <c r="FJ27" t="s">
        <v>344</v>
      </c>
      <c r="FK27" t="s">
        <v>344</v>
      </c>
      <c r="FL27">
        <v>0</v>
      </c>
      <c r="FM27">
        <v>100</v>
      </c>
      <c r="FN27">
        <v>100</v>
      </c>
      <c r="FO27">
        <v>9.24</v>
      </c>
      <c r="FP27">
        <v>0.25700000000000001</v>
      </c>
      <c r="FQ27">
        <v>-0.62182825409685183</v>
      </c>
      <c r="FR27">
        <v>7.0338458001993282E-3</v>
      </c>
      <c r="FS27">
        <v>2.3387658340725169E-6</v>
      </c>
      <c r="FT27">
        <v>-2.2874075696057401E-10</v>
      </c>
      <c r="FU27">
        <v>0.25698499999999308</v>
      </c>
      <c r="FV27">
        <v>0</v>
      </c>
      <c r="FW27">
        <v>0</v>
      </c>
      <c r="FX27">
        <v>0</v>
      </c>
      <c r="FY27">
        <v>3</v>
      </c>
      <c r="FZ27">
        <v>2105</v>
      </c>
      <c r="GA27">
        <v>-1</v>
      </c>
      <c r="GB27">
        <v>-1</v>
      </c>
      <c r="GC27">
        <v>34</v>
      </c>
      <c r="GD27">
        <v>33.9</v>
      </c>
      <c r="GE27">
        <v>2.4450699999999999</v>
      </c>
      <c r="GF27">
        <v>2.6074199999999998</v>
      </c>
      <c r="GG27">
        <v>1.7981</v>
      </c>
      <c r="GH27">
        <v>2.3791500000000001</v>
      </c>
      <c r="GI27">
        <v>1.5979000000000001</v>
      </c>
      <c r="GJ27">
        <v>2.5585900000000001</v>
      </c>
      <c r="GK27">
        <v>35.267099999999999</v>
      </c>
      <c r="GL27">
        <v>24.157499999999999</v>
      </c>
      <c r="GM27">
        <v>18</v>
      </c>
      <c r="GN27">
        <v>360.51</v>
      </c>
      <c r="GO27">
        <v>674.63699999999994</v>
      </c>
      <c r="GP27">
        <v>25.829899999999999</v>
      </c>
      <c r="GQ27">
        <v>27.2805</v>
      </c>
      <c r="GR27">
        <v>30.0002</v>
      </c>
      <c r="GS27">
        <v>27.213899999999999</v>
      </c>
      <c r="GT27">
        <v>27.249300000000002</v>
      </c>
      <c r="GU27">
        <v>48.892200000000003</v>
      </c>
      <c r="GV27">
        <v>31.875299999999999</v>
      </c>
      <c r="GW27">
        <v>0</v>
      </c>
      <c r="GX27">
        <v>25.83</v>
      </c>
      <c r="GY27">
        <v>1200</v>
      </c>
      <c r="GZ27">
        <v>19.5</v>
      </c>
      <c r="HA27">
        <v>100.473</v>
      </c>
      <c r="HB27">
        <v>67.863799999999998</v>
      </c>
    </row>
    <row r="28" spans="1:210" x14ac:dyDescent="0.3">
      <c r="A28">
        <v>12</v>
      </c>
      <c r="B28">
        <v>1755618697.5</v>
      </c>
      <c r="C28">
        <v>1986</v>
      </c>
      <c r="D28" t="s">
        <v>366</v>
      </c>
      <c r="E28" t="s">
        <v>367</v>
      </c>
      <c r="F28">
        <v>15</v>
      </c>
      <c r="G28">
        <v>1755618689.5</v>
      </c>
      <c r="H28">
        <f t="shared" si="0"/>
        <v>4.1247603263836006E-3</v>
      </c>
      <c r="I28">
        <f t="shared" si="1"/>
        <v>4.1247603263836004</v>
      </c>
      <c r="J28">
        <f t="shared" si="2"/>
        <v>50.723788011182421</v>
      </c>
      <c r="K28">
        <f t="shared" si="3"/>
        <v>1472.248387096774</v>
      </c>
      <c r="L28">
        <f t="shared" si="4"/>
        <v>1369.9533057201991</v>
      </c>
      <c r="M28">
        <f t="shared" si="5"/>
        <v>138.81237084803411</v>
      </c>
      <c r="N28">
        <f t="shared" si="6"/>
        <v>149.17755826915567</v>
      </c>
      <c r="O28">
        <f t="shared" si="7"/>
        <v>1.0512543229477931</v>
      </c>
      <c r="P28">
        <f t="shared" si="8"/>
        <v>2.4150001370606171</v>
      </c>
      <c r="Q28">
        <f t="shared" si="9"/>
        <v>0.86220150887717018</v>
      </c>
      <c r="R28">
        <f t="shared" si="10"/>
        <v>0.55315942507472504</v>
      </c>
      <c r="S28">
        <f t="shared" si="11"/>
        <v>220.29206774193551</v>
      </c>
      <c r="T28">
        <f t="shared" si="12"/>
        <v>27.075503108765556</v>
      </c>
      <c r="U28">
        <f t="shared" si="13"/>
        <v>25.90587096774194</v>
      </c>
      <c r="V28">
        <f t="shared" si="14"/>
        <v>3.3555097256826669</v>
      </c>
      <c r="W28">
        <f t="shared" si="15"/>
        <v>81.555316252368144</v>
      </c>
      <c r="X28">
        <f t="shared" si="16"/>
        <v>2.8856947506721218</v>
      </c>
      <c r="Y28">
        <f t="shared" si="17"/>
        <v>3.5383281964630098</v>
      </c>
      <c r="Z28">
        <f t="shared" si="18"/>
        <v>0.46981497501054514</v>
      </c>
      <c r="AA28">
        <f t="shared" si="19"/>
        <v>-181.90193039351678</v>
      </c>
      <c r="AB28">
        <f t="shared" si="20"/>
        <v>117.03662137363673</v>
      </c>
      <c r="AC28">
        <f t="shared" si="21"/>
        <v>10.391489049962034</v>
      </c>
      <c r="AD28">
        <f t="shared" si="22"/>
        <v>165.81824777201751</v>
      </c>
      <c r="AE28">
        <f t="shared" si="23"/>
        <v>50.723788011182421</v>
      </c>
      <c r="AF28">
        <f t="shared" si="24"/>
        <v>4.1247603263836004</v>
      </c>
      <c r="AG28">
        <f t="shared" si="25"/>
        <v>50.653350243149156</v>
      </c>
      <c r="AH28">
        <v>1631.818922282652</v>
      </c>
      <c r="AI28">
        <v>1515.4576969696959</v>
      </c>
      <c r="AJ28">
        <v>1.5070966762923641E-2</v>
      </c>
      <c r="AK28">
        <v>84.014661243559686</v>
      </c>
      <c r="AL28">
        <f t="shared" si="26"/>
        <v>4.1192891432894889</v>
      </c>
      <c r="AM28">
        <v>19.462096849937179</v>
      </c>
      <c r="AN28">
        <v>28.46670240601501</v>
      </c>
      <c r="AO28">
        <v>-7.9433077123504326E-7</v>
      </c>
      <c r="AP28">
        <v>90.527890321289746</v>
      </c>
      <c r="AQ28">
        <v>0</v>
      </c>
      <c r="AR28">
        <v>0</v>
      </c>
      <c r="AS28">
        <f t="shared" si="27"/>
        <v>1</v>
      </c>
      <c r="AT28">
        <f t="shared" si="28"/>
        <v>0</v>
      </c>
      <c r="AU28">
        <f t="shared" si="29"/>
        <v>53561.911114558745</v>
      </c>
      <c r="AV28">
        <f t="shared" si="30"/>
        <v>1159.431935483871</v>
      </c>
      <c r="AW28">
        <f t="shared" si="31"/>
        <v>927.54554838709691</v>
      </c>
      <c r="AX28">
        <f t="shared" si="32"/>
        <v>0.8</v>
      </c>
      <c r="AY28">
        <f t="shared" si="33"/>
        <v>0.19</v>
      </c>
      <c r="AZ28">
        <v>9</v>
      </c>
      <c r="BA28">
        <v>1.21</v>
      </c>
      <c r="BB28" t="s">
        <v>339</v>
      </c>
      <c r="BC28">
        <v>2</v>
      </c>
      <c r="BD28" t="b">
        <v>0</v>
      </c>
      <c r="BE28">
        <v>1755618689.5</v>
      </c>
      <c r="BF28">
        <v>1472.248387096774</v>
      </c>
      <c r="BG28">
        <v>1600.0409677419359</v>
      </c>
      <c r="BH28">
        <v>28.479212903225811</v>
      </c>
      <c r="BI28">
        <v>19.462770967741939</v>
      </c>
      <c r="BJ28">
        <v>1458.3480645161289</v>
      </c>
      <c r="BK28">
        <v>28.22222903225807</v>
      </c>
      <c r="BL28">
        <v>399.9982903225806</v>
      </c>
      <c r="BM28">
        <v>101.2263870967742</v>
      </c>
      <c r="BN28">
        <v>9.9964880645161291E-2</v>
      </c>
      <c r="BO28">
        <v>26.804787096774199</v>
      </c>
      <c r="BP28">
        <v>25.90587096774194</v>
      </c>
      <c r="BQ28">
        <v>999.90000000000032</v>
      </c>
      <c r="BR28">
        <v>0</v>
      </c>
      <c r="BS28">
        <v>0</v>
      </c>
      <c r="BT28">
        <v>10000.27419354839</v>
      </c>
      <c r="BU28">
        <v>1159.431935483871</v>
      </c>
      <c r="BV28">
        <v>13.91364838709678</v>
      </c>
      <c r="BW28">
        <v>-127.792</v>
      </c>
      <c r="BX28">
        <v>1515.4054838709681</v>
      </c>
      <c r="BY28">
        <v>1631.79870967742</v>
      </c>
      <c r="BZ28">
        <v>9.0164419354838721</v>
      </c>
      <c r="CA28">
        <v>1600.0409677419359</v>
      </c>
      <c r="CB28">
        <v>19.462770967741939</v>
      </c>
      <c r="CC28">
        <v>2.882849032258064</v>
      </c>
      <c r="CD28">
        <v>1.970148387096774</v>
      </c>
      <c r="CE28">
        <v>23.366319354838708</v>
      </c>
      <c r="CF28">
        <v>17.20643225806452</v>
      </c>
      <c r="CG28">
        <v>1755616485</v>
      </c>
      <c r="CH28" t="s">
        <v>340</v>
      </c>
      <c r="CI28">
        <v>1755616477.5</v>
      </c>
      <c r="CJ28">
        <v>1755616485</v>
      </c>
      <c r="CK28">
        <v>6</v>
      </c>
      <c r="CL28">
        <v>-0.23100000000000001</v>
      </c>
      <c r="CM28">
        <v>0.03</v>
      </c>
      <c r="CN28">
        <v>2.97</v>
      </c>
      <c r="CO28">
        <v>0.25700000000000001</v>
      </c>
      <c r="CP28">
        <v>450</v>
      </c>
      <c r="CQ28">
        <v>20</v>
      </c>
      <c r="CR28">
        <v>0.02</v>
      </c>
      <c r="CS28">
        <v>0.01</v>
      </c>
      <c r="CT28">
        <v>-127.7302</v>
      </c>
      <c r="CU28">
        <v>-1.1015684802999359</v>
      </c>
      <c r="CV28">
        <v>0.13486626709448091</v>
      </c>
      <c r="CW28">
        <v>0</v>
      </c>
      <c r="CX28">
        <v>0</v>
      </c>
      <c r="CY28">
        <v>0</v>
      </c>
      <c r="CZ28">
        <v>0</v>
      </c>
      <c r="DA28">
        <v>-1</v>
      </c>
      <c r="DB28">
        <v>9.0198289999999979</v>
      </c>
      <c r="DC28">
        <v>-7.6445403377130919E-2</v>
      </c>
      <c r="DD28">
        <v>7.5141369431225742E-3</v>
      </c>
      <c r="DE28">
        <v>1</v>
      </c>
      <c r="DF28">
        <v>1</v>
      </c>
      <c r="DG28">
        <v>2</v>
      </c>
      <c r="DH28" t="s">
        <v>355</v>
      </c>
      <c r="DI28">
        <v>3.0249100000000002</v>
      </c>
      <c r="DJ28">
        <v>2.6913900000000002</v>
      </c>
      <c r="DK28">
        <v>0.22203200000000001</v>
      </c>
      <c r="DL28">
        <v>0.235816</v>
      </c>
      <c r="DM28">
        <v>0.134654</v>
      </c>
      <c r="DN28">
        <v>0.104296</v>
      </c>
      <c r="DO28">
        <v>21679.8</v>
      </c>
      <c r="DP28">
        <v>13814.5</v>
      </c>
      <c r="DQ28">
        <v>26439.200000000001</v>
      </c>
      <c r="DR28">
        <v>16416.099999999999</v>
      </c>
      <c r="DS28">
        <v>32528.2</v>
      </c>
      <c r="DT28">
        <v>19186.8</v>
      </c>
      <c r="DU28">
        <v>38519.199999999997</v>
      </c>
      <c r="DV28">
        <v>21731.4</v>
      </c>
      <c r="DW28">
        <v>1.7945</v>
      </c>
      <c r="DX28">
        <v>2.1981999999999999</v>
      </c>
      <c r="DY28">
        <v>7.5078000000000006E-2</v>
      </c>
      <c r="DZ28">
        <v>0</v>
      </c>
      <c r="EA28">
        <v>24.676500000000001</v>
      </c>
      <c r="EB28">
        <v>999.9</v>
      </c>
      <c r="EC28">
        <v>56.2</v>
      </c>
      <c r="ED28">
        <v>32</v>
      </c>
      <c r="EE28">
        <v>26.510100000000001</v>
      </c>
      <c r="EF28">
        <v>62.376399999999997</v>
      </c>
      <c r="EG28">
        <v>34.298900000000003</v>
      </c>
      <c r="EH28">
        <v>1</v>
      </c>
      <c r="EI28">
        <v>1.7949199999999998E-2</v>
      </c>
      <c r="EJ28">
        <v>-0.192824</v>
      </c>
      <c r="EK28">
        <v>20.328399999999998</v>
      </c>
      <c r="EL28">
        <v>5.2516699999999998</v>
      </c>
      <c r="EM28">
        <v>11.962</v>
      </c>
      <c r="EN28">
        <v>4.9892000000000003</v>
      </c>
      <c r="EO28">
        <v>3.29162</v>
      </c>
      <c r="EP28">
        <v>9999</v>
      </c>
      <c r="EQ28">
        <v>9999</v>
      </c>
      <c r="ER28">
        <v>9999</v>
      </c>
      <c r="ES28">
        <v>999.9</v>
      </c>
      <c r="ET28">
        <v>4.9727199999999998</v>
      </c>
      <c r="EU28">
        <v>1.8719399999999999</v>
      </c>
      <c r="EV28">
        <v>1.8721099999999999</v>
      </c>
      <c r="EW28">
        <v>1.8772599999999999</v>
      </c>
      <c r="EX28">
        <v>1.8713500000000001</v>
      </c>
      <c r="EY28">
        <v>1.8721000000000001</v>
      </c>
      <c r="EZ28">
        <v>1.8717900000000001</v>
      </c>
      <c r="FA28">
        <v>1.8687400000000001</v>
      </c>
      <c r="FB28">
        <v>0</v>
      </c>
      <c r="FC28">
        <v>0</v>
      </c>
      <c r="FD28">
        <v>0</v>
      </c>
      <c r="FE28">
        <v>0</v>
      </c>
      <c r="FF28" t="s">
        <v>342</v>
      </c>
      <c r="FG28" t="s">
        <v>343</v>
      </c>
      <c r="FH28" t="s">
        <v>344</v>
      </c>
      <c r="FI28" t="s">
        <v>344</v>
      </c>
      <c r="FJ28" t="s">
        <v>344</v>
      </c>
      <c r="FK28" t="s">
        <v>344</v>
      </c>
      <c r="FL28">
        <v>0</v>
      </c>
      <c r="FM28">
        <v>100</v>
      </c>
      <c r="FN28">
        <v>100</v>
      </c>
      <c r="FO28">
        <v>13.9</v>
      </c>
      <c r="FP28">
        <v>0.25700000000000001</v>
      </c>
      <c r="FQ28">
        <v>-0.62182825409685183</v>
      </c>
      <c r="FR28">
        <v>7.0338458001993282E-3</v>
      </c>
      <c r="FS28">
        <v>2.3387658340725169E-6</v>
      </c>
      <c r="FT28">
        <v>-2.2874075696057401E-10</v>
      </c>
      <c r="FU28">
        <v>0.25698499999999308</v>
      </c>
      <c r="FV28">
        <v>0</v>
      </c>
      <c r="FW28">
        <v>0</v>
      </c>
      <c r="FX28">
        <v>0</v>
      </c>
      <c r="FY28">
        <v>3</v>
      </c>
      <c r="FZ28">
        <v>2105</v>
      </c>
      <c r="GA28">
        <v>-1</v>
      </c>
      <c r="GB28">
        <v>-1</v>
      </c>
      <c r="GC28">
        <v>37</v>
      </c>
      <c r="GD28">
        <v>36.9</v>
      </c>
      <c r="GE28">
        <v>3.0920399999999999</v>
      </c>
      <c r="GF28">
        <v>2.6110799999999998</v>
      </c>
      <c r="GG28">
        <v>1.7981</v>
      </c>
      <c r="GH28">
        <v>2.3779300000000001</v>
      </c>
      <c r="GI28">
        <v>1.5979000000000001</v>
      </c>
      <c r="GJ28">
        <v>2.52197</v>
      </c>
      <c r="GK28">
        <v>35.313299999999998</v>
      </c>
      <c r="GL28">
        <v>24.157499999999999</v>
      </c>
      <c r="GM28">
        <v>18</v>
      </c>
      <c r="GN28">
        <v>360.71699999999998</v>
      </c>
      <c r="GO28">
        <v>674.95299999999997</v>
      </c>
      <c r="GP28">
        <v>25.829899999999999</v>
      </c>
      <c r="GQ28">
        <v>27.287400000000002</v>
      </c>
      <c r="GR28">
        <v>30.0001</v>
      </c>
      <c r="GS28">
        <v>27.220800000000001</v>
      </c>
      <c r="GT28">
        <v>27.2562</v>
      </c>
      <c r="GU28">
        <v>61.8247</v>
      </c>
      <c r="GV28">
        <v>31.875299999999999</v>
      </c>
      <c r="GW28">
        <v>0</v>
      </c>
      <c r="GX28">
        <v>25.83</v>
      </c>
      <c r="GY28">
        <v>1600</v>
      </c>
      <c r="GZ28">
        <v>19.5</v>
      </c>
      <c r="HA28">
        <v>100.47199999999999</v>
      </c>
      <c r="HB28">
        <v>67.862200000000001</v>
      </c>
    </row>
    <row r="29" spans="1:210" x14ac:dyDescent="0.3">
      <c r="A29">
        <v>13</v>
      </c>
      <c r="B29">
        <v>1755618878</v>
      </c>
      <c r="C29">
        <v>2166.5</v>
      </c>
      <c r="D29" t="s">
        <v>368</v>
      </c>
      <c r="E29" t="s">
        <v>369</v>
      </c>
      <c r="F29">
        <v>15</v>
      </c>
      <c r="G29">
        <v>1755618870.25</v>
      </c>
      <c r="H29">
        <f t="shared" si="0"/>
        <v>4.0890374893976407E-3</v>
      </c>
      <c r="I29">
        <f t="shared" si="1"/>
        <v>4.0890374893976409</v>
      </c>
      <c r="J29">
        <f t="shared" si="2"/>
        <v>34.723540665212909</v>
      </c>
      <c r="K29">
        <f t="shared" si="3"/>
        <v>368.4745333333334</v>
      </c>
      <c r="L29">
        <f t="shared" si="4"/>
        <v>300.84108122158119</v>
      </c>
      <c r="M29">
        <f t="shared" si="5"/>
        <v>30.483438256711736</v>
      </c>
      <c r="N29">
        <f t="shared" si="6"/>
        <v>37.336558692143043</v>
      </c>
      <c r="O29">
        <f t="shared" si="7"/>
        <v>1.0074771644979896</v>
      </c>
      <c r="P29">
        <f t="shared" si="8"/>
        <v>2.4152155976220491</v>
      </c>
      <c r="Q29">
        <f t="shared" si="9"/>
        <v>0.83253668936680891</v>
      </c>
      <c r="R29">
        <f t="shared" si="10"/>
        <v>0.5336407925127713</v>
      </c>
      <c r="S29">
        <f t="shared" si="11"/>
        <v>220.25325666666672</v>
      </c>
      <c r="T29">
        <f t="shared" si="12"/>
        <v>27.091467176786914</v>
      </c>
      <c r="U29">
        <f t="shared" si="13"/>
        <v>25.92427</v>
      </c>
      <c r="V29">
        <f t="shared" si="14"/>
        <v>3.3591672916456314</v>
      </c>
      <c r="W29">
        <f t="shared" si="15"/>
        <v>81.279519126789381</v>
      </c>
      <c r="X29">
        <f t="shared" si="16"/>
        <v>2.8768079093070167</v>
      </c>
      <c r="Y29">
        <f t="shared" si="17"/>
        <v>3.5394007496764743</v>
      </c>
      <c r="Z29">
        <f t="shared" si="18"/>
        <v>0.48235938233861475</v>
      </c>
      <c r="AA29">
        <f t="shared" si="19"/>
        <v>-180.32655328243595</v>
      </c>
      <c r="AB29">
        <f t="shared" si="20"/>
        <v>115.32229651882541</v>
      </c>
      <c r="AC29">
        <f t="shared" si="21"/>
        <v>10.239571157620286</v>
      </c>
      <c r="AD29">
        <f t="shared" si="22"/>
        <v>165.48857106067646</v>
      </c>
      <c r="AE29">
        <f t="shared" si="23"/>
        <v>34.723540665212909</v>
      </c>
      <c r="AF29">
        <f t="shared" si="24"/>
        <v>4.0890374893976409</v>
      </c>
      <c r="AG29">
        <f t="shared" si="25"/>
        <v>34.795407123433705</v>
      </c>
      <c r="AH29">
        <v>458.97390374303899</v>
      </c>
      <c r="AI29">
        <v>379.15943636363642</v>
      </c>
      <c r="AJ29">
        <v>-2.6122705458392569E-3</v>
      </c>
      <c r="AK29">
        <v>84.014661243559686</v>
      </c>
      <c r="AL29">
        <f t="shared" si="26"/>
        <v>4.0879564150208623</v>
      </c>
      <c r="AM29">
        <v>19.453646535458081</v>
      </c>
      <c r="AN29">
        <v>28.389747218045109</v>
      </c>
      <c r="AO29">
        <v>-7.6003154062404558E-7</v>
      </c>
      <c r="AP29">
        <v>90.527890321289746</v>
      </c>
      <c r="AQ29">
        <v>0</v>
      </c>
      <c r="AR29">
        <v>0</v>
      </c>
      <c r="AS29">
        <f t="shared" si="27"/>
        <v>1</v>
      </c>
      <c r="AT29">
        <f t="shared" si="28"/>
        <v>0</v>
      </c>
      <c r="AU29">
        <f t="shared" si="29"/>
        <v>53568.216198349</v>
      </c>
      <c r="AV29">
        <f t="shared" si="30"/>
        <v>1159.2276666666669</v>
      </c>
      <c r="AW29">
        <f t="shared" si="31"/>
        <v>927.38213333333351</v>
      </c>
      <c r="AX29">
        <f t="shared" si="32"/>
        <v>0.8</v>
      </c>
      <c r="AY29">
        <f t="shared" si="33"/>
        <v>0.19</v>
      </c>
      <c r="AZ29">
        <v>9</v>
      </c>
      <c r="BA29">
        <v>1.21</v>
      </c>
      <c r="BB29" t="s">
        <v>339</v>
      </c>
      <c r="BC29">
        <v>2</v>
      </c>
      <c r="BD29" t="b">
        <v>0</v>
      </c>
      <c r="BE29">
        <v>1755618870.25</v>
      </c>
      <c r="BF29">
        <v>368.4745333333334</v>
      </c>
      <c r="BG29">
        <v>449.9863666666667</v>
      </c>
      <c r="BH29">
        <v>28.391220000000001</v>
      </c>
      <c r="BI29">
        <v>19.452776666666661</v>
      </c>
      <c r="BJ29">
        <v>366.21806666666657</v>
      </c>
      <c r="BK29">
        <v>28.134229999999999</v>
      </c>
      <c r="BL29">
        <v>400.03053333333338</v>
      </c>
      <c r="BM29">
        <v>101.22733333333331</v>
      </c>
      <c r="BN29">
        <v>0.10004567</v>
      </c>
      <c r="BO29">
        <v>26.809940000000001</v>
      </c>
      <c r="BP29">
        <v>25.92427</v>
      </c>
      <c r="BQ29">
        <v>999.9000000000002</v>
      </c>
      <c r="BR29">
        <v>0</v>
      </c>
      <c r="BS29">
        <v>0</v>
      </c>
      <c r="BT29">
        <v>10001.58333333333</v>
      </c>
      <c r="BU29">
        <v>1159.2276666666669</v>
      </c>
      <c r="BV29">
        <v>13.920576666666671</v>
      </c>
      <c r="BW29">
        <v>-81.511823333333339</v>
      </c>
      <c r="BX29">
        <v>379.24173333333329</v>
      </c>
      <c r="BY29">
        <v>458.91359999999997</v>
      </c>
      <c r="BZ29">
        <v>8.9384346666666659</v>
      </c>
      <c r="CA29">
        <v>449.9863666666667</v>
      </c>
      <c r="CB29">
        <v>19.452776666666661</v>
      </c>
      <c r="CC29">
        <v>2.873968333333333</v>
      </c>
      <c r="CD29">
        <v>1.9691553333333329</v>
      </c>
      <c r="CE29">
        <v>23.315216666666672</v>
      </c>
      <c r="CF29">
        <v>17.198463333333329</v>
      </c>
      <c r="CG29">
        <v>1755616485</v>
      </c>
      <c r="CH29" t="s">
        <v>340</v>
      </c>
      <c r="CI29">
        <v>1755616477.5</v>
      </c>
      <c r="CJ29">
        <v>1755616485</v>
      </c>
      <c r="CK29">
        <v>6</v>
      </c>
      <c r="CL29">
        <v>-0.23100000000000001</v>
      </c>
      <c r="CM29">
        <v>0.03</v>
      </c>
      <c r="CN29">
        <v>2.97</v>
      </c>
      <c r="CO29">
        <v>0.25700000000000001</v>
      </c>
      <c r="CP29">
        <v>450</v>
      </c>
      <c r="CQ29">
        <v>20</v>
      </c>
      <c r="CR29">
        <v>0.02</v>
      </c>
      <c r="CS29">
        <v>0.01</v>
      </c>
      <c r="CT29">
        <v>-81.462135000000004</v>
      </c>
      <c r="CU29">
        <v>-0.874570356472681</v>
      </c>
      <c r="CV29">
        <v>9.0701649792051989E-2</v>
      </c>
      <c r="CW29">
        <v>0</v>
      </c>
      <c r="CX29">
        <v>0</v>
      </c>
      <c r="CY29">
        <v>0</v>
      </c>
      <c r="CZ29">
        <v>0</v>
      </c>
      <c r="DA29">
        <v>-1</v>
      </c>
      <c r="DB29">
        <v>8.9393020000000014</v>
      </c>
      <c r="DC29">
        <v>-1.606108818013546E-2</v>
      </c>
      <c r="DD29">
        <v>1.8338827661549719E-3</v>
      </c>
      <c r="DE29">
        <v>1</v>
      </c>
      <c r="DF29">
        <v>1</v>
      </c>
      <c r="DG29">
        <v>2</v>
      </c>
      <c r="DH29" t="s">
        <v>355</v>
      </c>
      <c r="DI29">
        <v>3.02488</v>
      </c>
      <c r="DJ29">
        <v>2.6914600000000002</v>
      </c>
      <c r="DK29">
        <v>8.7228799999999995E-2</v>
      </c>
      <c r="DL29">
        <v>0.10249900000000001</v>
      </c>
      <c r="DM29">
        <v>0.134404</v>
      </c>
      <c r="DN29">
        <v>0.104256</v>
      </c>
      <c r="DO29">
        <v>25435.200000000001</v>
      </c>
      <c r="DP29">
        <v>16224.9</v>
      </c>
      <c r="DQ29">
        <v>26438.6</v>
      </c>
      <c r="DR29">
        <v>16416.7</v>
      </c>
      <c r="DS29">
        <v>32534.5</v>
      </c>
      <c r="DT29">
        <v>19185.8</v>
      </c>
      <c r="DU29">
        <v>38519.1</v>
      </c>
      <c r="DV29">
        <v>21731.5</v>
      </c>
      <c r="DW29">
        <v>1.7937399999999999</v>
      </c>
      <c r="DX29">
        <v>2.1952600000000002</v>
      </c>
      <c r="DY29">
        <v>7.6609800000000006E-2</v>
      </c>
      <c r="DZ29">
        <v>0</v>
      </c>
      <c r="EA29">
        <v>24.665800000000001</v>
      </c>
      <c r="EB29">
        <v>999.9</v>
      </c>
      <c r="EC29">
        <v>56.2</v>
      </c>
      <c r="ED29">
        <v>32</v>
      </c>
      <c r="EE29">
        <v>26.510200000000001</v>
      </c>
      <c r="EF29">
        <v>62.546399999999998</v>
      </c>
      <c r="EG29">
        <v>34.539299999999997</v>
      </c>
      <c r="EH29">
        <v>1</v>
      </c>
      <c r="EI29">
        <v>1.8042699999999998E-2</v>
      </c>
      <c r="EJ29">
        <v>-0.193719</v>
      </c>
      <c r="EK29">
        <v>20.328299999999999</v>
      </c>
      <c r="EL29">
        <v>5.2516699999999998</v>
      </c>
      <c r="EM29">
        <v>11.962</v>
      </c>
      <c r="EN29">
        <v>4.9897200000000002</v>
      </c>
      <c r="EO29">
        <v>3.29148</v>
      </c>
      <c r="EP29">
        <v>9999</v>
      </c>
      <c r="EQ29">
        <v>9999</v>
      </c>
      <c r="ER29">
        <v>9999</v>
      </c>
      <c r="ES29">
        <v>999.9</v>
      </c>
      <c r="ET29">
        <v>4.9727100000000002</v>
      </c>
      <c r="EU29">
        <v>1.87192</v>
      </c>
      <c r="EV29">
        <v>1.8721099999999999</v>
      </c>
      <c r="EW29">
        <v>1.8772200000000001</v>
      </c>
      <c r="EX29">
        <v>1.87134</v>
      </c>
      <c r="EY29">
        <v>1.8721000000000001</v>
      </c>
      <c r="EZ29">
        <v>1.8717999999999999</v>
      </c>
      <c r="FA29">
        <v>1.8687400000000001</v>
      </c>
      <c r="FB29">
        <v>0</v>
      </c>
      <c r="FC29">
        <v>0</v>
      </c>
      <c r="FD29">
        <v>0</v>
      </c>
      <c r="FE29">
        <v>0</v>
      </c>
      <c r="FF29" t="s">
        <v>342</v>
      </c>
      <c r="FG29" t="s">
        <v>343</v>
      </c>
      <c r="FH29" t="s">
        <v>344</v>
      </c>
      <c r="FI29" t="s">
        <v>344</v>
      </c>
      <c r="FJ29" t="s">
        <v>344</v>
      </c>
      <c r="FK29" t="s">
        <v>344</v>
      </c>
      <c r="FL29">
        <v>0</v>
      </c>
      <c r="FM29">
        <v>100</v>
      </c>
      <c r="FN29">
        <v>100</v>
      </c>
      <c r="FO29">
        <v>2.2559999999999998</v>
      </c>
      <c r="FP29">
        <v>0.25690000000000002</v>
      </c>
      <c r="FQ29">
        <v>-0.62182825409685183</v>
      </c>
      <c r="FR29">
        <v>7.0338458001993282E-3</v>
      </c>
      <c r="FS29">
        <v>2.3387658340725169E-6</v>
      </c>
      <c r="FT29">
        <v>-2.2874075696057401E-10</v>
      </c>
      <c r="FU29">
        <v>0.25698499999999308</v>
      </c>
      <c r="FV29">
        <v>0</v>
      </c>
      <c r="FW29">
        <v>0</v>
      </c>
      <c r="FX29">
        <v>0</v>
      </c>
      <c r="FY29">
        <v>3</v>
      </c>
      <c r="FZ29">
        <v>2105</v>
      </c>
      <c r="GA29">
        <v>-1</v>
      </c>
      <c r="GB29">
        <v>-1</v>
      </c>
      <c r="GC29">
        <v>40</v>
      </c>
      <c r="GD29">
        <v>39.9</v>
      </c>
      <c r="GE29">
        <v>1.1035200000000001</v>
      </c>
      <c r="GF29">
        <v>2.6293899999999999</v>
      </c>
      <c r="GG29">
        <v>1.7981</v>
      </c>
      <c r="GH29">
        <v>2.3791500000000001</v>
      </c>
      <c r="GI29">
        <v>1.5979000000000001</v>
      </c>
      <c r="GJ29">
        <v>2.5695800000000002</v>
      </c>
      <c r="GK29">
        <v>35.336500000000001</v>
      </c>
      <c r="GL29">
        <v>24.1663</v>
      </c>
      <c r="GM29">
        <v>18</v>
      </c>
      <c r="GN29">
        <v>360.34699999999998</v>
      </c>
      <c r="GO29">
        <v>672.42100000000005</v>
      </c>
      <c r="GP29">
        <v>25.830100000000002</v>
      </c>
      <c r="GQ29">
        <v>27.287400000000002</v>
      </c>
      <c r="GR29">
        <v>30.0001</v>
      </c>
      <c r="GS29">
        <v>27.223099999999999</v>
      </c>
      <c r="GT29">
        <v>27.258500000000002</v>
      </c>
      <c r="GU29">
        <v>22.027200000000001</v>
      </c>
      <c r="GV29">
        <v>31.875299999999999</v>
      </c>
      <c r="GW29">
        <v>0</v>
      </c>
      <c r="GX29">
        <v>25.83</v>
      </c>
      <c r="GY29">
        <v>450</v>
      </c>
      <c r="GZ29">
        <v>19.5</v>
      </c>
      <c r="HA29">
        <v>100.471</v>
      </c>
      <c r="HB29">
        <v>67.863500000000002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Jans, Tinko</cp:lastModifiedBy>
  <dcterms:created xsi:type="dcterms:W3CDTF">2025-08-19T16:00:19Z</dcterms:created>
  <dcterms:modified xsi:type="dcterms:W3CDTF">2025-12-01T11:43:05Z</dcterms:modified>
</cp:coreProperties>
</file>