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63BBD5C441CEF592E93259D70638F1E6" xr6:coauthVersionLast="47" xr6:coauthVersionMax="47" xr10:uidLastSave="{25191363-FBC7-4250-A179-AD5065C91EEC}"/>
  <bookViews>
    <workbookView xWindow="2616" yWindow="261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AE29" i="1" s="1"/>
  <c r="J29" i="1" s="1"/>
  <c r="AL29" i="1"/>
  <c r="AG29" i="1"/>
  <c r="Y29" i="1"/>
  <c r="X29" i="1"/>
  <c r="W29" i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S27" i="1" s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P27" i="1"/>
  <c r="N27" i="1"/>
  <c r="K27" i="1"/>
  <c r="AY26" i="1"/>
  <c r="S26" i="1" s="1"/>
  <c r="AX26" i="1"/>
  <c r="AV26" i="1"/>
  <c r="AW26" i="1" s="1"/>
  <c r="AU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K26" i="1"/>
  <c r="AY25" i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/>
  <c r="S25" i="1"/>
  <c r="P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/>
  <c r="P24" i="1"/>
  <c r="AY23" i="1"/>
  <c r="AX23" i="1"/>
  <c r="AV23" i="1"/>
  <c r="S23" i="1" s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/>
  <c r="P23" i="1"/>
  <c r="N23" i="1"/>
  <c r="K23" i="1"/>
  <c r="AY22" i="1"/>
  <c r="S22" i="1" s="1"/>
  <c r="AX22" i="1"/>
  <c r="AV22" i="1"/>
  <c r="AW22" i="1" s="1"/>
  <c r="AU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K22" i="1"/>
  <c r="AY21" i="1"/>
  <c r="AX21" i="1"/>
  <c r="AV21" i="1"/>
  <c r="AW21" i="1" s="1"/>
  <c r="AU21" i="1"/>
  <c r="AS21" i="1"/>
  <c r="AE21" i="1" s="1"/>
  <c r="J21" i="1" s="1"/>
  <c r="AL21" i="1"/>
  <c r="AG21" i="1"/>
  <c r="Y21" i="1"/>
  <c r="X21" i="1"/>
  <c r="W21" i="1"/>
  <c r="S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/>
  <c r="P20" i="1"/>
  <c r="AY19" i="1"/>
  <c r="AX19" i="1"/>
  <c r="AV19" i="1"/>
  <c r="S19" i="1" s="1"/>
  <c r="AU19" i="1"/>
  <c r="AS19" i="1"/>
  <c r="K19" i="1" s="1"/>
  <c r="AL19" i="1"/>
  <c r="AG19" i="1"/>
  <c r="AF19" i="1"/>
  <c r="I19" i="1" s="1"/>
  <c r="H19" i="1" s="1"/>
  <c r="AE19" i="1"/>
  <c r="J19" i="1" s="1"/>
  <c r="Y19" i="1"/>
  <c r="X19" i="1"/>
  <c r="W19" i="1"/>
  <c r="P19" i="1"/>
  <c r="N19" i="1"/>
  <c r="AY18" i="1"/>
  <c r="S18" i="1" s="1"/>
  <c r="AX18" i="1"/>
  <c r="AV18" i="1"/>
  <c r="AW18" i="1" s="1"/>
  <c r="AU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K18" i="1"/>
  <c r="AY17" i="1"/>
  <c r="AX17" i="1"/>
  <c r="AV17" i="1"/>
  <c r="AW17" i="1" s="1"/>
  <c r="AU17" i="1"/>
  <c r="AS17" i="1"/>
  <c r="AE17" i="1" s="1"/>
  <c r="J17" i="1" s="1"/>
  <c r="AL17" i="1"/>
  <c r="AG17" i="1"/>
  <c r="Y17" i="1"/>
  <c r="X17" i="1"/>
  <c r="W17" i="1"/>
  <c r="S17" i="1"/>
  <c r="P17" i="1"/>
  <c r="K17" i="1"/>
  <c r="T18" i="1" l="1"/>
  <c r="U18" i="1" s="1"/>
  <c r="T22" i="1"/>
  <c r="U22" i="1" s="1"/>
  <c r="AA23" i="1"/>
  <c r="AB26" i="1"/>
  <c r="K28" i="1"/>
  <c r="AT28" i="1"/>
  <c r="N28" i="1"/>
  <c r="AF28" i="1"/>
  <c r="I28" i="1" s="1"/>
  <c r="H28" i="1" s="1"/>
  <c r="AE28" i="1"/>
  <c r="J28" i="1" s="1"/>
  <c r="Q18" i="1"/>
  <c r="O18" i="1" s="1"/>
  <c r="R18" i="1" s="1"/>
  <c r="L18" i="1" s="1"/>
  <c r="M18" i="1" s="1"/>
  <c r="AA18" i="1"/>
  <c r="Q22" i="1"/>
  <c r="O22" i="1" s="1"/>
  <c r="R22" i="1" s="1"/>
  <c r="L22" i="1" s="1"/>
  <c r="M22" i="1" s="1"/>
  <c r="AA22" i="1"/>
  <c r="Q25" i="1"/>
  <c r="O25" i="1" s="1"/>
  <c r="R25" i="1" s="1"/>
  <c r="AA25" i="1"/>
  <c r="T26" i="1"/>
  <c r="U26" i="1" s="1"/>
  <c r="AA27" i="1"/>
  <c r="Q26" i="1"/>
  <c r="O26" i="1" s="1"/>
  <c r="R26" i="1" s="1"/>
  <c r="L26" i="1" s="1"/>
  <c r="M26" i="1" s="1"/>
  <c r="AA26" i="1"/>
  <c r="T19" i="1"/>
  <c r="U19" i="1" s="1"/>
  <c r="T25" i="1"/>
  <c r="U25" i="1" s="1"/>
  <c r="K20" i="1"/>
  <c r="N20" i="1"/>
  <c r="AT20" i="1"/>
  <c r="AF20" i="1"/>
  <c r="I20" i="1" s="1"/>
  <c r="H20" i="1" s="1"/>
  <c r="T20" i="1" s="1"/>
  <c r="U20" i="1" s="1"/>
  <c r="AE20" i="1"/>
  <c r="J20" i="1" s="1"/>
  <c r="T23" i="1"/>
  <c r="U23" i="1" s="1"/>
  <c r="AB18" i="1"/>
  <c r="AB22" i="1"/>
  <c r="K24" i="1"/>
  <c r="AT24" i="1"/>
  <c r="AF24" i="1"/>
  <c r="I24" i="1" s="1"/>
  <c r="H24" i="1" s="1"/>
  <c r="N24" i="1"/>
  <c r="AE24" i="1"/>
  <c r="J24" i="1" s="1"/>
  <c r="AA19" i="1"/>
  <c r="Q19" i="1"/>
  <c r="O19" i="1" s="1"/>
  <c r="R19" i="1" s="1"/>
  <c r="L19" i="1" s="1"/>
  <c r="M19" i="1" s="1"/>
  <c r="T24" i="1"/>
  <c r="U24" i="1" s="1"/>
  <c r="T27" i="1"/>
  <c r="U27" i="1" s="1"/>
  <c r="AW20" i="1"/>
  <c r="AW24" i="1"/>
  <c r="AW28" i="1"/>
  <c r="AW19" i="1"/>
  <c r="K21" i="1"/>
  <c r="AW27" i="1"/>
  <c r="K29" i="1"/>
  <c r="AT25" i="1"/>
  <c r="N17" i="1"/>
  <c r="AT18" i="1"/>
  <c r="N21" i="1"/>
  <c r="AT22" i="1"/>
  <c r="N25" i="1"/>
  <c r="AT26" i="1"/>
  <c r="N29" i="1"/>
  <c r="AW23" i="1"/>
  <c r="AT21" i="1"/>
  <c r="AE25" i="1"/>
  <c r="J25" i="1" s="1"/>
  <c r="AF17" i="1"/>
  <c r="I17" i="1" s="1"/>
  <c r="H17" i="1" s="1"/>
  <c r="N18" i="1"/>
  <c r="AT19" i="1"/>
  <c r="AF21" i="1"/>
  <c r="I21" i="1" s="1"/>
  <c r="H21" i="1" s="1"/>
  <c r="N22" i="1"/>
  <c r="N26" i="1"/>
  <c r="AF29" i="1"/>
  <c r="I29" i="1" s="1"/>
  <c r="H29" i="1" s="1"/>
  <c r="AT17" i="1"/>
  <c r="AT29" i="1"/>
  <c r="AB20" i="1" l="1"/>
  <c r="V20" i="1"/>
  <c r="Z20" i="1" s="1"/>
  <c r="AC20" i="1"/>
  <c r="AA17" i="1"/>
  <c r="AC27" i="1"/>
  <c r="AD27" i="1" s="1"/>
  <c r="V27" i="1"/>
  <c r="Z27" i="1" s="1"/>
  <c r="AC23" i="1"/>
  <c r="AD23" i="1" s="1"/>
  <c r="V23" i="1"/>
  <c r="Z23" i="1" s="1"/>
  <c r="AC19" i="1"/>
  <c r="V19" i="1"/>
  <c r="Z19" i="1" s="1"/>
  <c r="AA29" i="1"/>
  <c r="V24" i="1"/>
  <c r="Z24" i="1" s="1"/>
  <c r="AC24" i="1"/>
  <c r="AB24" i="1"/>
  <c r="L25" i="1"/>
  <c r="M25" i="1" s="1"/>
  <c r="Q23" i="1"/>
  <c r="O23" i="1" s="1"/>
  <c r="R23" i="1" s="1"/>
  <c r="L23" i="1" s="1"/>
  <c r="M23" i="1" s="1"/>
  <c r="AB23" i="1"/>
  <c r="AB19" i="1"/>
  <c r="V22" i="1"/>
  <c r="Z22" i="1" s="1"/>
  <c r="AC22" i="1"/>
  <c r="AD22" i="1" s="1"/>
  <c r="AA21" i="1"/>
  <c r="T29" i="1"/>
  <c r="U29" i="1" s="1"/>
  <c r="Q29" i="1" s="1"/>
  <c r="O29" i="1" s="1"/>
  <c r="R29" i="1" s="1"/>
  <c r="L29" i="1" s="1"/>
  <c r="M29" i="1" s="1"/>
  <c r="Q27" i="1"/>
  <c r="O27" i="1" s="1"/>
  <c r="R27" i="1" s="1"/>
  <c r="L27" i="1" s="1"/>
  <c r="M27" i="1" s="1"/>
  <c r="T17" i="1"/>
  <c r="U17" i="1" s="1"/>
  <c r="Q17" i="1" s="1"/>
  <c r="O17" i="1" s="1"/>
  <c r="R17" i="1" s="1"/>
  <c r="L17" i="1" s="1"/>
  <c r="M17" i="1" s="1"/>
  <c r="AA28" i="1"/>
  <c r="V18" i="1"/>
  <c r="Z18" i="1" s="1"/>
  <c r="AC18" i="1"/>
  <c r="AD18" i="1" s="1"/>
  <c r="AA20" i="1"/>
  <c r="Q20" i="1"/>
  <c r="O20" i="1" s="1"/>
  <c r="R20" i="1" s="1"/>
  <c r="L20" i="1" s="1"/>
  <c r="M20" i="1" s="1"/>
  <c r="T21" i="1"/>
  <c r="U21" i="1" s="1"/>
  <c r="Q21" i="1" s="1"/>
  <c r="O21" i="1" s="1"/>
  <c r="R21" i="1" s="1"/>
  <c r="L21" i="1" s="1"/>
  <c r="M21" i="1" s="1"/>
  <c r="AA24" i="1"/>
  <c r="Q24" i="1"/>
  <c r="O24" i="1" s="1"/>
  <c r="R24" i="1" s="1"/>
  <c r="L24" i="1" s="1"/>
  <c r="M24" i="1" s="1"/>
  <c r="AB27" i="1"/>
  <c r="V25" i="1"/>
  <c r="Z25" i="1" s="1"/>
  <c r="AB25" i="1"/>
  <c r="AC25" i="1"/>
  <c r="AD25" i="1" s="1"/>
  <c r="V26" i="1"/>
  <c r="Z26" i="1" s="1"/>
  <c r="AC26" i="1"/>
  <c r="AD26" i="1" s="1"/>
  <c r="T28" i="1"/>
  <c r="U28" i="1" s="1"/>
  <c r="Q28" i="1" s="1"/>
  <c r="O28" i="1" s="1"/>
  <c r="R28" i="1" s="1"/>
  <c r="L28" i="1" s="1"/>
  <c r="M28" i="1" s="1"/>
  <c r="AD24" i="1" l="1"/>
  <c r="V28" i="1"/>
  <c r="Z28" i="1" s="1"/>
  <c r="AC28" i="1"/>
  <c r="AB28" i="1"/>
  <c r="AB17" i="1"/>
  <c r="V17" i="1"/>
  <c r="Z17" i="1" s="1"/>
  <c r="AC17" i="1"/>
  <c r="AD17" i="1" s="1"/>
  <c r="AD20" i="1"/>
  <c r="AB21" i="1"/>
  <c r="V21" i="1"/>
  <c r="Z21" i="1" s="1"/>
  <c r="AC21" i="1"/>
  <c r="AD21" i="1" s="1"/>
  <c r="AD19" i="1"/>
  <c r="AB29" i="1"/>
  <c r="V29" i="1"/>
  <c r="Z29" i="1" s="1"/>
  <c r="AC29" i="1"/>
  <c r="AD29" i="1" s="1"/>
  <c r="AD28" i="1" l="1"/>
</calcChain>
</file>

<file path=xl/sharedStrings.xml><?xml version="1.0" encoding="utf-8"?>
<sst xmlns="http://schemas.openxmlformats.org/spreadsheetml/2006/main" count="814" uniqueCount="368">
  <si>
    <t>File opened</t>
  </si>
  <si>
    <t>2025-06-23 12:24:46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</si>
  <si>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</si>
  <si>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</si>
  <si>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</si>
  <si>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</si>
  <si>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</si>
  <si>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</si>
  <si>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</si>
  <si>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</si>
  <si>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</si>
  <si>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</si>
  <si>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</si>
  <si>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</si>
  <si>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</si>
  <si>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</si>
  <si>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</si>
  <si>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</si>
  <si>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</si>
  <si>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</si>
  <si>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</si>
  <si>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</si>
  <si>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</si>
  <si>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</si>
  <si>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</si>
  <si>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</si>
  <si>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</si>
  <si>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</si>
  <si>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12:24:46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</si>
  <si>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</si>
  <si>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</si>
  <si>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</si>
  <si>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</si>
  <si>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</si>
  <si>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</si>
  <si>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</si>
  <si>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</si>
  <si>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</si>
  <si>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</si>
  <si>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</si>
  <si>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</si>
  <si>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</si>
  <si>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</si>
  <si>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</si>
  <si>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</si>
  <si>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</si>
  <si>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</si>
  <si>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</si>
  <si>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</si>
  <si>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</si>
  <si>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</si>
  <si>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</si>
  <si>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</si>
  <si>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</si>
  <si>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</si>
  <si>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</si>
  <si>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</si>
  <si>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</si>
  <si>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</si>
  <si>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</si>
  <si>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</si>
  <si>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</si>
  <si>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</si>
  <si>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</si>
  <si>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</si>
  <si>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</si>
  <si>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</si>
  <si>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</si>
  <si>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</si>
  <si>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</si>
  <si>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</si>
  <si>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</si>
  <si>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</si>
  <si>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</si>
  <si>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</si>
  <si>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</si>
  <si>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</si>
  <si>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</si>
  <si>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</si>
  <si>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</si>
  <si>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3.90399 161.069 340.418 584.594 849.532 1046.18 1295.71 1502.17</t>
  </si>
  <si>
    <t>Fs_true</t>
  </si>
  <si>
    <t>-0.189491 200.443 386.81 596.081 807.048 1001.39 1201.41 1400.89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</si>
  <si>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</si>
  <si>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</si>
  <si>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</si>
  <si>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</si>
  <si>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</si>
  <si>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</si>
  <si>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</si>
  <si>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</si>
  <si>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</si>
  <si>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</si>
  <si>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</si>
  <si>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</si>
  <si>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</si>
  <si>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</si>
  <si>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</si>
  <si>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</si>
  <si>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</si>
  <si>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</si>
  <si>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</si>
  <si>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</si>
  <si>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</si>
  <si>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</si>
  <si>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</si>
  <si>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</si>
  <si>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</si>
  <si>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</si>
  <si>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</si>
  <si>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</si>
  <si>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</si>
  <si>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</si>
  <si>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</si>
  <si>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</si>
  <si>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</si>
  <si>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</si>
  <si>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</si>
  <si>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</si>
  <si>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</si>
  <si>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</si>
  <si>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</si>
  <si>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</si>
  <si>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</si>
  <si>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</si>
  <si>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</si>
  <si>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</si>
  <si>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</si>
  <si>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</si>
  <si>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</si>
  <si>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</si>
  <si>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</si>
  <si>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</si>
  <si>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</si>
  <si>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</si>
  <si>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</si>
  <si>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</si>
  <si>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</si>
  <si>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</si>
  <si>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</si>
  <si>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</si>
  <si>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</si>
  <si>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</si>
  <si>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</si>
  <si>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</si>
  <si>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</si>
  <si>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</si>
  <si>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</si>
  <si>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</si>
  <si>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</si>
  <si>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</si>
  <si>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</si>
  <si>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</si>
  <si>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</si>
  <si>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</si>
  <si>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</si>
  <si>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</si>
  <si>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</si>
  <si>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</si>
  <si>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</si>
  <si>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</si>
  <si>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</si>
  <si>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</si>
  <si>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</si>
  <si>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</si>
  <si>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</si>
  <si>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</si>
  <si>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</si>
  <si>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</si>
  <si>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</si>
  <si>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</si>
  <si>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</si>
  <si>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</si>
  <si>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</si>
  <si>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</si>
  <si>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</si>
  <si>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</si>
  <si>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</si>
  <si>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</si>
  <si>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</si>
  <si>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</si>
  <si>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</si>
  <si>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</si>
  <si>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</si>
  <si>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</si>
  <si>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</si>
  <si>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</si>
  <si>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</si>
  <si>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</si>
  <si>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</si>
  <si>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</si>
  <si>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</si>
  <si>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</si>
  <si>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</si>
  <si>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</si>
  <si>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</si>
  <si>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</si>
  <si>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</si>
  <si>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</si>
  <si>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</si>
  <si>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</si>
  <si>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</si>
  <si>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</si>
  <si>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</si>
  <si>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</si>
  <si>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</si>
  <si>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</si>
  <si>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</si>
  <si>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</si>
  <si>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</si>
  <si>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</si>
  <si>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</si>
  <si>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</si>
  <si>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</si>
  <si>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</si>
  <si>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</si>
  <si>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</si>
  <si>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</si>
  <si>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</si>
  <si>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</si>
  <si>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</si>
  <si>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</si>
  <si>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</si>
  <si>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</si>
  <si>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</si>
  <si>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</si>
  <si>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</si>
  <si>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</si>
  <si>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</si>
  <si>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</si>
  <si>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</si>
  <si>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</si>
  <si>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</si>
  <si>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</si>
  <si>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</si>
  <si>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</si>
  <si>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</si>
  <si>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</si>
  <si>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</si>
  <si>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</si>
  <si>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</si>
  <si>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</si>
  <si>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</si>
  <si>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</si>
  <si>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</si>
  <si>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</si>
  <si>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</si>
  <si>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</si>
  <si>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</si>
  <si>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</si>
  <si>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</si>
  <si>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</si>
  <si>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</si>
  <si>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</si>
  <si>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</si>
  <si>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</si>
  <si>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</si>
  <si>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</si>
  <si>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</si>
  <si>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</si>
  <si>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</si>
  <si>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</si>
  <si>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</si>
  <si>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</si>
  <si>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</si>
  <si>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</si>
  <si>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</si>
  <si>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</si>
  <si>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</si>
  <si>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</si>
  <si>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</si>
  <si>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</si>
  <si>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</si>
  <si>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</si>
  <si>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</si>
  <si>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</si>
  <si>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</si>
  <si>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</si>
  <si>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</si>
  <si>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</si>
  <si>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</si>
  <si>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</si>
  <si>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</si>
  <si>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</si>
  <si>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</si>
  <si>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</si>
  <si>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</si>
  <si>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</si>
  <si>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</si>
  <si>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</si>
  <si>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</si>
  <si>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</si>
  <si>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</si>
  <si>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</si>
  <si>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</si>
  <si>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</si>
  <si>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</si>
  <si>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</si>
  <si>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</si>
  <si>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</si>
  <si>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</si>
  <si>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</si>
  <si>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</si>
  <si>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</si>
  <si>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</si>
  <si>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</si>
  <si>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</si>
  <si>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</si>
  <si>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</si>
  <si>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</si>
  <si>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</si>
  <si>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</si>
  <si>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</si>
  <si>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</si>
  <si>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</si>
  <si>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</si>
  <si>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</si>
  <si>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</si>
  <si>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</si>
  <si>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</si>
  <si>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</si>
  <si>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</si>
  <si>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</si>
  <si>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</si>
  <si>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</si>
  <si>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</si>
  <si>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</si>
  <si>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</si>
  <si>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</si>
  <si>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</si>
  <si>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</si>
  <si>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</si>
  <si>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</si>
  <si>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</si>
  <si>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20250623 12:48:51</t>
  </si>
  <si>
    <t>12:48:51</t>
  </si>
  <si>
    <t>0: Broadleaf</t>
  </si>
  <si>
    <t>12:44:07</t>
  </si>
  <si>
    <t>1/2</t>
  </si>
  <si>
    <t>11111111</t>
  </si>
  <si>
    <t>oooooooo</t>
  </si>
  <si>
    <t>on</t>
  </si>
  <si>
    <t>20250623 12:51:51</t>
  </si>
  <si>
    <t>12:51:51</t>
  </si>
  <si>
    <t>0/2</t>
  </si>
  <si>
    <t>20250623 12:54:52</t>
  </si>
  <si>
    <t>12:54:52</t>
  </si>
  <si>
    <t>20250623 12:57:52</t>
  </si>
  <si>
    <t>12:57:52</t>
  </si>
  <si>
    <t>20250623 13:00:53</t>
  </si>
  <si>
    <t>13:00:53</t>
  </si>
  <si>
    <t>2/2</t>
  </si>
  <si>
    <t>20250623 13:03:53</t>
  </si>
  <si>
    <t>13:03:53</t>
  </si>
  <si>
    <t>20250623 13:06:54</t>
  </si>
  <si>
    <t>13:06:54</t>
  </si>
  <si>
    <t>20250623 13:09:54</t>
  </si>
  <si>
    <t>13:09:54</t>
  </si>
  <si>
    <t>20250623 13:12:55</t>
  </si>
  <si>
    <t>13:12:55</t>
  </si>
  <si>
    <t>20250623 13:15:55</t>
  </si>
  <si>
    <t>13:15:55</t>
  </si>
  <si>
    <t>20250623 13:18:56</t>
  </si>
  <si>
    <t>13:18:56</t>
  </si>
  <si>
    <t>20250623 13:21:56</t>
  </si>
  <si>
    <t>13:21:56</t>
  </si>
  <si>
    <t>20250623 13:24:57</t>
  </si>
  <si>
    <t>13:24:57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</si>
</sst>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Q10" workbookViewId="0">
      <selection activeCell="BA17" sqref="BA17:BA29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1750675731</v>
      </c>
      <c r="C17">
        <v>0</v>
      </c>
      <c r="D17" t="s">
        <v>334</v>
      </c>
      <c r="E17" t="s">
        <v>335</v>
      </c>
      <c r="F17">
        <v>15</v>
      </c>
      <c r="G17">
        <v>1750675723.25</v>
      </c>
      <c r="H17">
        <f t="shared" ref="H17:H29" si="0">(I17)/1000</f>
        <v>2.4543607779458428E-3</v>
      </c>
      <c r="I17">
        <f t="shared" ref="I17:I29" si="1">IF(BD17, AL17, AF17)</f>
        <v>2.4543607779458427</v>
      </c>
      <c r="J17">
        <f t="shared" ref="J17:J29" si="2">IF(BD17, AG17, AE17)</f>
        <v>21.455863160953665</v>
      </c>
      <c r="K17">
        <f t="shared" ref="K17:K29" si="3">BF17 - IF(AS17&gt;1, J17*AZ17*100/(AU17), 0)</f>
        <v>399.53190000000001</v>
      </c>
      <c r="L17">
        <f t="shared" ref="L17:L29" si="4">((R17-H17/2)*K17-J17)/(R17+H17/2)</f>
        <v>273.22338511276098</v>
      </c>
      <c r="M17">
        <f t="shared" ref="M17:M29" si="5">L17*(BM17+BN17)/1000</f>
        <v>27.628817189633395</v>
      </c>
      <c r="N17">
        <f t="shared" ref="N17:N29" si="6">(BF17 - IF(AS17&gt;1, J17*AZ17*100/(AU17), 0))*(BM17+BN17)/1000</f>
        <v>40.401350792031195</v>
      </c>
      <c r="O17">
        <f t="shared" ref="O17:O29" si="7">2/((1/Q17-1/P17)+SIGN(Q17)*SQRT((1/Q17-1/P17)*(1/Q17-1/P17) + 4*BA17/((BA17+1)*(BA17+1))*(2*1/Q17*1/P17-1/P17*1/P17)))</f>
        <v>0.30926800270025617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2.4120573451698308</v>
      </c>
      <c r="Q17">
        <f t="shared" ref="Q17:Q29" si="9">H17*(1000-(1000*0.61365*EXP(17.502*U17/(240.97+U17))/(BM17+BN17)+BH17)/2)/(1000*0.61365*EXP(17.502*U17/(240.97+U17))/(BM17+BN17)-BH17)</f>
        <v>0.27819461538677459</v>
      </c>
      <c r="R17">
        <f t="shared" ref="R17:R29" si="10">1/((BA17+1)/(O17/1.6)+1/(P17/1.37)) + BA17/((BA17+1)/(O17/1.6) + BA17/(P17/1.37))</f>
        <v>0.17640501333828157</v>
      </c>
      <c r="S17">
        <f t="shared" ref="S17:S29" si="11">(AV17*AY17)</f>
        <v>178.04634633333333</v>
      </c>
      <c r="T17">
        <f t="shared" ref="T17:T29" si="12">(BO17+(S17+2*0.95*0.0000000567*(((BO17+$B$7)+273)^4-(BO17+273)^4)-44100*H17)/(1.84*29.3*P17+8*0.95*0.0000000567*(BO17+273)^3))</f>
        <v>27.24432579171658</v>
      </c>
      <c r="U17">
        <f t="shared" ref="U17:U29" si="13">($C$7*BP17+$D$7*BQ17+$E$7*T17)</f>
        <v>26.024609999999999</v>
      </c>
      <c r="V17">
        <f t="shared" ref="V17:V29" si="14">0.61365*EXP(17.502*U17/(240.97+U17))</f>
        <v>3.3791753446104815</v>
      </c>
      <c r="W17">
        <f t="shared" ref="W17:W29" si="15">(X17/Y17*100)</f>
        <v>71.246027577809031</v>
      </c>
      <c r="X17">
        <f t="shared" ref="X17:X29" si="16">BH17*(BM17+BN17)/1000</f>
        <v>2.5130249437491381</v>
      </c>
      <c r="Y17">
        <f t="shared" ref="Y17:Y29" si="17">0.61365*EXP(17.502*BO17/(240.97+BO17))</f>
        <v>3.5272492083921723</v>
      </c>
      <c r="Z17">
        <f t="shared" ref="Z17:Z29" si="18">(V17-BH17*(BM17+BN17)/1000)</f>
        <v>0.86615040086134343</v>
      </c>
      <c r="AA17">
        <f t="shared" ref="AA17:AA29" si="19">(-H17*44100)</f>
        <v>-108.23731030741166</v>
      </c>
      <c r="AB17">
        <f t="shared" ref="AB17:AB29" si="20">2*29.3*P17*0.92*(BO17-U17)</f>
        <v>94.521328427335789</v>
      </c>
      <c r="AC17">
        <f t="shared" ref="AC17:AC29" si="21">2*0.95*0.0000000567*(((BO17+$B$7)+273)^4-(U17+273)^4)</f>
        <v>8.4053809007549667</v>
      </c>
      <c r="AD17">
        <f t="shared" ref="AD17:AD29" si="22">S17+AC17+AA17+AB17</f>
        <v>172.73574535401244</v>
      </c>
      <c r="AE17">
        <f t="shared" ref="AE17:AE29" si="23">BL17*AS17*(BG17-BF17*(1000-AS17*BI17)/(1000-AS17*BH17))/(100*AZ17)</f>
        <v>21.455863160953665</v>
      </c>
      <c r="AF17">
        <f t="shared" ref="AF17:AF29" si="24">1000*BL17*AS17*(BH17-BI17)/(100*AZ17*(1000-AS17*BH17))</f>
        <v>2.4543607779458427</v>
      </c>
      <c r="AG17">
        <f t="shared" ref="AG17:AG29" si="25">(AH17 - AI17 - BM17*1000/(8.314*(BO17+273.15)) * AK17/BL17 * AJ17) * BL17/(100*AZ17) * (1000 - BI17)/1000</f>
        <v>21.438291624643625</v>
      </c>
      <c r="AH17">
        <v>458.93949249326261</v>
      </c>
      <c r="AI17">
        <v>409.72898181818169</v>
      </c>
      <c r="AJ17">
        <v>2.5462514940672522E-3</v>
      </c>
      <c r="AK17">
        <v>84.152210380358738</v>
      </c>
      <c r="AL17">
        <f t="shared" ref="AL17:AL29" si="26">(AN17 - AM17 + BM17*1000/(8.314*(BO17+273.15)) * AP17/BL17 * AO17) * BL17/(100*AZ17) * 1000/(1000 - AN17)</f>
        <v>2.4564298997931822</v>
      </c>
      <c r="AM17">
        <v>19.466317974487211</v>
      </c>
      <c r="AN17">
        <v>24.85523714285711</v>
      </c>
      <c r="AO17">
        <v>1.3771118686064211E-5</v>
      </c>
      <c r="AP17">
        <v>90.438520736945691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53468.6273453053</v>
      </c>
      <c r="AV17">
        <f t="shared" ref="AV17:AV29" si="30">$B$11*BU17+$C$11*BV17</f>
        <v>937.08603333333338</v>
      </c>
      <c r="AW17">
        <f t="shared" ref="AW17:AW29" si="31">AV17*AX17</f>
        <v>749.66882666666675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336</v>
      </c>
      <c r="BC17">
        <v>2</v>
      </c>
      <c r="BD17" t="b">
        <v>0</v>
      </c>
      <c r="BE17">
        <v>1750675723.25</v>
      </c>
      <c r="BF17">
        <v>399.53190000000001</v>
      </c>
      <c r="BG17">
        <v>450.00880000000001</v>
      </c>
      <c r="BH17">
        <v>24.85148666666667</v>
      </c>
      <c r="BI17">
        <v>19.46696</v>
      </c>
      <c r="BJ17">
        <v>398.32066666666663</v>
      </c>
      <c r="BK17">
        <v>24.646356666666669</v>
      </c>
      <c r="BL17">
        <v>400.04066666666671</v>
      </c>
      <c r="BM17">
        <v>101.0217</v>
      </c>
      <c r="BN17">
        <v>0.1000146666666667</v>
      </c>
      <c r="BO17">
        <v>26.751480000000001</v>
      </c>
      <c r="BP17">
        <v>26.024609999999999</v>
      </c>
      <c r="BQ17">
        <v>999.9000000000002</v>
      </c>
      <c r="BR17">
        <v>0</v>
      </c>
      <c r="BS17">
        <v>0</v>
      </c>
      <c r="BT17">
        <v>10001.35</v>
      </c>
      <c r="BU17">
        <v>937.08603333333338</v>
      </c>
      <c r="BV17">
        <v>16.4771</v>
      </c>
      <c r="BW17">
        <v>-50.476900000000001</v>
      </c>
      <c r="BX17">
        <v>409.71396666666669</v>
      </c>
      <c r="BY17">
        <v>458.94306666666671</v>
      </c>
      <c r="BZ17">
        <v>5.3845183333333342</v>
      </c>
      <c r="CA17">
        <v>450.00880000000001</v>
      </c>
      <c r="CB17">
        <v>19.46696</v>
      </c>
      <c r="CC17">
        <v>2.510540666666667</v>
      </c>
      <c r="CD17">
        <v>1.9665870000000001</v>
      </c>
      <c r="CE17">
        <v>21.09500666666667</v>
      </c>
      <c r="CF17">
        <v>17.177843333333328</v>
      </c>
      <c r="CG17">
        <v>1750675447</v>
      </c>
      <c r="CH17" t="s">
        <v>337</v>
      </c>
      <c r="CI17">
        <v>1750675447</v>
      </c>
      <c r="CJ17">
        <v>1750675440</v>
      </c>
      <c r="CK17">
        <v>3</v>
      </c>
      <c r="CL17">
        <v>-0.53500000000000003</v>
      </c>
      <c r="CM17">
        <v>0.02</v>
      </c>
      <c r="CN17">
        <v>1.657</v>
      </c>
      <c r="CO17">
        <v>0.20499999999999999</v>
      </c>
      <c r="CP17">
        <v>450</v>
      </c>
      <c r="CQ17">
        <v>19</v>
      </c>
      <c r="CR17">
        <v>0.03</v>
      </c>
      <c r="CS17">
        <v>0.02</v>
      </c>
      <c r="CT17">
        <v>-50.425807317073179</v>
      </c>
      <c r="CU17">
        <v>-0.67564390243909089</v>
      </c>
      <c r="CV17">
        <v>8.4086805873871434E-2</v>
      </c>
      <c r="CW17">
        <v>0</v>
      </c>
      <c r="CX17">
        <v>0</v>
      </c>
      <c r="CY17">
        <v>0</v>
      </c>
      <c r="CZ17">
        <v>0</v>
      </c>
      <c r="DA17">
        <v>-1</v>
      </c>
      <c r="DB17">
        <v>5.379764146341464</v>
      </c>
      <c r="DC17">
        <v>7.3636933797904522E-2</v>
      </c>
      <c r="DD17">
        <v>7.3864361437307874E-3</v>
      </c>
      <c r="DE17">
        <v>1</v>
      </c>
      <c r="DF17">
        <v>1</v>
      </c>
      <c r="DG17">
        <v>2</v>
      </c>
      <c r="DH17" t="s">
        <v>338</v>
      </c>
      <c r="DI17">
        <v>3.0248599999999999</v>
      </c>
      <c r="DJ17">
        <v>2.6912600000000002</v>
      </c>
      <c r="DK17">
        <v>9.2802200000000001E-2</v>
      </c>
      <c r="DL17">
        <v>0.10223699999999999</v>
      </c>
      <c r="DM17">
        <v>0.122367</v>
      </c>
      <c r="DN17">
        <v>0.10403800000000001</v>
      </c>
      <c r="DO17">
        <v>25290.400000000001</v>
      </c>
      <c r="DP17">
        <v>16825.2</v>
      </c>
      <c r="DQ17">
        <v>26450.3</v>
      </c>
      <c r="DR17">
        <v>17033.099999999999</v>
      </c>
      <c r="DS17">
        <v>33010.6</v>
      </c>
      <c r="DT17">
        <v>19910.7</v>
      </c>
      <c r="DU17">
        <v>38529.5</v>
      </c>
      <c r="DV17">
        <v>22546.400000000001</v>
      </c>
      <c r="DW17">
        <v>1.80548</v>
      </c>
      <c r="DX17">
        <v>2.17272</v>
      </c>
      <c r="DY17">
        <v>7.0214299999999993E-2</v>
      </c>
      <c r="DZ17">
        <v>0</v>
      </c>
      <c r="EA17">
        <v>24.874400000000001</v>
      </c>
      <c r="EB17">
        <v>999.9</v>
      </c>
      <c r="EC17">
        <v>60.1</v>
      </c>
      <c r="ED17">
        <v>32.799999999999997</v>
      </c>
      <c r="EE17">
        <v>29.72</v>
      </c>
      <c r="EF17">
        <v>62.631900000000002</v>
      </c>
      <c r="EG17">
        <v>37.451900000000002</v>
      </c>
      <c r="EH17">
        <v>1</v>
      </c>
      <c r="EI17">
        <v>3.5579300000000001E-2</v>
      </c>
      <c r="EJ17">
        <v>-9.4597000000000001E-2</v>
      </c>
      <c r="EK17">
        <v>20.327300000000001</v>
      </c>
      <c r="EL17">
        <v>5.2528699999999997</v>
      </c>
      <c r="EM17">
        <v>11.962</v>
      </c>
      <c r="EN17">
        <v>4.9897600000000004</v>
      </c>
      <c r="EO17">
        <v>3.2913399999999999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1.87195</v>
      </c>
      <c r="EV17">
        <v>1.8722099999999999</v>
      </c>
      <c r="EW17">
        <v>1.8772899999999999</v>
      </c>
      <c r="EX17">
        <v>1.87138</v>
      </c>
      <c r="EY17">
        <v>1.8721300000000001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1.2110000000000001</v>
      </c>
      <c r="FP17">
        <v>0.20519999999999999</v>
      </c>
      <c r="FQ17">
        <v>-2.0849964505683412</v>
      </c>
      <c r="FR17">
        <v>7.6898218637449396E-3</v>
      </c>
      <c r="FS17">
        <v>1.5097418776848419E-6</v>
      </c>
      <c r="FT17">
        <v>-9.8458676114205118E-11</v>
      </c>
      <c r="FU17">
        <v>0.20512499999999889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4.7</v>
      </c>
      <c r="GD17">
        <v>4.8</v>
      </c>
      <c r="GE17">
        <v>1.1035200000000001</v>
      </c>
      <c r="GF17">
        <v>2.6355</v>
      </c>
      <c r="GG17">
        <v>1.7981</v>
      </c>
      <c r="GH17">
        <v>2.3791500000000001</v>
      </c>
      <c r="GI17">
        <v>1.5979000000000001</v>
      </c>
      <c r="GJ17">
        <v>2.5415000000000001</v>
      </c>
      <c r="GK17">
        <v>36.034700000000001</v>
      </c>
      <c r="GL17">
        <v>24.1663</v>
      </c>
      <c r="GM17">
        <v>18</v>
      </c>
      <c r="GN17">
        <v>367.96899999999999</v>
      </c>
      <c r="GO17">
        <v>655.89700000000005</v>
      </c>
      <c r="GP17">
        <v>25.830100000000002</v>
      </c>
      <c r="GQ17">
        <v>27.523599999999998</v>
      </c>
      <c r="GR17">
        <v>30.0001</v>
      </c>
      <c r="GS17">
        <v>27.470700000000001</v>
      </c>
      <c r="GT17">
        <v>27.4908</v>
      </c>
      <c r="GU17">
        <v>22.031400000000001</v>
      </c>
      <c r="GV17">
        <v>41.563200000000002</v>
      </c>
      <c r="GW17">
        <v>0</v>
      </c>
      <c r="GX17">
        <v>25.83</v>
      </c>
      <c r="GY17">
        <v>450</v>
      </c>
      <c r="GZ17">
        <v>19.5</v>
      </c>
      <c r="HA17">
        <v>100.505</v>
      </c>
      <c r="HB17">
        <v>70.409700000000001</v>
      </c>
    </row>
    <row r="18" spans="1:210" x14ac:dyDescent="0.3">
      <c r="A18">
        <v>2</v>
      </c>
      <c r="B18">
        <v>1750675911.5</v>
      </c>
      <c r="C18">
        <v>180.5</v>
      </c>
      <c r="D18" t="s">
        <v>342</v>
      </c>
      <c r="E18" t="s">
        <v>343</v>
      </c>
      <c r="F18">
        <v>15</v>
      </c>
      <c r="G18">
        <v>1750675903.75</v>
      </c>
      <c r="H18">
        <f t="shared" si="0"/>
        <v>2.5674285006923392E-3</v>
      </c>
      <c r="I18">
        <f t="shared" si="1"/>
        <v>2.5674285006923392</v>
      </c>
      <c r="J18">
        <f t="shared" si="2"/>
        <v>14.366985025360162</v>
      </c>
      <c r="K18">
        <f t="shared" si="3"/>
        <v>266.13333333333333</v>
      </c>
      <c r="L18">
        <f t="shared" si="4"/>
        <v>187.50033869243919</v>
      </c>
      <c r="M18">
        <f t="shared" si="5"/>
        <v>18.961330541546015</v>
      </c>
      <c r="N18">
        <f t="shared" si="6"/>
        <v>26.913242592773329</v>
      </c>
      <c r="O18">
        <f t="shared" si="7"/>
        <v>0.33577737044849987</v>
      </c>
      <c r="P18">
        <f t="shared" si="8"/>
        <v>2.4126299172032137</v>
      </c>
      <c r="Q18">
        <f t="shared" si="9"/>
        <v>0.29948740501129156</v>
      </c>
      <c r="R18">
        <f t="shared" si="10"/>
        <v>0.19011511774221451</v>
      </c>
      <c r="S18">
        <f t="shared" si="11"/>
        <v>177.98736400000001</v>
      </c>
      <c r="T18">
        <f t="shared" si="12"/>
        <v>27.214741372539603</v>
      </c>
      <c r="U18">
        <f t="shared" si="13"/>
        <v>26.02284666666667</v>
      </c>
      <c r="V18">
        <f t="shared" si="14"/>
        <v>3.3788228349453475</v>
      </c>
      <c r="W18">
        <f t="shared" si="15"/>
        <v>71.906750616891614</v>
      </c>
      <c r="X18">
        <f t="shared" si="16"/>
        <v>2.5372462825234186</v>
      </c>
      <c r="Y18">
        <f t="shared" si="17"/>
        <v>3.528523067384155</v>
      </c>
      <c r="Z18">
        <f t="shared" si="18"/>
        <v>0.84157655242192897</v>
      </c>
      <c r="AA18">
        <f t="shared" si="19"/>
        <v>-113.22359688053216</v>
      </c>
      <c r="AB18">
        <f t="shared" si="20"/>
        <v>95.571316478808853</v>
      </c>
      <c r="AC18">
        <f t="shared" si="21"/>
        <v>8.496921387952197</v>
      </c>
      <c r="AD18">
        <f t="shared" si="22"/>
        <v>168.83200498622892</v>
      </c>
      <c r="AE18">
        <f t="shared" si="23"/>
        <v>14.366985025360162</v>
      </c>
      <c r="AF18">
        <f t="shared" si="24"/>
        <v>2.5674285006923392</v>
      </c>
      <c r="AG18">
        <f t="shared" si="25"/>
        <v>14.387557367175251</v>
      </c>
      <c r="AH18">
        <v>305.93687528058501</v>
      </c>
      <c r="AI18">
        <v>272.9285212121211</v>
      </c>
      <c r="AJ18">
        <v>-4.5956132327380718E-4</v>
      </c>
      <c r="AK18">
        <v>84.152210380358738</v>
      </c>
      <c r="AL18">
        <f t="shared" si="26"/>
        <v>2.5740395781254204</v>
      </c>
      <c r="AM18">
        <v>19.458297604751319</v>
      </c>
      <c r="AN18">
        <v>25.10407398496239</v>
      </c>
      <c r="AO18">
        <v>5.9630800219435879E-6</v>
      </c>
      <c r="AP18">
        <v>90.438520736945691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53486.777976540201</v>
      </c>
      <c r="AV18">
        <f t="shared" si="30"/>
        <v>936.77560000000005</v>
      </c>
      <c r="AW18">
        <f t="shared" si="31"/>
        <v>749.42048000000011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336</v>
      </c>
      <c r="BC18">
        <v>2</v>
      </c>
      <c r="BD18" t="b">
        <v>0</v>
      </c>
      <c r="BE18">
        <v>1750675903.75</v>
      </c>
      <c r="BF18">
        <v>266.13333333333333</v>
      </c>
      <c r="BG18">
        <v>299.99423333333328</v>
      </c>
      <c r="BH18">
        <v>25.089723333333339</v>
      </c>
      <c r="BI18">
        <v>19.458310000000001</v>
      </c>
      <c r="BJ18">
        <v>266.06740000000002</v>
      </c>
      <c r="BK18">
        <v>24.884593333333331</v>
      </c>
      <c r="BL18">
        <v>400.02589999999998</v>
      </c>
      <c r="BM18">
        <v>101.0269</v>
      </c>
      <c r="BN18">
        <v>0.10001355000000001</v>
      </c>
      <c r="BO18">
        <v>26.757616666666671</v>
      </c>
      <c r="BP18">
        <v>26.02284666666667</v>
      </c>
      <c r="BQ18">
        <v>999.9000000000002</v>
      </c>
      <c r="BR18">
        <v>0</v>
      </c>
      <c r="BS18">
        <v>0</v>
      </c>
      <c r="BT18">
        <v>10004.566666666669</v>
      </c>
      <c r="BU18">
        <v>936.77560000000005</v>
      </c>
      <c r="BV18">
        <v>16.4771</v>
      </c>
      <c r="BW18">
        <v>-33.860789999999987</v>
      </c>
      <c r="BX18">
        <v>272.98246666666671</v>
      </c>
      <c r="BY18">
        <v>305.94729999999998</v>
      </c>
      <c r="BZ18">
        <v>5.6314056666666659</v>
      </c>
      <c r="CA18">
        <v>299.99423333333328</v>
      </c>
      <c r="CB18">
        <v>19.458310000000001</v>
      </c>
      <c r="CC18">
        <v>2.534735</v>
      </c>
      <c r="CD18">
        <v>1.965811666666667</v>
      </c>
      <c r="CE18">
        <v>21.251280000000001</v>
      </c>
      <c r="CF18">
        <v>17.171616666666669</v>
      </c>
      <c r="CG18">
        <v>1750675447</v>
      </c>
      <c r="CH18" t="s">
        <v>337</v>
      </c>
      <c r="CI18">
        <v>1750675447</v>
      </c>
      <c r="CJ18">
        <v>1750675440</v>
      </c>
      <c r="CK18">
        <v>3</v>
      </c>
      <c r="CL18">
        <v>-0.53500000000000003</v>
      </c>
      <c r="CM18">
        <v>0.02</v>
      </c>
      <c r="CN18">
        <v>1.657</v>
      </c>
      <c r="CO18">
        <v>0.20499999999999999</v>
      </c>
      <c r="CP18">
        <v>450</v>
      </c>
      <c r="CQ18">
        <v>19</v>
      </c>
      <c r="CR18">
        <v>0.03</v>
      </c>
      <c r="CS18">
        <v>0.02</v>
      </c>
      <c r="CT18">
        <v>-33.837040000000002</v>
      </c>
      <c r="CU18">
        <v>-0.6079407129455725</v>
      </c>
      <c r="CV18">
        <v>6.2322904296896263E-2</v>
      </c>
      <c r="CW18">
        <v>0</v>
      </c>
      <c r="CX18">
        <v>0</v>
      </c>
      <c r="CY18">
        <v>0</v>
      </c>
      <c r="CZ18">
        <v>0</v>
      </c>
      <c r="DA18">
        <v>-1</v>
      </c>
      <c r="DB18">
        <v>5.6266005000000003</v>
      </c>
      <c r="DC18">
        <v>0.1186185365853594</v>
      </c>
      <c r="DD18">
        <v>1.145752328166961E-2</v>
      </c>
      <c r="DE18">
        <v>0</v>
      </c>
      <c r="DF18">
        <v>0</v>
      </c>
      <c r="DG18">
        <v>2</v>
      </c>
      <c r="DH18" t="s">
        <v>344</v>
      </c>
      <c r="DI18">
        <v>3.02501</v>
      </c>
      <c r="DJ18">
        <v>2.6916099999999998</v>
      </c>
      <c r="DK18">
        <v>6.7219100000000004E-2</v>
      </c>
      <c r="DL18">
        <v>7.4594400000000005E-2</v>
      </c>
      <c r="DM18">
        <v>0.12322900000000001</v>
      </c>
      <c r="DN18">
        <v>0.10401199999999999</v>
      </c>
      <c r="DO18">
        <v>26005</v>
      </c>
      <c r="DP18">
        <v>17343.5</v>
      </c>
      <c r="DQ18">
        <v>26451.7</v>
      </c>
      <c r="DR18">
        <v>17033.3</v>
      </c>
      <c r="DS18">
        <v>32978.6</v>
      </c>
      <c r="DT18">
        <v>19910.8</v>
      </c>
      <c r="DU18">
        <v>38531.800000000003</v>
      </c>
      <c r="DV18">
        <v>22546.3</v>
      </c>
      <c r="DW18">
        <v>1.80572</v>
      </c>
      <c r="DX18">
        <v>2.1726200000000002</v>
      </c>
      <c r="DY18">
        <v>7.01547E-2</v>
      </c>
      <c r="DZ18">
        <v>0</v>
      </c>
      <c r="EA18">
        <v>24.866</v>
      </c>
      <c r="EB18">
        <v>999.9</v>
      </c>
      <c r="EC18">
        <v>60.1</v>
      </c>
      <c r="ED18">
        <v>32.799999999999997</v>
      </c>
      <c r="EE18">
        <v>29.717700000000001</v>
      </c>
      <c r="EF18">
        <v>62.841999999999999</v>
      </c>
      <c r="EG18">
        <v>37.403799999999997</v>
      </c>
      <c r="EH18">
        <v>1</v>
      </c>
      <c r="EI18">
        <v>3.4501999999999998E-2</v>
      </c>
      <c r="EJ18">
        <v>-9.4884499999999997E-2</v>
      </c>
      <c r="EK18">
        <v>20.327100000000002</v>
      </c>
      <c r="EL18">
        <v>5.2526299999999999</v>
      </c>
      <c r="EM18">
        <v>11.962</v>
      </c>
      <c r="EN18">
        <v>4.9896799999999999</v>
      </c>
      <c r="EO18">
        <v>3.2913399999999999</v>
      </c>
      <c r="EP18">
        <v>9999</v>
      </c>
      <c r="EQ18">
        <v>9999</v>
      </c>
      <c r="ER18">
        <v>9999</v>
      </c>
      <c r="ES18">
        <v>999.9</v>
      </c>
      <c r="ET18">
        <v>4.9727100000000002</v>
      </c>
      <c r="EU18">
        <v>1.87195</v>
      </c>
      <c r="EV18">
        <v>1.8722000000000001</v>
      </c>
      <c r="EW18">
        <v>1.87727</v>
      </c>
      <c r="EX18">
        <v>1.87137</v>
      </c>
      <c r="EY18">
        <v>1.87212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6.5000000000000002E-2</v>
      </c>
      <c r="FP18">
        <v>0.2051</v>
      </c>
      <c r="FQ18">
        <v>-2.0849964505683412</v>
      </c>
      <c r="FR18">
        <v>7.6898218637449396E-3</v>
      </c>
      <c r="FS18">
        <v>1.5097418776848419E-6</v>
      </c>
      <c r="FT18">
        <v>-9.8458676114205118E-11</v>
      </c>
      <c r="FU18">
        <v>0.20512499999999889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7.7</v>
      </c>
      <c r="GD18">
        <v>7.9</v>
      </c>
      <c r="GE18">
        <v>0.80078099999999997</v>
      </c>
      <c r="GF18">
        <v>2.6293899999999999</v>
      </c>
      <c r="GG18">
        <v>1.7981</v>
      </c>
      <c r="GH18">
        <v>2.3803700000000001</v>
      </c>
      <c r="GI18">
        <v>1.5979000000000001</v>
      </c>
      <c r="GJ18">
        <v>2.5781200000000002</v>
      </c>
      <c r="GK18">
        <v>35.987900000000003</v>
      </c>
      <c r="GL18">
        <v>24.1663</v>
      </c>
      <c r="GM18">
        <v>18</v>
      </c>
      <c r="GN18">
        <v>368.024</v>
      </c>
      <c r="GO18">
        <v>655.697</v>
      </c>
      <c r="GP18">
        <v>25.829899999999999</v>
      </c>
      <c r="GQ18">
        <v>27.5106</v>
      </c>
      <c r="GR18">
        <v>30</v>
      </c>
      <c r="GS18">
        <v>27.4603</v>
      </c>
      <c r="GT18">
        <v>27.4815</v>
      </c>
      <c r="GU18">
        <v>15.9869</v>
      </c>
      <c r="GV18">
        <v>41.292200000000001</v>
      </c>
      <c r="GW18">
        <v>0</v>
      </c>
      <c r="GX18">
        <v>25.83</v>
      </c>
      <c r="GY18">
        <v>300</v>
      </c>
      <c r="GZ18">
        <v>19.5</v>
      </c>
      <c r="HA18">
        <v>100.511</v>
      </c>
      <c r="HB18">
        <v>70.409800000000004</v>
      </c>
    </row>
    <row r="19" spans="1:210" x14ac:dyDescent="0.3">
      <c r="A19">
        <v>3</v>
      </c>
      <c r="B19">
        <v>1750676092</v>
      </c>
      <c r="C19">
        <v>361</v>
      </c>
      <c r="D19" t="s">
        <v>345</v>
      </c>
      <c r="E19" t="s">
        <v>346</v>
      </c>
      <c r="F19">
        <v>15</v>
      </c>
      <c r="G19">
        <v>1750676084.25</v>
      </c>
      <c r="H19">
        <f t="shared" si="0"/>
        <v>2.7299812449275975E-3</v>
      </c>
      <c r="I19">
        <f t="shared" si="1"/>
        <v>2.7299812449275977</v>
      </c>
      <c r="J19">
        <f t="shared" si="2"/>
        <v>9.1775001843234989</v>
      </c>
      <c r="K19">
        <f t="shared" si="3"/>
        <v>178.26203333333339</v>
      </c>
      <c r="L19">
        <f t="shared" si="4"/>
        <v>133.485781951604</v>
      </c>
      <c r="M19">
        <f t="shared" si="5"/>
        <v>13.500442122924913</v>
      </c>
      <c r="N19">
        <f t="shared" si="6"/>
        <v>18.029008247515911</v>
      </c>
      <c r="O19">
        <f t="shared" si="7"/>
        <v>0.38388094893179475</v>
      </c>
      <c r="P19">
        <f t="shared" si="8"/>
        <v>2.4112172900568756</v>
      </c>
      <c r="Q19">
        <f t="shared" si="9"/>
        <v>0.33718976767257902</v>
      </c>
      <c r="R19">
        <f t="shared" si="10"/>
        <v>0.21446710549511191</v>
      </c>
      <c r="S19">
        <f t="shared" si="11"/>
        <v>177.94733733333337</v>
      </c>
      <c r="T19">
        <f t="shared" si="12"/>
        <v>27.162506285357807</v>
      </c>
      <c r="U19">
        <f t="shared" si="13"/>
        <v>26.00946333333334</v>
      </c>
      <c r="V19">
        <f t="shared" si="14"/>
        <v>3.376148406661402</v>
      </c>
      <c r="W19">
        <f t="shared" si="15"/>
        <v>73.165625373522687</v>
      </c>
      <c r="X19">
        <f t="shared" si="16"/>
        <v>2.5814269853985858</v>
      </c>
      <c r="Y19">
        <f t="shared" si="17"/>
        <v>3.5281964340767566</v>
      </c>
      <c r="Z19">
        <f t="shared" si="18"/>
        <v>0.7947214212628162</v>
      </c>
      <c r="AA19">
        <f t="shared" si="19"/>
        <v>-120.39217290130705</v>
      </c>
      <c r="AB19">
        <f t="shared" si="20"/>
        <v>97.050581976986436</v>
      </c>
      <c r="AC19">
        <f t="shared" si="21"/>
        <v>8.6328463703947858</v>
      </c>
      <c r="AD19">
        <f t="shared" si="22"/>
        <v>163.23859277940755</v>
      </c>
      <c r="AE19">
        <f t="shared" si="23"/>
        <v>9.1775001843234989</v>
      </c>
      <c r="AF19">
        <f t="shared" si="24"/>
        <v>2.7299812449275977</v>
      </c>
      <c r="AG19">
        <f t="shared" si="25"/>
        <v>9.1886969359706221</v>
      </c>
      <c r="AH19">
        <v>203.99010831236109</v>
      </c>
      <c r="AI19">
        <v>182.90408484848481</v>
      </c>
      <c r="AJ19">
        <v>-4.3278008609753489E-5</v>
      </c>
      <c r="AK19">
        <v>84.152210380358738</v>
      </c>
      <c r="AL19">
        <f t="shared" si="26"/>
        <v>2.7385269744531531</v>
      </c>
      <c r="AM19">
        <v>19.539265792208091</v>
      </c>
      <c r="AN19">
        <v>25.542554887218039</v>
      </c>
      <c r="AO19">
        <v>1.050966665146863E-4</v>
      </c>
      <c r="AP19">
        <v>90.438520736945691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53440.088974872968</v>
      </c>
      <c r="AV19">
        <f t="shared" si="30"/>
        <v>936.56493333333344</v>
      </c>
      <c r="AW19">
        <f t="shared" si="31"/>
        <v>749.25194666666675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336</v>
      </c>
      <c r="BC19">
        <v>2</v>
      </c>
      <c r="BD19" t="b">
        <v>0</v>
      </c>
      <c r="BE19">
        <v>1750676084.25</v>
      </c>
      <c r="BF19">
        <v>178.26203333333339</v>
      </c>
      <c r="BG19">
        <v>200.00620000000001</v>
      </c>
      <c r="BH19">
        <v>25.523890000000009</v>
      </c>
      <c r="BI19">
        <v>19.538260000000001</v>
      </c>
      <c r="BJ19">
        <v>178.92323333333329</v>
      </c>
      <c r="BK19">
        <v>25.318776666666668</v>
      </c>
      <c r="BL19">
        <v>400.00323333333318</v>
      </c>
      <c r="BM19">
        <v>101.0376333333333</v>
      </c>
      <c r="BN19">
        <v>0.1000453433333333</v>
      </c>
      <c r="BO19">
        <v>26.756043333333331</v>
      </c>
      <c r="BP19">
        <v>26.00946333333334</v>
      </c>
      <c r="BQ19">
        <v>999.9000000000002</v>
      </c>
      <c r="BR19">
        <v>0</v>
      </c>
      <c r="BS19">
        <v>0</v>
      </c>
      <c r="BT19">
        <v>9994.2999999999993</v>
      </c>
      <c r="BU19">
        <v>936.56493333333344</v>
      </c>
      <c r="BV19">
        <v>16.4771</v>
      </c>
      <c r="BW19">
        <v>-21.744256666666669</v>
      </c>
      <c r="BX19">
        <v>182.93106666666671</v>
      </c>
      <c r="BY19">
        <v>203.99183333333329</v>
      </c>
      <c r="BZ19">
        <v>5.9856366666666663</v>
      </c>
      <c r="CA19">
        <v>200.00620000000001</v>
      </c>
      <c r="CB19">
        <v>19.538260000000001</v>
      </c>
      <c r="CC19">
        <v>2.5788726666666668</v>
      </c>
      <c r="CD19">
        <v>1.974099333333333</v>
      </c>
      <c r="CE19">
        <v>21.53303</v>
      </c>
      <c r="CF19">
        <v>17.238103333333331</v>
      </c>
      <c r="CG19">
        <v>1750675447</v>
      </c>
      <c r="CH19" t="s">
        <v>337</v>
      </c>
      <c r="CI19">
        <v>1750675447</v>
      </c>
      <c r="CJ19">
        <v>1750675440</v>
      </c>
      <c r="CK19">
        <v>3</v>
      </c>
      <c r="CL19">
        <v>-0.53500000000000003</v>
      </c>
      <c r="CM19">
        <v>0.02</v>
      </c>
      <c r="CN19">
        <v>1.657</v>
      </c>
      <c r="CO19">
        <v>0.20499999999999999</v>
      </c>
      <c r="CP19">
        <v>450</v>
      </c>
      <c r="CQ19">
        <v>19</v>
      </c>
      <c r="CR19">
        <v>0.03</v>
      </c>
      <c r="CS19">
        <v>0.02</v>
      </c>
      <c r="CT19">
        <v>-21.714839999999999</v>
      </c>
      <c r="CU19">
        <v>-0.49038348968103712</v>
      </c>
      <c r="CV19">
        <v>5.4421676747413779E-2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5.9778377500000008</v>
      </c>
      <c r="DC19">
        <v>0.15804168855533121</v>
      </c>
      <c r="DD19">
        <v>1.5245005655541721E-2</v>
      </c>
      <c r="DE19">
        <v>0</v>
      </c>
      <c r="DF19">
        <v>1</v>
      </c>
      <c r="DG19">
        <v>2</v>
      </c>
      <c r="DH19" t="s">
        <v>338</v>
      </c>
      <c r="DI19">
        <v>3.0248200000000001</v>
      </c>
      <c r="DJ19">
        <v>2.6917300000000002</v>
      </c>
      <c r="DK19">
        <v>4.7607499999999997E-2</v>
      </c>
      <c r="DL19">
        <v>5.2831400000000001E-2</v>
      </c>
      <c r="DM19">
        <v>0.124751</v>
      </c>
      <c r="DN19">
        <v>0.10431799999999999</v>
      </c>
      <c r="DO19">
        <v>26551.5</v>
      </c>
      <c r="DP19">
        <v>17751.099999999999</v>
      </c>
      <c r="DQ19">
        <v>26451.5</v>
      </c>
      <c r="DR19">
        <v>17033.099999999999</v>
      </c>
      <c r="DS19">
        <v>32919</v>
      </c>
      <c r="DT19">
        <v>19903.2</v>
      </c>
      <c r="DU19">
        <v>38531.5</v>
      </c>
      <c r="DV19">
        <v>22545.9</v>
      </c>
      <c r="DW19">
        <v>1.8060799999999999</v>
      </c>
      <c r="DX19">
        <v>2.1728800000000001</v>
      </c>
      <c r="DY19">
        <v>6.9588399999999995E-2</v>
      </c>
      <c r="DZ19">
        <v>0</v>
      </c>
      <c r="EA19">
        <v>24.866</v>
      </c>
      <c r="EB19">
        <v>999.9</v>
      </c>
      <c r="EC19">
        <v>60.1</v>
      </c>
      <c r="ED19">
        <v>32.799999999999997</v>
      </c>
      <c r="EE19">
        <v>29.715299999999999</v>
      </c>
      <c r="EF19">
        <v>62.682000000000002</v>
      </c>
      <c r="EG19">
        <v>37.608199999999997</v>
      </c>
      <c r="EH19">
        <v>1</v>
      </c>
      <c r="EI19">
        <v>3.3859800000000002E-2</v>
      </c>
      <c r="EJ19">
        <v>-9.5853999999999995E-2</v>
      </c>
      <c r="EK19">
        <v>20.327500000000001</v>
      </c>
      <c r="EL19">
        <v>5.2521500000000003</v>
      </c>
      <c r="EM19">
        <v>11.962</v>
      </c>
      <c r="EN19">
        <v>4.9897600000000004</v>
      </c>
      <c r="EO19">
        <v>3.2913800000000002</v>
      </c>
      <c r="EP19">
        <v>9999</v>
      </c>
      <c r="EQ19">
        <v>9999</v>
      </c>
      <c r="ER19">
        <v>9999</v>
      </c>
      <c r="ES19">
        <v>999.9</v>
      </c>
      <c r="ET19">
        <v>4.9726900000000001</v>
      </c>
      <c r="EU19">
        <v>1.87195</v>
      </c>
      <c r="EV19">
        <v>1.8722099999999999</v>
      </c>
      <c r="EW19">
        <v>1.8772599999999999</v>
      </c>
      <c r="EX19">
        <v>1.87138</v>
      </c>
      <c r="EY19">
        <v>1.8721300000000001</v>
      </c>
      <c r="EZ19">
        <v>1.8717999999999999</v>
      </c>
      <c r="FA19">
        <v>1.8687499999999999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-0.66200000000000003</v>
      </c>
      <c r="FP19">
        <v>0.2051</v>
      </c>
      <c r="FQ19">
        <v>-2.0849964505683412</v>
      </c>
      <c r="FR19">
        <v>7.6898218637449396E-3</v>
      </c>
      <c r="FS19">
        <v>1.5097418776848419E-6</v>
      </c>
      <c r="FT19">
        <v>-9.8458676114205118E-11</v>
      </c>
      <c r="FU19">
        <v>0.20512499999999889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10.8</v>
      </c>
      <c r="GD19">
        <v>10.9</v>
      </c>
      <c r="GE19">
        <v>0.58837899999999999</v>
      </c>
      <c r="GF19">
        <v>2.63794</v>
      </c>
      <c r="GG19">
        <v>1.7981</v>
      </c>
      <c r="GH19">
        <v>2.3791500000000001</v>
      </c>
      <c r="GI19">
        <v>1.5979000000000001</v>
      </c>
      <c r="GJ19">
        <v>2.5769000000000002</v>
      </c>
      <c r="GK19">
        <v>35.964500000000001</v>
      </c>
      <c r="GL19">
        <v>24.1663</v>
      </c>
      <c r="GM19">
        <v>18</v>
      </c>
      <c r="GN19">
        <v>368.15600000000001</v>
      </c>
      <c r="GO19">
        <v>655.803</v>
      </c>
      <c r="GP19">
        <v>25.829899999999999</v>
      </c>
      <c r="GQ19">
        <v>27.501200000000001</v>
      </c>
      <c r="GR19">
        <v>30.0001</v>
      </c>
      <c r="GS19">
        <v>27.452300000000001</v>
      </c>
      <c r="GT19">
        <v>27.472100000000001</v>
      </c>
      <c r="GU19">
        <v>11.733499999999999</v>
      </c>
      <c r="GV19">
        <v>41.0167</v>
      </c>
      <c r="GW19">
        <v>0</v>
      </c>
      <c r="GX19">
        <v>25.83</v>
      </c>
      <c r="GY19">
        <v>200</v>
      </c>
      <c r="GZ19">
        <v>19.5</v>
      </c>
      <c r="HA19">
        <v>100.51</v>
      </c>
      <c r="HB19">
        <v>70.408799999999999</v>
      </c>
    </row>
    <row r="20" spans="1:210" x14ac:dyDescent="0.3">
      <c r="A20">
        <v>4</v>
      </c>
      <c r="B20">
        <v>1750676272.5999999</v>
      </c>
      <c r="C20">
        <v>541.59999990463257</v>
      </c>
      <c r="D20" t="s">
        <v>347</v>
      </c>
      <c r="E20" t="s">
        <v>348</v>
      </c>
      <c r="F20">
        <v>15</v>
      </c>
      <c r="G20">
        <v>1750676264.849999</v>
      </c>
      <c r="H20">
        <f t="shared" si="0"/>
        <v>2.9152541264738799E-3</v>
      </c>
      <c r="I20">
        <f t="shared" si="1"/>
        <v>2.9152541264738798</v>
      </c>
      <c r="J20">
        <f t="shared" si="2"/>
        <v>4.9257773725625951</v>
      </c>
      <c r="K20">
        <f t="shared" si="3"/>
        <v>113.1803666666667</v>
      </c>
      <c r="L20">
        <f t="shared" si="4"/>
        <v>91.601720043155296</v>
      </c>
      <c r="M20">
        <f t="shared" si="5"/>
        <v>9.2646592183189025</v>
      </c>
      <c r="N20">
        <f t="shared" si="6"/>
        <v>11.447137967246055</v>
      </c>
      <c r="O20">
        <f t="shared" si="7"/>
        <v>0.43999929760348266</v>
      </c>
      <c r="P20">
        <f t="shared" si="8"/>
        <v>2.41202728156901</v>
      </c>
      <c r="Q20">
        <f t="shared" si="9"/>
        <v>0.37980984776783833</v>
      </c>
      <c r="R20">
        <f t="shared" si="10"/>
        <v>0.24210384345998626</v>
      </c>
      <c r="S20">
        <f t="shared" si="11"/>
        <v>177.92059799999998</v>
      </c>
      <c r="T20">
        <f t="shared" si="12"/>
        <v>27.101452690000574</v>
      </c>
      <c r="U20">
        <f t="shared" si="13"/>
        <v>25.996929999999999</v>
      </c>
      <c r="V20">
        <f t="shared" si="14"/>
        <v>3.3736455128633112</v>
      </c>
      <c r="W20">
        <f t="shared" si="15"/>
        <v>74.281831597693269</v>
      </c>
      <c r="X20">
        <f t="shared" si="16"/>
        <v>2.6203376104557785</v>
      </c>
      <c r="Y20">
        <f t="shared" si="17"/>
        <v>3.5275619274540744</v>
      </c>
      <c r="Z20">
        <f t="shared" si="18"/>
        <v>0.75330790240753265</v>
      </c>
      <c r="AA20">
        <f t="shared" si="19"/>
        <v>-128.5627069774981</v>
      </c>
      <c r="AB20">
        <f t="shared" si="20"/>
        <v>98.31550316729097</v>
      </c>
      <c r="AC20">
        <f t="shared" si="21"/>
        <v>8.7417443559067927</v>
      </c>
      <c r="AD20">
        <f t="shared" si="22"/>
        <v>156.41513854569968</v>
      </c>
      <c r="AE20">
        <f t="shared" si="23"/>
        <v>4.9257773725625951</v>
      </c>
      <c r="AF20">
        <f t="shared" si="24"/>
        <v>2.9152541264738798</v>
      </c>
      <c r="AG20">
        <f t="shared" si="25"/>
        <v>4.9500435793731246</v>
      </c>
      <c r="AH20">
        <v>127.52855978703001</v>
      </c>
      <c r="AI20">
        <v>116.1695454545454</v>
      </c>
      <c r="AJ20">
        <v>7.8851729294645353E-5</v>
      </c>
      <c r="AK20">
        <v>84.152210380358738</v>
      </c>
      <c r="AL20">
        <f t="shared" si="26"/>
        <v>2.9226030622188697</v>
      </c>
      <c r="AM20">
        <v>19.517410533654971</v>
      </c>
      <c r="AN20">
        <v>25.92215744360902</v>
      </c>
      <c r="AO20">
        <v>1.066414049409494E-5</v>
      </c>
      <c r="AP20">
        <v>90.438520736945691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53467.762917380336</v>
      </c>
      <c r="AV20">
        <f t="shared" si="30"/>
        <v>936.42419999999993</v>
      </c>
      <c r="AW20">
        <f t="shared" si="31"/>
        <v>749.13936000000001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336</v>
      </c>
      <c r="BC20">
        <v>2</v>
      </c>
      <c r="BD20" t="b">
        <v>0</v>
      </c>
      <c r="BE20">
        <v>1750676264.849999</v>
      </c>
      <c r="BF20">
        <v>113.1803666666667</v>
      </c>
      <c r="BG20">
        <v>125.00473333333331</v>
      </c>
      <c r="BH20">
        <v>25.907853333333328</v>
      </c>
      <c r="BI20">
        <v>19.519020000000001</v>
      </c>
      <c r="BJ20">
        <v>114.3664</v>
      </c>
      <c r="BK20">
        <v>25.70272666666666</v>
      </c>
      <c r="BL20">
        <v>400.03446666666662</v>
      </c>
      <c r="BM20">
        <v>101.0406</v>
      </c>
      <c r="BN20">
        <v>0.10006869</v>
      </c>
      <c r="BO20">
        <v>26.752986666666668</v>
      </c>
      <c r="BP20">
        <v>25.996929999999999</v>
      </c>
      <c r="BQ20">
        <v>999.9000000000002</v>
      </c>
      <c r="BR20">
        <v>0</v>
      </c>
      <c r="BS20">
        <v>0</v>
      </c>
      <c r="BT20">
        <v>9999.2833333333328</v>
      </c>
      <c r="BU20">
        <v>936.42419999999993</v>
      </c>
      <c r="BV20">
        <v>16.4771</v>
      </c>
      <c r="BW20">
        <v>-11.82436333333334</v>
      </c>
      <c r="BX20">
        <v>116.1907333333333</v>
      </c>
      <c r="BY20">
        <v>127.4932666666667</v>
      </c>
      <c r="BZ20">
        <v>6.3888299999999996</v>
      </c>
      <c r="CA20">
        <v>125.00473333333331</v>
      </c>
      <c r="CB20">
        <v>19.519020000000001</v>
      </c>
      <c r="CC20">
        <v>2.6177440000000001</v>
      </c>
      <c r="CD20">
        <v>1.972212333333333</v>
      </c>
      <c r="CE20">
        <v>21.777696666666671</v>
      </c>
      <c r="CF20">
        <v>17.222999999999999</v>
      </c>
      <c r="CG20">
        <v>1750675447</v>
      </c>
      <c r="CH20" t="s">
        <v>337</v>
      </c>
      <c r="CI20">
        <v>1750675447</v>
      </c>
      <c r="CJ20">
        <v>1750675440</v>
      </c>
      <c r="CK20">
        <v>3</v>
      </c>
      <c r="CL20">
        <v>-0.53500000000000003</v>
      </c>
      <c r="CM20">
        <v>0.02</v>
      </c>
      <c r="CN20">
        <v>1.657</v>
      </c>
      <c r="CO20">
        <v>0.20499999999999999</v>
      </c>
      <c r="CP20">
        <v>450</v>
      </c>
      <c r="CQ20">
        <v>19</v>
      </c>
      <c r="CR20">
        <v>0.03</v>
      </c>
      <c r="CS20">
        <v>0.02</v>
      </c>
      <c r="CT20">
        <v>-11.79609</v>
      </c>
      <c r="CU20">
        <v>-0.53548818011253319</v>
      </c>
      <c r="CV20">
        <v>5.7019789547138933E-2</v>
      </c>
      <c r="CW20">
        <v>0</v>
      </c>
      <c r="CX20">
        <v>0</v>
      </c>
      <c r="CY20">
        <v>0</v>
      </c>
      <c r="CZ20">
        <v>0</v>
      </c>
      <c r="DA20">
        <v>-1</v>
      </c>
      <c r="DB20">
        <v>6.3815289999999996</v>
      </c>
      <c r="DC20">
        <v>0.1290382739211785</v>
      </c>
      <c r="DD20">
        <v>1.269742903110704E-2</v>
      </c>
      <c r="DE20">
        <v>0</v>
      </c>
      <c r="DF20">
        <v>0</v>
      </c>
      <c r="DG20">
        <v>2</v>
      </c>
      <c r="DH20" t="s">
        <v>344</v>
      </c>
      <c r="DI20">
        <v>3.0247799999999998</v>
      </c>
      <c r="DJ20">
        <v>2.6913299999999998</v>
      </c>
      <c r="DK20">
        <v>3.1397899999999999E-2</v>
      </c>
      <c r="DL20">
        <v>3.4326099999999998E-2</v>
      </c>
      <c r="DM20">
        <v>0.12604899999999999</v>
      </c>
      <c r="DN20">
        <v>0.104253</v>
      </c>
      <c r="DO20">
        <v>27003.9</v>
      </c>
      <c r="DP20">
        <v>18098.2</v>
      </c>
      <c r="DQ20">
        <v>26451.9</v>
      </c>
      <c r="DR20">
        <v>17033.400000000001</v>
      </c>
      <c r="DS20">
        <v>32869.199999999997</v>
      </c>
      <c r="DT20">
        <v>19904.5</v>
      </c>
      <c r="DU20">
        <v>38532.400000000001</v>
      </c>
      <c r="DV20">
        <v>22546.1</v>
      </c>
      <c r="DW20">
        <v>1.806</v>
      </c>
      <c r="DX20">
        <v>2.1731400000000001</v>
      </c>
      <c r="DY20">
        <v>6.90997E-2</v>
      </c>
      <c r="DZ20">
        <v>0</v>
      </c>
      <c r="EA20">
        <v>24.861799999999999</v>
      </c>
      <c r="EB20">
        <v>999.9</v>
      </c>
      <c r="EC20">
        <v>60</v>
      </c>
      <c r="ED20">
        <v>32.700000000000003</v>
      </c>
      <c r="EE20">
        <v>29.4953</v>
      </c>
      <c r="EF20">
        <v>62.649299999999997</v>
      </c>
      <c r="EG20">
        <v>37.403799999999997</v>
      </c>
      <c r="EH20">
        <v>1</v>
      </c>
      <c r="EI20">
        <v>3.3042700000000001E-2</v>
      </c>
      <c r="EJ20">
        <v>-0.108621</v>
      </c>
      <c r="EK20">
        <v>20.3276</v>
      </c>
      <c r="EL20">
        <v>5.2513100000000001</v>
      </c>
      <c r="EM20">
        <v>11.962</v>
      </c>
      <c r="EN20">
        <v>4.9897200000000002</v>
      </c>
      <c r="EO20">
        <v>3.29148</v>
      </c>
      <c r="EP20">
        <v>9999</v>
      </c>
      <c r="EQ20">
        <v>9999</v>
      </c>
      <c r="ER20">
        <v>9999</v>
      </c>
      <c r="ES20">
        <v>999.9</v>
      </c>
      <c r="ET20">
        <v>4.9727100000000002</v>
      </c>
      <c r="EU20">
        <v>1.87195</v>
      </c>
      <c r="EV20">
        <v>1.87222</v>
      </c>
      <c r="EW20">
        <v>1.8772599999999999</v>
      </c>
      <c r="EX20">
        <v>1.8714</v>
      </c>
      <c r="EY20">
        <v>1.87216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-1.1859999999999999</v>
      </c>
      <c r="FP20">
        <v>0.20519999999999999</v>
      </c>
      <c r="FQ20">
        <v>-2.0849964505683412</v>
      </c>
      <c r="FR20">
        <v>7.6898218637449396E-3</v>
      </c>
      <c r="FS20">
        <v>1.5097418776848419E-6</v>
      </c>
      <c r="FT20">
        <v>-9.8458676114205118E-11</v>
      </c>
      <c r="FU20">
        <v>0.20512499999999889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13.8</v>
      </c>
      <c r="GD20">
        <v>13.9</v>
      </c>
      <c r="GE20">
        <v>0.42358400000000002</v>
      </c>
      <c r="GF20">
        <v>2.67334</v>
      </c>
      <c r="GG20">
        <v>1.7981</v>
      </c>
      <c r="GH20">
        <v>2.3791500000000001</v>
      </c>
      <c r="GI20">
        <v>1.5979000000000001</v>
      </c>
      <c r="GJ20">
        <v>2.4572799999999999</v>
      </c>
      <c r="GK20">
        <v>35.941200000000002</v>
      </c>
      <c r="GL20">
        <v>24.157499999999999</v>
      </c>
      <c r="GM20">
        <v>18</v>
      </c>
      <c r="GN20">
        <v>368.03899999999999</v>
      </c>
      <c r="GO20">
        <v>655.88199999999995</v>
      </c>
      <c r="GP20">
        <v>25.829799999999999</v>
      </c>
      <c r="GQ20">
        <v>27.491199999999999</v>
      </c>
      <c r="GR20">
        <v>30</v>
      </c>
      <c r="GS20">
        <v>27.440799999999999</v>
      </c>
      <c r="GT20">
        <v>27.4605</v>
      </c>
      <c r="GU20">
        <v>8.4416899999999995</v>
      </c>
      <c r="GV20">
        <v>41.0167</v>
      </c>
      <c r="GW20">
        <v>0</v>
      </c>
      <c r="GX20">
        <v>25.83</v>
      </c>
      <c r="GY20">
        <v>125</v>
      </c>
      <c r="GZ20">
        <v>19.5</v>
      </c>
      <c r="HA20">
        <v>100.512</v>
      </c>
      <c r="HB20">
        <v>70.409700000000001</v>
      </c>
    </row>
    <row r="21" spans="1:210" x14ac:dyDescent="0.3">
      <c r="A21">
        <v>5</v>
      </c>
      <c r="B21">
        <v>1750676453.0999999</v>
      </c>
      <c r="C21">
        <v>722.09999990463257</v>
      </c>
      <c r="D21" t="s">
        <v>349</v>
      </c>
      <c r="E21" t="s">
        <v>350</v>
      </c>
      <c r="F21">
        <v>15</v>
      </c>
      <c r="G21">
        <v>1750676445.349999</v>
      </c>
      <c r="H21">
        <f t="shared" si="0"/>
        <v>3.0688470554185374E-3</v>
      </c>
      <c r="I21">
        <f t="shared" si="1"/>
        <v>3.0688470554185372</v>
      </c>
      <c r="J21">
        <f t="shared" si="2"/>
        <v>1.772715930947556</v>
      </c>
      <c r="K21">
        <f t="shared" si="3"/>
        <v>70.51348666666668</v>
      </c>
      <c r="L21">
        <f t="shared" si="4"/>
        <v>63.145083885942142</v>
      </c>
      <c r="M21">
        <f t="shared" si="5"/>
        <v>6.3862727524354534</v>
      </c>
      <c r="N21">
        <f t="shared" si="6"/>
        <v>7.1314872174682078</v>
      </c>
      <c r="O21">
        <f t="shared" si="7"/>
        <v>0.49502492812855431</v>
      </c>
      <c r="P21">
        <f t="shared" si="8"/>
        <v>2.4130626881317214</v>
      </c>
      <c r="Q21">
        <f t="shared" si="9"/>
        <v>0.42022197232994207</v>
      </c>
      <c r="R21">
        <f t="shared" si="10"/>
        <v>0.26841702946225071</v>
      </c>
      <c r="S21">
        <f t="shared" si="11"/>
        <v>177.89098966666668</v>
      </c>
      <c r="T21">
        <f t="shared" si="12"/>
        <v>27.045770040845905</v>
      </c>
      <c r="U21">
        <f t="shared" si="13"/>
        <v>25.976273333333332</v>
      </c>
      <c r="V21">
        <f t="shared" si="14"/>
        <v>3.3695239342078316</v>
      </c>
      <c r="W21">
        <f t="shared" si="15"/>
        <v>75.238927306255349</v>
      </c>
      <c r="X21">
        <f t="shared" si="16"/>
        <v>2.652922983668843</v>
      </c>
      <c r="Y21">
        <f t="shared" si="17"/>
        <v>3.525997882545941</v>
      </c>
      <c r="Z21">
        <f t="shared" si="18"/>
        <v>0.71660095053898853</v>
      </c>
      <c r="AA21">
        <f t="shared" si="19"/>
        <v>-135.33615514395748</v>
      </c>
      <c r="AB21">
        <f t="shared" si="20"/>
        <v>100.06452751209059</v>
      </c>
      <c r="AC21">
        <f t="shared" si="21"/>
        <v>8.8921858252173465</v>
      </c>
      <c r="AD21">
        <f t="shared" si="22"/>
        <v>151.51154786001715</v>
      </c>
      <c r="AE21">
        <f t="shared" si="23"/>
        <v>1.772715930947556</v>
      </c>
      <c r="AF21">
        <f t="shared" si="24"/>
        <v>3.0688470554185372</v>
      </c>
      <c r="AG21">
        <f t="shared" si="25"/>
        <v>1.7657977192699257</v>
      </c>
      <c r="AH21">
        <v>76.467595445857555</v>
      </c>
      <c r="AI21">
        <v>72.415386060606053</v>
      </c>
      <c r="AJ21">
        <v>6.2823015362111463E-5</v>
      </c>
      <c r="AK21">
        <v>84.152210380358738</v>
      </c>
      <c r="AL21">
        <f t="shared" si="26"/>
        <v>3.0733750302045824</v>
      </c>
      <c r="AM21">
        <v>19.509624824941799</v>
      </c>
      <c r="AN21">
        <v>26.24245218045111</v>
      </c>
      <c r="AO21">
        <v>1.0979653151441591E-5</v>
      </c>
      <c r="AP21">
        <v>90.438520736945691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53503.621086926687</v>
      </c>
      <c r="AV21">
        <f t="shared" si="30"/>
        <v>936.26836666666668</v>
      </c>
      <c r="AW21">
        <f t="shared" si="31"/>
        <v>749.01469333333341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336</v>
      </c>
      <c r="BC21">
        <v>2</v>
      </c>
      <c r="BD21" t="b">
        <v>0</v>
      </c>
      <c r="BE21">
        <v>1750676445.349999</v>
      </c>
      <c r="BF21">
        <v>70.51348666666668</v>
      </c>
      <c r="BG21">
        <v>74.988523333333347</v>
      </c>
      <c r="BH21">
        <v>26.23111333333334</v>
      </c>
      <c r="BI21">
        <v>19.50802666666667</v>
      </c>
      <c r="BJ21">
        <v>72.036746666666673</v>
      </c>
      <c r="BK21">
        <v>26.025980000000001</v>
      </c>
      <c r="BL21">
        <v>400.04140000000001</v>
      </c>
      <c r="BM21">
        <v>101.0365333333333</v>
      </c>
      <c r="BN21">
        <v>9.9966286666666668E-2</v>
      </c>
      <c r="BO21">
        <v>26.745450000000002</v>
      </c>
      <c r="BP21">
        <v>25.976273333333332</v>
      </c>
      <c r="BQ21">
        <v>999.9000000000002</v>
      </c>
      <c r="BR21">
        <v>0</v>
      </c>
      <c r="BS21">
        <v>0</v>
      </c>
      <c r="BT21">
        <v>10006.433333333331</v>
      </c>
      <c r="BU21">
        <v>936.26836666666668</v>
      </c>
      <c r="BV21">
        <v>16.4771</v>
      </c>
      <c r="BW21">
        <v>-4.4750386666666664</v>
      </c>
      <c r="BX21">
        <v>72.412953333333334</v>
      </c>
      <c r="BY21">
        <v>76.480509999999995</v>
      </c>
      <c r="BZ21">
        <v>6.7230850000000002</v>
      </c>
      <c r="CA21">
        <v>74.988523333333347</v>
      </c>
      <c r="CB21">
        <v>19.50802666666667</v>
      </c>
      <c r="CC21">
        <v>2.6503023333333342</v>
      </c>
      <c r="CD21">
        <v>1.9710240000000001</v>
      </c>
      <c r="CE21">
        <v>21.980180000000001</v>
      </c>
      <c r="CF21">
        <v>17.213466666666669</v>
      </c>
      <c r="CG21">
        <v>1750675447</v>
      </c>
      <c r="CH21" t="s">
        <v>337</v>
      </c>
      <c r="CI21">
        <v>1750675447</v>
      </c>
      <c r="CJ21">
        <v>1750675440</v>
      </c>
      <c r="CK21">
        <v>3</v>
      </c>
      <c r="CL21">
        <v>-0.53500000000000003</v>
      </c>
      <c r="CM21">
        <v>0.02</v>
      </c>
      <c r="CN21">
        <v>1.657</v>
      </c>
      <c r="CO21">
        <v>0.20499999999999999</v>
      </c>
      <c r="CP21">
        <v>450</v>
      </c>
      <c r="CQ21">
        <v>19</v>
      </c>
      <c r="CR21">
        <v>0.03</v>
      </c>
      <c r="CS21">
        <v>0.02</v>
      </c>
      <c r="CT21">
        <v>-4.4842734146341474</v>
      </c>
      <c r="CU21">
        <v>0.1592412543554001</v>
      </c>
      <c r="CV21">
        <v>2.294111025124515E-2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6.7185180487804894</v>
      </c>
      <c r="DC21">
        <v>9.3449059233444404E-2</v>
      </c>
      <c r="DD21">
        <v>9.2949325873024988E-3</v>
      </c>
      <c r="DE21">
        <v>1</v>
      </c>
      <c r="DF21">
        <v>2</v>
      </c>
      <c r="DG21">
        <v>2</v>
      </c>
      <c r="DH21" t="s">
        <v>351</v>
      </c>
      <c r="DI21">
        <v>3.0247999999999999</v>
      </c>
      <c r="DJ21">
        <v>2.6912600000000002</v>
      </c>
      <c r="DK21">
        <v>2.0048699999999999E-2</v>
      </c>
      <c r="DL21">
        <v>2.0937899999999999E-2</v>
      </c>
      <c r="DM21">
        <v>0.127135</v>
      </c>
      <c r="DN21">
        <v>0.104229</v>
      </c>
      <c r="DO21">
        <v>27320.6</v>
      </c>
      <c r="DP21">
        <v>18349.900000000001</v>
      </c>
      <c r="DQ21">
        <v>26452.1</v>
      </c>
      <c r="DR21">
        <v>17034.099999999999</v>
      </c>
      <c r="DS21">
        <v>32827.300000000003</v>
      </c>
      <c r="DT21">
        <v>19905.599999999999</v>
      </c>
      <c r="DU21">
        <v>38532.9</v>
      </c>
      <c r="DV21">
        <v>22547</v>
      </c>
      <c r="DW21">
        <v>1.8061400000000001</v>
      </c>
      <c r="DX21">
        <v>2.1735000000000002</v>
      </c>
      <c r="DY21">
        <v>6.8604899999999996E-2</v>
      </c>
      <c r="DZ21">
        <v>0</v>
      </c>
      <c r="EA21">
        <v>24.8447</v>
      </c>
      <c r="EB21">
        <v>999.9</v>
      </c>
      <c r="EC21">
        <v>60</v>
      </c>
      <c r="ED21">
        <v>32.700000000000003</v>
      </c>
      <c r="EE21">
        <v>29.498799999999999</v>
      </c>
      <c r="EF21">
        <v>62.339300000000001</v>
      </c>
      <c r="EG21">
        <v>37.479999999999997</v>
      </c>
      <c r="EH21">
        <v>1</v>
      </c>
      <c r="EI21">
        <v>3.2247999999999999E-2</v>
      </c>
      <c r="EJ21">
        <v>-0.10731599999999999</v>
      </c>
      <c r="EK21">
        <v>20.3277</v>
      </c>
      <c r="EL21">
        <v>5.2513100000000001</v>
      </c>
      <c r="EM21">
        <v>11.962</v>
      </c>
      <c r="EN21">
        <v>4.9897200000000002</v>
      </c>
      <c r="EO21">
        <v>3.2913600000000001</v>
      </c>
      <c r="EP21">
        <v>9999</v>
      </c>
      <c r="EQ21">
        <v>9999</v>
      </c>
      <c r="ER21">
        <v>9999</v>
      </c>
      <c r="ES21">
        <v>999.9</v>
      </c>
      <c r="ET21">
        <v>4.9726999999999997</v>
      </c>
      <c r="EU21">
        <v>1.87195</v>
      </c>
      <c r="EV21">
        <v>1.8722300000000001</v>
      </c>
      <c r="EW21">
        <v>1.8772599999999999</v>
      </c>
      <c r="EX21">
        <v>1.87137</v>
      </c>
      <c r="EY21">
        <v>1.8721300000000001</v>
      </c>
      <c r="EZ21">
        <v>1.8717999999999999</v>
      </c>
      <c r="FA21">
        <v>1.8687499999999999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-1.5229999999999999</v>
      </c>
      <c r="FP21">
        <v>0.2051</v>
      </c>
      <c r="FQ21">
        <v>-2.0849964505683412</v>
      </c>
      <c r="FR21">
        <v>7.6898218637449396E-3</v>
      </c>
      <c r="FS21">
        <v>1.5097418776848419E-6</v>
      </c>
      <c r="FT21">
        <v>-9.8458676114205118E-11</v>
      </c>
      <c r="FU21">
        <v>0.20512499999999889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16.8</v>
      </c>
      <c r="GD21">
        <v>16.899999999999999</v>
      </c>
      <c r="GE21">
        <v>0.31372100000000003</v>
      </c>
      <c r="GF21">
        <v>2.6867700000000001</v>
      </c>
      <c r="GG21">
        <v>1.7981</v>
      </c>
      <c r="GH21">
        <v>2.3791500000000001</v>
      </c>
      <c r="GI21">
        <v>1.5979000000000001</v>
      </c>
      <c r="GJ21">
        <v>2.4206500000000002</v>
      </c>
      <c r="GK21">
        <v>35.9178</v>
      </c>
      <c r="GL21">
        <v>24.157499999999999</v>
      </c>
      <c r="GM21">
        <v>18</v>
      </c>
      <c r="GN21">
        <v>368.02199999999999</v>
      </c>
      <c r="GO21">
        <v>656.04600000000005</v>
      </c>
      <c r="GP21">
        <v>25.829799999999999</v>
      </c>
      <c r="GQ21">
        <v>27.477900000000002</v>
      </c>
      <c r="GR21">
        <v>30.0001</v>
      </c>
      <c r="GS21">
        <v>27.427399999999999</v>
      </c>
      <c r="GT21">
        <v>27.448799999999999</v>
      </c>
      <c r="GU21">
        <v>6.2309700000000001</v>
      </c>
      <c r="GV21">
        <v>41.0167</v>
      </c>
      <c r="GW21">
        <v>0</v>
      </c>
      <c r="GX21">
        <v>25.83</v>
      </c>
      <c r="GY21">
        <v>75</v>
      </c>
      <c r="GZ21">
        <v>19.5</v>
      </c>
      <c r="HA21">
        <v>100.51300000000001</v>
      </c>
      <c r="HB21">
        <v>70.412499999999994</v>
      </c>
    </row>
    <row r="22" spans="1:210" x14ac:dyDescent="0.3">
      <c r="A22">
        <v>6</v>
      </c>
      <c r="B22">
        <v>1750676633.5999999</v>
      </c>
      <c r="C22">
        <v>902.59999990463257</v>
      </c>
      <c r="D22" t="s">
        <v>352</v>
      </c>
      <c r="E22" t="s">
        <v>353</v>
      </c>
      <c r="F22">
        <v>15</v>
      </c>
      <c r="G22">
        <v>1750676625.849999</v>
      </c>
      <c r="H22">
        <f t="shared" si="0"/>
        <v>3.1518685590154094E-3</v>
      </c>
      <c r="I22">
        <f t="shared" si="1"/>
        <v>3.1518685590154094</v>
      </c>
      <c r="J22">
        <f t="shared" si="2"/>
        <v>22.26838865778333</v>
      </c>
      <c r="K22">
        <f t="shared" si="3"/>
        <v>397.10300000000012</v>
      </c>
      <c r="L22">
        <f t="shared" si="4"/>
        <v>316.25787074248399</v>
      </c>
      <c r="M22">
        <f t="shared" si="5"/>
        <v>31.98657322775837</v>
      </c>
      <c r="N22">
        <f t="shared" si="6"/>
        <v>40.163314065961167</v>
      </c>
      <c r="O22">
        <f t="shared" si="7"/>
        <v>0.53998936324486413</v>
      </c>
      <c r="P22">
        <f t="shared" si="8"/>
        <v>2.4130231811622944</v>
      </c>
      <c r="Q22">
        <f t="shared" si="9"/>
        <v>0.45225362844175865</v>
      </c>
      <c r="R22">
        <f t="shared" si="10"/>
        <v>0.28935074657538601</v>
      </c>
      <c r="S22">
        <f t="shared" si="11"/>
        <v>177.83563000000001</v>
      </c>
      <c r="T22">
        <f t="shared" si="12"/>
        <v>26.972782309393956</v>
      </c>
      <c r="U22">
        <f t="shared" si="13"/>
        <v>25.902153333333331</v>
      </c>
      <c r="V22">
        <f t="shared" si="14"/>
        <v>3.3547711152017028</v>
      </c>
      <c r="W22">
        <f t="shared" si="15"/>
        <v>75.957374612037469</v>
      </c>
      <c r="X22">
        <f t="shared" si="16"/>
        <v>2.6708928010119801</v>
      </c>
      <c r="Y22">
        <f t="shared" si="17"/>
        <v>3.5163047889081538</v>
      </c>
      <c r="Z22">
        <f t="shared" si="18"/>
        <v>0.68387831418972267</v>
      </c>
      <c r="AA22">
        <f t="shared" si="19"/>
        <v>-138.99740345257956</v>
      </c>
      <c r="AB22">
        <f t="shared" si="20"/>
        <v>103.62044187862423</v>
      </c>
      <c r="AC22">
        <f t="shared" si="21"/>
        <v>9.2027554140017767</v>
      </c>
      <c r="AD22">
        <f t="shared" si="22"/>
        <v>151.66142384004647</v>
      </c>
      <c r="AE22">
        <f t="shared" si="23"/>
        <v>22.26838865778333</v>
      </c>
      <c r="AF22">
        <f t="shared" si="24"/>
        <v>3.1518685590154094</v>
      </c>
      <c r="AG22">
        <f t="shared" si="25"/>
        <v>22.342087165541905</v>
      </c>
      <c r="AH22">
        <v>458.96149303391508</v>
      </c>
      <c r="AI22">
        <v>407.74376969696959</v>
      </c>
      <c r="AJ22">
        <v>-6.1563072101766094E-3</v>
      </c>
      <c r="AK22">
        <v>84.152210380358738</v>
      </c>
      <c r="AL22">
        <f t="shared" si="26"/>
        <v>3.1488403888024723</v>
      </c>
      <c r="AM22">
        <v>19.504816405443901</v>
      </c>
      <c r="AN22">
        <v>26.402719849624049</v>
      </c>
      <c r="AO22">
        <v>8.830408157458305E-7</v>
      </c>
      <c r="AP22">
        <v>90.438520736945691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53510.744134130742</v>
      </c>
      <c r="AV22">
        <f t="shared" si="30"/>
        <v>935.97699999999998</v>
      </c>
      <c r="AW22">
        <f t="shared" si="31"/>
        <v>748.78160000000003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336</v>
      </c>
      <c r="BC22">
        <v>2</v>
      </c>
      <c r="BD22" t="b">
        <v>0</v>
      </c>
      <c r="BE22">
        <v>1750676625.849999</v>
      </c>
      <c r="BF22">
        <v>397.10300000000012</v>
      </c>
      <c r="BG22">
        <v>450.02363333333341</v>
      </c>
      <c r="BH22">
        <v>26.40767</v>
      </c>
      <c r="BI22">
        <v>19.503160000000001</v>
      </c>
      <c r="BJ22">
        <v>395.91303333333337</v>
      </c>
      <c r="BK22">
        <v>26.202539999999999</v>
      </c>
      <c r="BL22">
        <v>399.99529999999999</v>
      </c>
      <c r="BM22">
        <v>101.0408333333333</v>
      </c>
      <c r="BN22">
        <v>9.9964056666666662E-2</v>
      </c>
      <c r="BO22">
        <v>26.69867666666666</v>
      </c>
      <c r="BP22">
        <v>25.902153333333331</v>
      </c>
      <c r="BQ22">
        <v>999.9000000000002</v>
      </c>
      <c r="BR22">
        <v>0</v>
      </c>
      <c r="BS22">
        <v>0</v>
      </c>
      <c r="BT22">
        <v>10005.75</v>
      </c>
      <c r="BU22">
        <v>935.97699999999998</v>
      </c>
      <c r="BV22">
        <v>16.4771</v>
      </c>
      <c r="BW22">
        <v>-52.920673333333333</v>
      </c>
      <c r="BX22">
        <v>407.87416666666672</v>
      </c>
      <c r="BY22">
        <v>458.9753</v>
      </c>
      <c r="BZ22">
        <v>6.9045090000000009</v>
      </c>
      <c r="CA22">
        <v>450.02363333333341</v>
      </c>
      <c r="CB22">
        <v>19.503160000000001</v>
      </c>
      <c r="CC22">
        <v>2.6682543333333331</v>
      </c>
      <c r="CD22">
        <v>1.9706166666666669</v>
      </c>
      <c r="CE22">
        <v>22.090890000000002</v>
      </c>
      <c r="CF22">
        <v>17.210196666666661</v>
      </c>
      <c r="CG22">
        <v>1750675447</v>
      </c>
      <c r="CH22" t="s">
        <v>337</v>
      </c>
      <c r="CI22">
        <v>1750675447</v>
      </c>
      <c r="CJ22">
        <v>1750675440</v>
      </c>
      <c r="CK22">
        <v>3</v>
      </c>
      <c r="CL22">
        <v>-0.53500000000000003</v>
      </c>
      <c r="CM22">
        <v>0.02</v>
      </c>
      <c r="CN22">
        <v>1.657</v>
      </c>
      <c r="CO22">
        <v>0.20499999999999999</v>
      </c>
      <c r="CP22">
        <v>450</v>
      </c>
      <c r="CQ22">
        <v>19</v>
      </c>
      <c r="CR22">
        <v>0.03</v>
      </c>
      <c r="CS22">
        <v>0.02</v>
      </c>
      <c r="CT22">
        <v>-52.861792682926833</v>
      </c>
      <c r="CU22">
        <v>-0.98857003484316752</v>
      </c>
      <c r="CV22">
        <v>0.1064489718362604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6.906329512195124</v>
      </c>
      <c r="DC22">
        <v>-3.1030871080133301E-2</v>
      </c>
      <c r="DD22">
        <v>3.2678074630714069E-3</v>
      </c>
      <c r="DE22">
        <v>1</v>
      </c>
      <c r="DF22">
        <v>1</v>
      </c>
      <c r="DG22">
        <v>2</v>
      </c>
      <c r="DH22" t="s">
        <v>338</v>
      </c>
      <c r="DI22">
        <v>3.0248400000000002</v>
      </c>
      <c r="DJ22">
        <v>2.6913900000000002</v>
      </c>
      <c r="DK22">
        <v>9.2393000000000003E-2</v>
      </c>
      <c r="DL22">
        <v>0.102261</v>
      </c>
      <c r="DM22">
        <v>0.12767200000000001</v>
      </c>
      <c r="DN22">
        <v>0.104198</v>
      </c>
      <c r="DO22">
        <v>25304.2</v>
      </c>
      <c r="DP22">
        <v>16825.599999999999</v>
      </c>
      <c r="DQ22">
        <v>26452.400000000001</v>
      </c>
      <c r="DR22">
        <v>17033.8</v>
      </c>
      <c r="DS22">
        <v>32808.699999999997</v>
      </c>
      <c r="DT22">
        <v>19907.2</v>
      </c>
      <c r="DU22">
        <v>38533.599999999999</v>
      </c>
      <c r="DV22">
        <v>22546.7</v>
      </c>
      <c r="DW22">
        <v>1.8068</v>
      </c>
      <c r="DX22">
        <v>2.1748599999999998</v>
      </c>
      <c r="DY22">
        <v>6.9677799999999998E-2</v>
      </c>
      <c r="DZ22">
        <v>0</v>
      </c>
      <c r="EA22">
        <v>24.750900000000001</v>
      </c>
      <c r="EB22">
        <v>999.9</v>
      </c>
      <c r="EC22">
        <v>60</v>
      </c>
      <c r="ED22">
        <v>32.700000000000003</v>
      </c>
      <c r="EE22">
        <v>29.499099999999999</v>
      </c>
      <c r="EF22">
        <v>62.819400000000002</v>
      </c>
      <c r="EG22">
        <v>37.4559</v>
      </c>
      <c r="EH22">
        <v>1</v>
      </c>
      <c r="EI22">
        <v>3.1142300000000001E-2</v>
      </c>
      <c r="EJ22">
        <v>-0.13763800000000001</v>
      </c>
      <c r="EK22">
        <v>20.3277</v>
      </c>
      <c r="EL22">
        <v>5.2517899999999997</v>
      </c>
      <c r="EM22">
        <v>11.962</v>
      </c>
      <c r="EN22">
        <v>4.9896799999999999</v>
      </c>
      <c r="EO22">
        <v>3.2911199999999998</v>
      </c>
      <c r="EP22">
        <v>9999</v>
      </c>
      <c r="EQ22">
        <v>9999</v>
      </c>
      <c r="ER22">
        <v>9999</v>
      </c>
      <c r="ES22">
        <v>999.9</v>
      </c>
      <c r="ET22">
        <v>4.9726999999999997</v>
      </c>
      <c r="EU22">
        <v>1.87195</v>
      </c>
      <c r="EV22">
        <v>1.8722300000000001</v>
      </c>
      <c r="EW22">
        <v>1.87724</v>
      </c>
      <c r="EX22">
        <v>1.8713900000000001</v>
      </c>
      <c r="EY22">
        <v>1.8721399999999999</v>
      </c>
      <c r="EZ22">
        <v>1.8717999999999999</v>
      </c>
      <c r="FA22">
        <v>1.8687499999999999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1.1890000000000001</v>
      </c>
      <c r="FP22">
        <v>0.2051</v>
      </c>
      <c r="FQ22">
        <v>-2.0849964505683412</v>
      </c>
      <c r="FR22">
        <v>7.6898218637449396E-3</v>
      </c>
      <c r="FS22">
        <v>1.5097418776848419E-6</v>
      </c>
      <c r="FT22">
        <v>-9.8458676114205118E-11</v>
      </c>
      <c r="FU22">
        <v>0.20512499999999889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19.8</v>
      </c>
      <c r="GD22">
        <v>19.899999999999999</v>
      </c>
      <c r="GE22">
        <v>1.1035200000000001</v>
      </c>
      <c r="GF22">
        <v>2.65381</v>
      </c>
      <c r="GG22">
        <v>1.7981</v>
      </c>
      <c r="GH22">
        <v>2.3791500000000001</v>
      </c>
      <c r="GI22">
        <v>1.5979000000000001</v>
      </c>
      <c r="GJ22">
        <v>2.49268</v>
      </c>
      <c r="GK22">
        <v>35.871099999999998</v>
      </c>
      <c r="GL22">
        <v>24.157499999999999</v>
      </c>
      <c r="GM22">
        <v>18</v>
      </c>
      <c r="GN22">
        <v>368.26799999999997</v>
      </c>
      <c r="GO22">
        <v>657.02300000000002</v>
      </c>
      <c r="GP22">
        <v>25.829599999999999</v>
      </c>
      <c r="GQ22">
        <v>27.459299999999999</v>
      </c>
      <c r="GR22">
        <v>30</v>
      </c>
      <c r="GS22">
        <v>27.4132</v>
      </c>
      <c r="GT22">
        <v>27.433800000000002</v>
      </c>
      <c r="GU22">
        <v>22.037199999999999</v>
      </c>
      <c r="GV22">
        <v>41.0167</v>
      </c>
      <c r="GW22">
        <v>0</v>
      </c>
      <c r="GX22">
        <v>25.83</v>
      </c>
      <c r="GY22">
        <v>450</v>
      </c>
      <c r="GZ22">
        <v>19.5</v>
      </c>
      <c r="HA22">
        <v>100.515</v>
      </c>
      <c r="HB22">
        <v>70.4114</v>
      </c>
    </row>
    <row r="23" spans="1:210" x14ac:dyDescent="0.3">
      <c r="A23">
        <v>7</v>
      </c>
      <c r="B23">
        <v>1750676814.0999999</v>
      </c>
      <c r="C23">
        <v>1083.099999904633</v>
      </c>
      <c r="D23" t="s">
        <v>354</v>
      </c>
      <c r="E23" t="s">
        <v>355</v>
      </c>
      <c r="F23">
        <v>15</v>
      </c>
      <c r="G23">
        <v>1750676806.349999</v>
      </c>
      <c r="H23">
        <f t="shared" si="0"/>
        <v>2.7302033683679148E-3</v>
      </c>
      <c r="I23">
        <f t="shared" si="1"/>
        <v>2.7302033683679148</v>
      </c>
      <c r="J23">
        <f t="shared" si="2"/>
        <v>22.238299086184181</v>
      </c>
      <c r="K23">
        <f t="shared" si="3"/>
        <v>397.51083333333338</v>
      </c>
      <c r="L23">
        <f t="shared" si="4"/>
        <v>291.75161996134852</v>
      </c>
      <c r="M23">
        <f t="shared" si="5"/>
        <v>29.509585318897372</v>
      </c>
      <c r="N23">
        <f t="shared" si="6"/>
        <v>40.206734252204136</v>
      </c>
      <c r="O23">
        <f t="shared" si="7"/>
        <v>0.3932921715041296</v>
      </c>
      <c r="P23">
        <f t="shared" si="8"/>
        <v>2.4123128761574657</v>
      </c>
      <c r="Q23">
        <f t="shared" si="9"/>
        <v>0.34445710093180865</v>
      </c>
      <c r="R23">
        <f t="shared" si="10"/>
        <v>0.21916967499080886</v>
      </c>
      <c r="S23">
        <f t="shared" si="11"/>
        <v>177.809562</v>
      </c>
      <c r="T23">
        <f t="shared" si="12"/>
        <v>27.079025751158508</v>
      </c>
      <c r="U23">
        <f t="shared" si="13"/>
        <v>25.889953333333331</v>
      </c>
      <c r="V23">
        <f t="shared" si="14"/>
        <v>3.3523482467058527</v>
      </c>
      <c r="W23">
        <f t="shared" si="15"/>
        <v>73.313325004881278</v>
      </c>
      <c r="X23">
        <f t="shared" si="16"/>
        <v>2.5741392855592773</v>
      </c>
      <c r="Y23">
        <f t="shared" si="17"/>
        <v>3.5111479194101323</v>
      </c>
      <c r="Z23">
        <f t="shared" si="18"/>
        <v>0.77820896114657545</v>
      </c>
      <c r="AA23">
        <f t="shared" si="19"/>
        <v>-120.40196854502504</v>
      </c>
      <c r="AB23">
        <f t="shared" si="20"/>
        <v>101.93437009528222</v>
      </c>
      <c r="AC23">
        <f t="shared" si="21"/>
        <v>9.0539918739192071</v>
      </c>
      <c r="AD23">
        <f t="shared" si="22"/>
        <v>168.39595542417641</v>
      </c>
      <c r="AE23">
        <f t="shared" si="23"/>
        <v>22.238299086184181</v>
      </c>
      <c r="AF23">
        <f t="shared" si="24"/>
        <v>2.7302033683679148</v>
      </c>
      <c r="AG23">
        <f t="shared" si="25"/>
        <v>22.188591564201101</v>
      </c>
      <c r="AH23">
        <v>458.92439670807499</v>
      </c>
      <c r="AI23">
        <v>407.96796969696948</v>
      </c>
      <c r="AJ23">
        <v>5.0489438940061887E-3</v>
      </c>
      <c r="AK23">
        <v>84.152210380358738</v>
      </c>
      <c r="AL23">
        <f t="shared" si="26"/>
        <v>2.6874389888558499</v>
      </c>
      <c r="AM23">
        <v>19.462686998824751</v>
      </c>
      <c r="AN23">
        <v>25.410465864661649</v>
      </c>
      <c r="AO23">
        <v>-5.9920802266931082E-3</v>
      </c>
      <c r="AP23">
        <v>90.438520736945691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53491.569658977685</v>
      </c>
      <c r="AV23">
        <f t="shared" si="30"/>
        <v>935.83979999999997</v>
      </c>
      <c r="AW23">
        <f t="shared" si="31"/>
        <v>748.67183999999997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336</v>
      </c>
      <c r="BC23">
        <v>2</v>
      </c>
      <c r="BD23" t="b">
        <v>0</v>
      </c>
      <c r="BE23">
        <v>1750676806.349999</v>
      </c>
      <c r="BF23">
        <v>397.51083333333338</v>
      </c>
      <c r="BG23">
        <v>449.98689999999999</v>
      </c>
      <c r="BH23">
        <v>25.44967333333334</v>
      </c>
      <c r="BI23">
        <v>19.463280000000001</v>
      </c>
      <c r="BJ23">
        <v>396.31716666666671</v>
      </c>
      <c r="BK23">
        <v>25.24456</v>
      </c>
      <c r="BL23">
        <v>400.0152333333333</v>
      </c>
      <c r="BM23">
        <v>101.0462666666667</v>
      </c>
      <c r="BN23">
        <v>9.9993713333333317E-2</v>
      </c>
      <c r="BO23">
        <v>26.673746666666659</v>
      </c>
      <c r="BP23">
        <v>25.889953333333331</v>
      </c>
      <c r="BQ23">
        <v>999.9000000000002</v>
      </c>
      <c r="BR23">
        <v>0</v>
      </c>
      <c r="BS23">
        <v>0</v>
      </c>
      <c r="BT23">
        <v>10000.58333333333</v>
      </c>
      <c r="BU23">
        <v>935.83979999999997</v>
      </c>
      <c r="BV23">
        <v>16.4771</v>
      </c>
      <c r="BW23">
        <v>-52.476153333333343</v>
      </c>
      <c r="BX23">
        <v>407.89143333333328</v>
      </c>
      <c r="BY23">
        <v>458.91899999999998</v>
      </c>
      <c r="BZ23">
        <v>5.9863929999999987</v>
      </c>
      <c r="CA23">
        <v>449.98689999999999</v>
      </c>
      <c r="CB23">
        <v>19.463280000000001</v>
      </c>
      <c r="CC23">
        <v>2.5715949999999999</v>
      </c>
      <c r="CD23">
        <v>1.966693</v>
      </c>
      <c r="CE23">
        <v>21.486856666666672</v>
      </c>
      <c r="CF23">
        <v>17.178696666666671</v>
      </c>
      <c r="CG23">
        <v>1750675447</v>
      </c>
      <c r="CH23" t="s">
        <v>337</v>
      </c>
      <c r="CI23">
        <v>1750675447</v>
      </c>
      <c r="CJ23">
        <v>1750675440</v>
      </c>
      <c r="CK23">
        <v>3</v>
      </c>
      <c r="CL23">
        <v>-0.53500000000000003</v>
      </c>
      <c r="CM23">
        <v>0.02</v>
      </c>
      <c r="CN23">
        <v>1.657</v>
      </c>
      <c r="CO23">
        <v>0.20499999999999999</v>
      </c>
      <c r="CP23">
        <v>450</v>
      </c>
      <c r="CQ23">
        <v>19</v>
      </c>
      <c r="CR23">
        <v>0.03</v>
      </c>
      <c r="CS23">
        <v>0.02</v>
      </c>
      <c r="CT23">
        <v>-52.538675609756112</v>
      </c>
      <c r="CU23">
        <v>1.2016620209061091</v>
      </c>
      <c r="CV23">
        <v>0.1247528655137693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6.0022058536585368</v>
      </c>
      <c r="DC23">
        <v>-0.34404898954704322</v>
      </c>
      <c r="DD23">
        <v>3.3936551557109347E-2</v>
      </c>
      <c r="DE23">
        <v>0</v>
      </c>
      <c r="DF23">
        <v>0</v>
      </c>
      <c r="DG23">
        <v>2</v>
      </c>
      <c r="DH23" t="s">
        <v>344</v>
      </c>
      <c r="DI23">
        <v>3.02474</v>
      </c>
      <c r="DJ23">
        <v>2.6911900000000002</v>
      </c>
      <c r="DK23">
        <v>9.2510200000000001E-2</v>
      </c>
      <c r="DL23">
        <v>0.102281</v>
      </c>
      <c r="DM23">
        <v>0.124319</v>
      </c>
      <c r="DN23">
        <v>0.104073</v>
      </c>
      <c r="DO23">
        <v>25302</v>
      </c>
      <c r="DP23">
        <v>16826</v>
      </c>
      <c r="DQ23">
        <v>26453.4</v>
      </c>
      <c r="DR23">
        <v>17034.599999999999</v>
      </c>
      <c r="DS23">
        <v>32939.4</v>
      </c>
      <c r="DT23">
        <v>19911.099999999999</v>
      </c>
      <c r="DU23">
        <v>38535.199999999997</v>
      </c>
      <c r="DV23">
        <v>22548</v>
      </c>
      <c r="DW23">
        <v>1.8065</v>
      </c>
      <c r="DX23">
        <v>2.1753399999999998</v>
      </c>
      <c r="DY23">
        <v>7.5310500000000002E-2</v>
      </c>
      <c r="DZ23">
        <v>0</v>
      </c>
      <c r="EA23">
        <v>24.6617</v>
      </c>
      <c r="EB23">
        <v>999.9</v>
      </c>
      <c r="EC23">
        <v>60</v>
      </c>
      <c r="ED23">
        <v>32.700000000000003</v>
      </c>
      <c r="EE23">
        <v>29.4954</v>
      </c>
      <c r="EF23">
        <v>62.539400000000001</v>
      </c>
      <c r="EG23">
        <v>37.548099999999998</v>
      </c>
      <c r="EH23">
        <v>1</v>
      </c>
      <c r="EI23">
        <v>2.87683E-2</v>
      </c>
      <c r="EJ23">
        <v>-0.166153</v>
      </c>
      <c r="EK23">
        <v>20.3276</v>
      </c>
      <c r="EL23">
        <v>5.2520300000000004</v>
      </c>
      <c r="EM23">
        <v>11.962</v>
      </c>
      <c r="EN23">
        <v>4.9896399999999996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1.87195</v>
      </c>
      <c r="EV23">
        <v>1.87218</v>
      </c>
      <c r="EW23">
        <v>1.87723</v>
      </c>
      <c r="EX23">
        <v>1.8713599999999999</v>
      </c>
      <c r="EY23">
        <v>1.8721300000000001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1.1950000000000001</v>
      </c>
      <c r="FP23">
        <v>0.20519999999999999</v>
      </c>
      <c r="FQ23">
        <v>-2.0849964505683412</v>
      </c>
      <c r="FR23">
        <v>7.6898218637449396E-3</v>
      </c>
      <c r="FS23">
        <v>1.5097418776848419E-6</v>
      </c>
      <c r="FT23">
        <v>-9.8458676114205118E-11</v>
      </c>
      <c r="FU23">
        <v>0.20512499999999889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22.8</v>
      </c>
      <c r="GD23">
        <v>22.9</v>
      </c>
      <c r="GE23">
        <v>1.1035200000000001</v>
      </c>
      <c r="GF23">
        <v>2.6428199999999999</v>
      </c>
      <c r="GG23">
        <v>1.7981</v>
      </c>
      <c r="GH23">
        <v>2.3791500000000001</v>
      </c>
      <c r="GI23">
        <v>1.5979000000000001</v>
      </c>
      <c r="GJ23">
        <v>2.5671400000000002</v>
      </c>
      <c r="GK23">
        <v>35.824399999999997</v>
      </c>
      <c r="GL23">
        <v>24.1663</v>
      </c>
      <c r="GM23">
        <v>18</v>
      </c>
      <c r="GN23">
        <v>367.91399999999999</v>
      </c>
      <c r="GO23">
        <v>657.101</v>
      </c>
      <c r="GP23">
        <v>25.829799999999999</v>
      </c>
      <c r="GQ23">
        <v>27.426600000000001</v>
      </c>
      <c r="GR23">
        <v>30</v>
      </c>
      <c r="GS23">
        <v>27.383299999999998</v>
      </c>
      <c r="GT23">
        <v>27.4069</v>
      </c>
      <c r="GU23">
        <v>22.034500000000001</v>
      </c>
      <c r="GV23">
        <v>41.0167</v>
      </c>
      <c r="GW23">
        <v>0</v>
      </c>
      <c r="GX23">
        <v>25.83</v>
      </c>
      <c r="GY23">
        <v>450</v>
      </c>
      <c r="GZ23">
        <v>19.5</v>
      </c>
      <c r="HA23">
        <v>100.51900000000001</v>
      </c>
      <c r="HB23">
        <v>70.415000000000006</v>
      </c>
    </row>
    <row r="24" spans="1:210" x14ac:dyDescent="0.3">
      <c r="A24">
        <v>8</v>
      </c>
      <c r="B24">
        <v>1750676994.5999999</v>
      </c>
      <c r="C24">
        <v>1263.599999904633</v>
      </c>
      <c r="D24" t="s">
        <v>356</v>
      </c>
      <c r="E24" t="s">
        <v>357</v>
      </c>
      <c r="F24">
        <v>15</v>
      </c>
      <c r="G24">
        <v>1750676986.849999</v>
      </c>
      <c r="H24">
        <f t="shared" si="0"/>
        <v>2.4971966219809643E-3</v>
      </c>
      <c r="I24">
        <f t="shared" si="1"/>
        <v>2.4971966219809643</v>
      </c>
      <c r="J24">
        <f t="shared" si="2"/>
        <v>21.707338831800829</v>
      </c>
      <c r="K24">
        <f t="shared" si="3"/>
        <v>398.90276666666682</v>
      </c>
      <c r="L24">
        <f t="shared" si="4"/>
        <v>279.63354358051947</v>
      </c>
      <c r="M24">
        <f t="shared" si="5"/>
        <v>28.284864660639879</v>
      </c>
      <c r="N24">
        <f t="shared" si="6"/>
        <v>40.348917456222871</v>
      </c>
      <c r="O24">
        <f t="shared" si="7"/>
        <v>0.33380608132644135</v>
      </c>
      <c r="P24">
        <f t="shared" si="8"/>
        <v>2.4131057128967495</v>
      </c>
      <c r="Q24">
        <f t="shared" si="9"/>
        <v>0.29792312120755921</v>
      </c>
      <c r="R24">
        <f t="shared" si="10"/>
        <v>0.18910627183703688</v>
      </c>
      <c r="S24">
        <f t="shared" si="11"/>
        <v>177.77305033333337</v>
      </c>
      <c r="T24">
        <f t="shared" si="12"/>
        <v>27.145791766004308</v>
      </c>
      <c r="U24">
        <f t="shared" si="13"/>
        <v>25.89195333333333</v>
      </c>
      <c r="V24">
        <f t="shared" si="14"/>
        <v>3.3527453334906636</v>
      </c>
      <c r="W24">
        <f t="shared" si="15"/>
        <v>72.066461155339582</v>
      </c>
      <c r="X24">
        <f t="shared" si="16"/>
        <v>2.5295591632821512</v>
      </c>
      <c r="Y24">
        <f t="shared" si="17"/>
        <v>3.5100366005619108</v>
      </c>
      <c r="Z24">
        <f t="shared" si="18"/>
        <v>0.82318617020851237</v>
      </c>
      <c r="AA24">
        <f t="shared" si="19"/>
        <v>-110.12637102936053</v>
      </c>
      <c r="AB24">
        <f t="shared" si="20"/>
        <v>101.00820202830087</v>
      </c>
      <c r="AC24">
        <f t="shared" si="21"/>
        <v>8.9686282056192272</v>
      </c>
      <c r="AD24">
        <f t="shared" si="22"/>
        <v>177.62350953789297</v>
      </c>
      <c r="AE24">
        <f t="shared" si="23"/>
        <v>21.707338831800829</v>
      </c>
      <c r="AF24">
        <f t="shared" si="24"/>
        <v>2.4971966219809643</v>
      </c>
      <c r="AG24">
        <f t="shared" si="25"/>
        <v>21.717935488091864</v>
      </c>
      <c r="AH24">
        <v>458.97706461112722</v>
      </c>
      <c r="AI24">
        <v>409.1398181818181</v>
      </c>
      <c r="AJ24">
        <v>-1.0684364646787339E-4</v>
      </c>
      <c r="AK24">
        <v>84.152210380358738</v>
      </c>
      <c r="AL24">
        <f t="shared" si="26"/>
        <v>2.5002659398618201</v>
      </c>
      <c r="AM24">
        <v>19.531583176092418</v>
      </c>
      <c r="AN24">
        <v>25.016252932330811</v>
      </c>
      <c r="AO24">
        <v>1.498457590502288E-5</v>
      </c>
      <c r="AP24">
        <v>90.438520736945691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53519.109689789278</v>
      </c>
      <c r="AV24">
        <f t="shared" si="30"/>
        <v>935.64763333333349</v>
      </c>
      <c r="AW24">
        <f t="shared" si="31"/>
        <v>748.51810666666688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336</v>
      </c>
      <c r="BC24">
        <v>2</v>
      </c>
      <c r="BD24" t="b">
        <v>0</v>
      </c>
      <c r="BE24">
        <v>1750676986.849999</v>
      </c>
      <c r="BF24">
        <v>398.90276666666682</v>
      </c>
      <c r="BG24">
        <v>449.98503333333332</v>
      </c>
      <c r="BH24">
        <v>25.00806</v>
      </c>
      <c r="BI24">
        <v>19.52994</v>
      </c>
      <c r="BJ24">
        <v>397.6968333333333</v>
      </c>
      <c r="BK24">
        <v>24.802923333333329</v>
      </c>
      <c r="BL24">
        <v>400.00436666666673</v>
      </c>
      <c r="BM24">
        <v>101.0498</v>
      </c>
      <c r="BN24">
        <v>9.9955849999999999E-2</v>
      </c>
      <c r="BO24">
        <v>26.668369999999999</v>
      </c>
      <c r="BP24">
        <v>25.89195333333333</v>
      </c>
      <c r="BQ24">
        <v>999.9000000000002</v>
      </c>
      <c r="BR24">
        <v>0</v>
      </c>
      <c r="BS24">
        <v>0</v>
      </c>
      <c r="BT24">
        <v>10005.4</v>
      </c>
      <c r="BU24">
        <v>935.64763333333349</v>
      </c>
      <c r="BV24">
        <v>16.4771</v>
      </c>
      <c r="BW24">
        <v>-51.082436666666673</v>
      </c>
      <c r="BX24">
        <v>409.13433333333342</v>
      </c>
      <c r="BY24">
        <v>458.9482666666666</v>
      </c>
      <c r="BZ24">
        <v>5.4781140000000006</v>
      </c>
      <c r="CA24">
        <v>449.98503333333332</v>
      </c>
      <c r="CB24">
        <v>19.52994</v>
      </c>
      <c r="CC24">
        <v>2.527060333333333</v>
      </c>
      <c r="CD24">
        <v>1.9734966666666669</v>
      </c>
      <c r="CE24">
        <v>21.20183333333334</v>
      </c>
      <c r="CF24">
        <v>17.233286666666672</v>
      </c>
      <c r="CG24">
        <v>1750675447</v>
      </c>
      <c r="CH24" t="s">
        <v>337</v>
      </c>
      <c r="CI24">
        <v>1750675447</v>
      </c>
      <c r="CJ24">
        <v>1750675440</v>
      </c>
      <c r="CK24">
        <v>3</v>
      </c>
      <c r="CL24">
        <v>-0.53500000000000003</v>
      </c>
      <c r="CM24">
        <v>0.02</v>
      </c>
      <c r="CN24">
        <v>1.657</v>
      </c>
      <c r="CO24">
        <v>0.20499999999999999</v>
      </c>
      <c r="CP24">
        <v>450</v>
      </c>
      <c r="CQ24">
        <v>19</v>
      </c>
      <c r="CR24">
        <v>0.03</v>
      </c>
      <c r="CS24">
        <v>0.02</v>
      </c>
      <c r="CT24">
        <v>-51.057927499999998</v>
      </c>
      <c r="CU24">
        <v>-0.40431782363960139</v>
      </c>
      <c r="CV24">
        <v>6.0392540878406502E-2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5.4786545000000002</v>
      </c>
      <c r="DC24">
        <v>1.587737335832639E-2</v>
      </c>
      <c r="DD24">
        <v>8.5064898606887224E-3</v>
      </c>
      <c r="DE24">
        <v>1</v>
      </c>
      <c r="DF24">
        <v>2</v>
      </c>
      <c r="DG24">
        <v>2</v>
      </c>
      <c r="DH24" t="s">
        <v>351</v>
      </c>
      <c r="DI24">
        <v>3.0249799999999998</v>
      </c>
      <c r="DJ24">
        <v>2.6914799999999999</v>
      </c>
      <c r="DK24">
        <v>9.2740500000000003E-2</v>
      </c>
      <c r="DL24">
        <v>0.102296</v>
      </c>
      <c r="DM24">
        <v>0.12298199999999999</v>
      </c>
      <c r="DN24">
        <v>0.104336</v>
      </c>
      <c r="DO24">
        <v>25297.200000000001</v>
      </c>
      <c r="DP24">
        <v>16827.099999999999</v>
      </c>
      <c r="DQ24">
        <v>26455</v>
      </c>
      <c r="DR24">
        <v>17035.8</v>
      </c>
      <c r="DS24">
        <v>32992.9</v>
      </c>
      <c r="DT24">
        <v>19906.3</v>
      </c>
      <c r="DU24">
        <v>38537.699999999997</v>
      </c>
      <c r="DV24">
        <v>22549.3</v>
      </c>
      <c r="DW24">
        <v>1.8068200000000001</v>
      </c>
      <c r="DX24">
        <v>2.1762199999999998</v>
      </c>
      <c r="DY24">
        <v>7.6115100000000005E-2</v>
      </c>
      <c r="DZ24">
        <v>0</v>
      </c>
      <c r="EA24">
        <v>24.645099999999999</v>
      </c>
      <c r="EB24">
        <v>999.9</v>
      </c>
      <c r="EC24">
        <v>60</v>
      </c>
      <c r="ED24">
        <v>32.700000000000003</v>
      </c>
      <c r="EE24">
        <v>29.494900000000001</v>
      </c>
      <c r="EF24">
        <v>62.629399999999997</v>
      </c>
      <c r="EG24">
        <v>37.4559</v>
      </c>
      <c r="EH24">
        <v>1</v>
      </c>
      <c r="EI24">
        <v>2.6847599999999999E-2</v>
      </c>
      <c r="EJ24">
        <v>-0.172176</v>
      </c>
      <c r="EK24">
        <v>20.3276</v>
      </c>
      <c r="EL24">
        <v>5.2483199999999997</v>
      </c>
      <c r="EM24">
        <v>11.962</v>
      </c>
      <c r="EN24">
        <v>4.9896000000000003</v>
      </c>
      <c r="EO24">
        <v>3.2913800000000002</v>
      </c>
      <c r="EP24">
        <v>9999</v>
      </c>
      <c r="EQ24">
        <v>9999</v>
      </c>
      <c r="ER24">
        <v>9999</v>
      </c>
      <c r="ES24">
        <v>999.9</v>
      </c>
      <c r="ET24">
        <v>4.9726999999999997</v>
      </c>
      <c r="EU24">
        <v>1.87195</v>
      </c>
      <c r="EV24">
        <v>1.8722000000000001</v>
      </c>
      <c r="EW24">
        <v>1.8772200000000001</v>
      </c>
      <c r="EX24">
        <v>1.87137</v>
      </c>
      <c r="EY24">
        <v>1.8721000000000001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1.206</v>
      </c>
      <c r="FP24">
        <v>0.2051</v>
      </c>
      <c r="FQ24">
        <v>-2.0849964505683412</v>
      </c>
      <c r="FR24">
        <v>7.6898218637449396E-3</v>
      </c>
      <c r="FS24">
        <v>1.5097418776848419E-6</v>
      </c>
      <c r="FT24">
        <v>-9.8458676114205118E-11</v>
      </c>
      <c r="FU24">
        <v>0.20512499999999889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25.8</v>
      </c>
      <c r="GD24">
        <v>25.9</v>
      </c>
      <c r="GE24">
        <v>1.10229</v>
      </c>
      <c r="GF24">
        <v>2.66113</v>
      </c>
      <c r="GG24">
        <v>1.79932</v>
      </c>
      <c r="GH24">
        <v>2.3791500000000001</v>
      </c>
      <c r="GI24">
        <v>1.5979000000000001</v>
      </c>
      <c r="GJ24">
        <v>2.4365199999999998</v>
      </c>
      <c r="GK24">
        <v>35.754399999999997</v>
      </c>
      <c r="GL24">
        <v>24.157499999999999</v>
      </c>
      <c r="GM24">
        <v>18</v>
      </c>
      <c r="GN24">
        <v>367.91</v>
      </c>
      <c r="GO24">
        <v>657.53099999999995</v>
      </c>
      <c r="GP24">
        <v>25.830100000000002</v>
      </c>
      <c r="GQ24">
        <v>27.396699999999999</v>
      </c>
      <c r="GR24">
        <v>29.9999</v>
      </c>
      <c r="GS24">
        <v>27.357800000000001</v>
      </c>
      <c r="GT24">
        <v>27.380800000000001</v>
      </c>
      <c r="GU24">
        <v>22.030899999999999</v>
      </c>
      <c r="GV24">
        <v>40.474200000000003</v>
      </c>
      <c r="GW24">
        <v>0</v>
      </c>
      <c r="GX24">
        <v>25.83</v>
      </c>
      <c r="GY24">
        <v>450</v>
      </c>
      <c r="GZ24">
        <v>19.5</v>
      </c>
      <c r="HA24">
        <v>100.52500000000001</v>
      </c>
      <c r="HB24">
        <v>70.419700000000006</v>
      </c>
    </row>
    <row r="25" spans="1:210" x14ac:dyDescent="0.3">
      <c r="A25">
        <v>9</v>
      </c>
      <c r="B25">
        <v>1750677175.0999999</v>
      </c>
      <c r="C25">
        <v>1444.099999904633</v>
      </c>
      <c r="D25" t="s">
        <v>358</v>
      </c>
      <c r="E25" t="s">
        <v>359</v>
      </c>
      <c r="F25">
        <v>15</v>
      </c>
      <c r="G25">
        <v>1750677167.349999</v>
      </c>
      <c r="H25">
        <f t="shared" si="0"/>
        <v>2.4233647952386869E-3</v>
      </c>
      <c r="I25">
        <f t="shared" si="1"/>
        <v>2.4233647952386868</v>
      </c>
      <c r="J25">
        <f t="shared" si="2"/>
        <v>26.189754365289044</v>
      </c>
      <c r="K25">
        <f t="shared" si="3"/>
        <v>538.15416666666658</v>
      </c>
      <c r="L25">
        <f t="shared" si="4"/>
        <v>385.75193377872057</v>
      </c>
      <c r="M25">
        <f t="shared" si="5"/>
        <v>39.0184913492322</v>
      </c>
      <c r="N25">
        <f t="shared" si="6"/>
        <v>54.433852063802448</v>
      </c>
      <c r="O25">
        <f t="shared" si="7"/>
        <v>0.31463118874025736</v>
      </c>
      <c r="P25">
        <f t="shared" si="8"/>
        <v>2.411692289283669</v>
      </c>
      <c r="Q25">
        <f t="shared" si="9"/>
        <v>0.28252564560063398</v>
      </c>
      <c r="R25">
        <f t="shared" si="10"/>
        <v>0.17919183076753883</v>
      </c>
      <c r="S25">
        <f t="shared" si="11"/>
        <v>177.75747033333334</v>
      </c>
      <c r="T25">
        <f t="shared" si="12"/>
        <v>27.164045704652736</v>
      </c>
      <c r="U25">
        <f t="shared" si="13"/>
        <v>25.89330666666666</v>
      </c>
      <c r="V25">
        <f t="shared" si="14"/>
        <v>3.3530140521862362</v>
      </c>
      <c r="W25">
        <f t="shared" si="15"/>
        <v>71.545590817941289</v>
      </c>
      <c r="X25">
        <f t="shared" si="16"/>
        <v>2.5105539757988495</v>
      </c>
      <c r="Y25">
        <f t="shared" si="17"/>
        <v>3.5090268276452408</v>
      </c>
      <c r="Z25">
        <f t="shared" si="18"/>
        <v>0.84246007638738662</v>
      </c>
      <c r="AA25">
        <f t="shared" si="19"/>
        <v>-106.87038747002609</v>
      </c>
      <c r="AB25">
        <f t="shared" si="20"/>
        <v>100.13771916955828</v>
      </c>
      <c r="AC25">
        <f t="shared" si="21"/>
        <v>8.8963902535527044</v>
      </c>
      <c r="AD25">
        <f t="shared" si="22"/>
        <v>179.92119228641826</v>
      </c>
      <c r="AE25">
        <f t="shared" si="23"/>
        <v>26.189754365289044</v>
      </c>
      <c r="AF25">
        <f t="shared" si="24"/>
        <v>2.4233647952386868</v>
      </c>
      <c r="AG25">
        <f t="shared" si="25"/>
        <v>26.180575645495853</v>
      </c>
      <c r="AH25">
        <v>611.95522392140583</v>
      </c>
      <c r="AI25">
        <v>551.8752424242424</v>
      </c>
      <c r="AJ25">
        <v>1.043668091793212E-4</v>
      </c>
      <c r="AK25">
        <v>84.152210380358738</v>
      </c>
      <c r="AL25">
        <f t="shared" si="26"/>
        <v>2.4164476437932478</v>
      </c>
      <c r="AM25">
        <v>19.50260121831592</v>
      </c>
      <c r="AN25">
        <v>24.804964962406011</v>
      </c>
      <c r="AO25">
        <v>-1.358877278448634E-5</v>
      </c>
      <c r="AP25">
        <v>90.438520736945691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53472.721158207198</v>
      </c>
      <c r="AV25">
        <f t="shared" si="30"/>
        <v>935.56563333333338</v>
      </c>
      <c r="AW25">
        <f t="shared" si="31"/>
        <v>748.45250666666675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336</v>
      </c>
      <c r="BC25">
        <v>2</v>
      </c>
      <c r="BD25" t="b">
        <v>0</v>
      </c>
      <c r="BE25">
        <v>1750677167.349999</v>
      </c>
      <c r="BF25">
        <v>538.15416666666658</v>
      </c>
      <c r="BG25">
        <v>600.01656666666668</v>
      </c>
      <c r="BH25">
        <v>24.820309999999999</v>
      </c>
      <c r="BI25">
        <v>19.502976666666669</v>
      </c>
      <c r="BJ25">
        <v>535.70150000000001</v>
      </c>
      <c r="BK25">
        <v>24.615189999999998</v>
      </c>
      <c r="BL25">
        <v>399.9926999999999</v>
      </c>
      <c r="BM25">
        <v>101.0492</v>
      </c>
      <c r="BN25">
        <v>9.9978869999999984E-2</v>
      </c>
      <c r="BO25">
        <v>26.663483333333339</v>
      </c>
      <c r="BP25">
        <v>25.89330666666666</v>
      </c>
      <c r="BQ25">
        <v>999.9000000000002</v>
      </c>
      <c r="BR25">
        <v>0</v>
      </c>
      <c r="BS25">
        <v>0</v>
      </c>
      <c r="BT25">
        <v>9996.25</v>
      </c>
      <c r="BU25">
        <v>935.56563333333338</v>
      </c>
      <c r="BV25">
        <v>16.4771</v>
      </c>
      <c r="BW25">
        <v>-61.862576666666669</v>
      </c>
      <c r="BX25">
        <v>551.85119999999995</v>
      </c>
      <c r="BY25">
        <v>611.95136666666667</v>
      </c>
      <c r="BZ25">
        <v>5.3173463333333331</v>
      </c>
      <c r="CA25">
        <v>600.01656666666668</v>
      </c>
      <c r="CB25">
        <v>19.502976666666669</v>
      </c>
      <c r="CC25">
        <v>2.5080736666666659</v>
      </c>
      <c r="CD25">
        <v>1.9707589999999999</v>
      </c>
      <c r="CE25">
        <v>21.078980000000001</v>
      </c>
      <c r="CF25">
        <v>17.211359999999999</v>
      </c>
      <c r="CG25">
        <v>1750675447</v>
      </c>
      <c r="CH25" t="s">
        <v>337</v>
      </c>
      <c r="CI25">
        <v>1750675447</v>
      </c>
      <c r="CJ25">
        <v>1750675440</v>
      </c>
      <c r="CK25">
        <v>3</v>
      </c>
      <c r="CL25">
        <v>-0.53500000000000003</v>
      </c>
      <c r="CM25">
        <v>0.02</v>
      </c>
      <c r="CN25">
        <v>1.657</v>
      </c>
      <c r="CO25">
        <v>0.20499999999999999</v>
      </c>
      <c r="CP25">
        <v>450</v>
      </c>
      <c r="CQ25">
        <v>19</v>
      </c>
      <c r="CR25">
        <v>0.03</v>
      </c>
      <c r="CS25">
        <v>0.02</v>
      </c>
      <c r="CT25">
        <v>-61.851168292682907</v>
      </c>
      <c r="CU25">
        <v>3.4116376306634263E-2</v>
      </c>
      <c r="CV25">
        <v>5.8992287379416912E-2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5.3225187804878047</v>
      </c>
      <c r="DC25">
        <v>-0.1087517770034751</v>
      </c>
      <c r="DD25">
        <v>1.0792557777970731E-2</v>
      </c>
      <c r="DE25">
        <v>0</v>
      </c>
      <c r="DF25">
        <v>1</v>
      </c>
      <c r="DG25">
        <v>2</v>
      </c>
      <c r="DH25" t="s">
        <v>338</v>
      </c>
      <c r="DI25">
        <v>3.02474</v>
      </c>
      <c r="DJ25">
        <v>2.6915100000000001</v>
      </c>
      <c r="DK25">
        <v>0.115526</v>
      </c>
      <c r="DL25">
        <v>0.12578600000000001</v>
      </c>
      <c r="DM25">
        <v>0.122254</v>
      </c>
      <c r="DN25">
        <v>0.104229</v>
      </c>
      <c r="DO25">
        <v>24661.9</v>
      </c>
      <c r="DP25">
        <v>16386.8</v>
      </c>
      <c r="DQ25">
        <v>26454.9</v>
      </c>
      <c r="DR25">
        <v>17035.8</v>
      </c>
      <c r="DS25">
        <v>33021.1</v>
      </c>
      <c r="DT25">
        <v>19908.5</v>
      </c>
      <c r="DU25">
        <v>38537.4</v>
      </c>
      <c r="DV25">
        <v>22548.7</v>
      </c>
      <c r="DW25">
        <v>1.8065199999999999</v>
      </c>
      <c r="DX25">
        <v>2.1774200000000001</v>
      </c>
      <c r="DY25">
        <v>7.6562199999999997E-2</v>
      </c>
      <c r="DZ25">
        <v>0</v>
      </c>
      <c r="EA25">
        <v>24.6389</v>
      </c>
      <c r="EB25">
        <v>999.9</v>
      </c>
      <c r="EC25">
        <v>60</v>
      </c>
      <c r="ED25">
        <v>32.6</v>
      </c>
      <c r="EE25">
        <v>29.3294</v>
      </c>
      <c r="EF25">
        <v>62.859400000000001</v>
      </c>
      <c r="EG25">
        <v>37.4559</v>
      </c>
      <c r="EH25">
        <v>1</v>
      </c>
      <c r="EI25">
        <v>2.5317099999999999E-2</v>
      </c>
      <c r="EJ25">
        <v>-0.18187400000000001</v>
      </c>
      <c r="EK25">
        <v>20.3276</v>
      </c>
      <c r="EL25">
        <v>5.2526299999999999</v>
      </c>
      <c r="EM25">
        <v>11.962</v>
      </c>
      <c r="EN25">
        <v>4.9897600000000004</v>
      </c>
      <c r="EO25">
        <v>3.29156</v>
      </c>
      <c r="EP25">
        <v>9999</v>
      </c>
      <c r="EQ25">
        <v>9999</v>
      </c>
      <c r="ER25">
        <v>9999</v>
      </c>
      <c r="ES25">
        <v>999.9</v>
      </c>
      <c r="ET25">
        <v>4.9727199999999998</v>
      </c>
      <c r="EU25">
        <v>1.87195</v>
      </c>
      <c r="EV25">
        <v>1.8722300000000001</v>
      </c>
      <c r="EW25">
        <v>1.8772500000000001</v>
      </c>
      <c r="EX25">
        <v>1.8713900000000001</v>
      </c>
      <c r="EY25">
        <v>1.8721099999999999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2.4529999999999998</v>
      </c>
      <c r="FP25">
        <v>0.20519999999999999</v>
      </c>
      <c r="FQ25">
        <v>-2.0849964505683412</v>
      </c>
      <c r="FR25">
        <v>7.6898218637449396E-3</v>
      </c>
      <c r="FS25">
        <v>1.5097418776848419E-6</v>
      </c>
      <c r="FT25">
        <v>-9.8458676114205118E-11</v>
      </c>
      <c r="FU25">
        <v>0.20512499999999889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28.8</v>
      </c>
      <c r="GD25">
        <v>28.9</v>
      </c>
      <c r="GE25">
        <v>1.38916</v>
      </c>
      <c r="GF25">
        <v>2.6464799999999999</v>
      </c>
      <c r="GG25">
        <v>1.79932</v>
      </c>
      <c r="GH25">
        <v>2.3803700000000001</v>
      </c>
      <c r="GI25">
        <v>1.5979000000000001</v>
      </c>
      <c r="GJ25">
        <v>2.48291</v>
      </c>
      <c r="GK25">
        <v>35.707799999999999</v>
      </c>
      <c r="GL25">
        <v>24.157499999999999</v>
      </c>
      <c r="GM25">
        <v>18</v>
      </c>
      <c r="GN25">
        <v>367.60500000000002</v>
      </c>
      <c r="GO25">
        <v>658.27700000000004</v>
      </c>
      <c r="GP25">
        <v>25.83</v>
      </c>
      <c r="GQ25">
        <v>27.375499999999999</v>
      </c>
      <c r="GR25">
        <v>30.0001</v>
      </c>
      <c r="GS25">
        <v>27.335100000000001</v>
      </c>
      <c r="GT25">
        <v>27.3581</v>
      </c>
      <c r="GU25">
        <v>27.757999999999999</v>
      </c>
      <c r="GV25">
        <v>40.474200000000003</v>
      </c>
      <c r="GW25">
        <v>0</v>
      </c>
      <c r="GX25">
        <v>25.83</v>
      </c>
      <c r="GY25">
        <v>600</v>
      </c>
      <c r="GZ25">
        <v>19.5</v>
      </c>
      <c r="HA25">
        <v>100.524</v>
      </c>
      <c r="HB25">
        <v>70.418599999999998</v>
      </c>
    </row>
    <row r="26" spans="1:210" x14ac:dyDescent="0.3">
      <c r="A26">
        <v>10</v>
      </c>
      <c r="B26">
        <v>1750677355.5999999</v>
      </c>
      <c r="C26">
        <v>1624.599999904633</v>
      </c>
      <c r="D26" t="s">
        <v>360</v>
      </c>
      <c r="E26" t="s">
        <v>361</v>
      </c>
      <c r="F26">
        <v>15</v>
      </c>
      <c r="G26">
        <v>1750677347.849999</v>
      </c>
      <c r="H26">
        <f t="shared" si="0"/>
        <v>2.2164694883531556E-3</v>
      </c>
      <c r="I26">
        <f t="shared" si="1"/>
        <v>2.2164694883531557</v>
      </c>
      <c r="J26">
        <f t="shared" si="2"/>
        <v>28.821457106787928</v>
      </c>
      <c r="K26">
        <f t="shared" si="3"/>
        <v>831.00450000000023</v>
      </c>
      <c r="L26">
        <f t="shared" si="4"/>
        <v>634.90956804953373</v>
      </c>
      <c r="M26">
        <f t="shared" si="5"/>
        <v>64.220481608456225</v>
      </c>
      <c r="N26">
        <f t="shared" si="6"/>
        <v>84.055292114657192</v>
      </c>
      <c r="O26">
        <f t="shared" si="7"/>
        <v>0.26912538614183401</v>
      </c>
      <c r="P26">
        <f t="shared" si="8"/>
        <v>2.4124428825907236</v>
      </c>
      <c r="Q26">
        <f t="shared" si="9"/>
        <v>0.24526889919860506</v>
      </c>
      <c r="R26">
        <f t="shared" si="10"/>
        <v>0.15526170771546655</v>
      </c>
      <c r="S26">
        <f t="shared" si="11"/>
        <v>177.77469700000003</v>
      </c>
      <c r="T26">
        <f t="shared" si="12"/>
        <v>27.212118981554518</v>
      </c>
      <c r="U26">
        <f t="shared" si="13"/>
        <v>25.872313333333331</v>
      </c>
      <c r="V26">
        <f t="shared" si="14"/>
        <v>3.3488477198132403</v>
      </c>
      <c r="W26">
        <f t="shared" si="15"/>
        <v>70.201594683908993</v>
      </c>
      <c r="X26">
        <f t="shared" si="16"/>
        <v>2.4610261625175105</v>
      </c>
      <c r="Y26">
        <f t="shared" si="17"/>
        <v>3.5056556387338103</v>
      </c>
      <c r="Z26">
        <f t="shared" si="18"/>
        <v>0.88782155729572976</v>
      </c>
      <c r="AA26">
        <f t="shared" si="19"/>
        <v>-97.74630443637416</v>
      </c>
      <c r="AB26">
        <f t="shared" si="20"/>
        <v>100.77626355665747</v>
      </c>
      <c r="AC26">
        <f t="shared" si="21"/>
        <v>8.9486601828072008</v>
      </c>
      <c r="AD26">
        <f t="shared" si="22"/>
        <v>189.75331630309054</v>
      </c>
      <c r="AE26">
        <f t="shared" si="23"/>
        <v>28.821457106787928</v>
      </c>
      <c r="AF26">
        <f t="shared" si="24"/>
        <v>2.2164694883531557</v>
      </c>
      <c r="AG26">
        <f t="shared" si="25"/>
        <v>28.775431688984931</v>
      </c>
      <c r="AH26">
        <v>917.78259604348057</v>
      </c>
      <c r="AI26">
        <v>851.74584242424191</v>
      </c>
      <c r="AJ26">
        <v>2.2439112684951079E-4</v>
      </c>
      <c r="AK26">
        <v>84.152210380358738</v>
      </c>
      <c r="AL26">
        <f t="shared" si="26"/>
        <v>2.2062809537548507</v>
      </c>
      <c r="AM26">
        <v>19.462947268083258</v>
      </c>
      <c r="AN26">
        <v>24.306859699248101</v>
      </c>
      <c r="AO26">
        <v>-9.3288890440675918E-6</v>
      </c>
      <c r="AP26">
        <v>90.438520736945691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53500.723216683517</v>
      </c>
      <c r="AV26">
        <f t="shared" si="30"/>
        <v>935.65630000000021</v>
      </c>
      <c r="AW26">
        <f t="shared" si="31"/>
        <v>748.52504000000022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336</v>
      </c>
      <c r="BC26">
        <v>2</v>
      </c>
      <c r="BD26" t="b">
        <v>0</v>
      </c>
      <c r="BE26">
        <v>1750677347.849999</v>
      </c>
      <c r="BF26">
        <v>831.00450000000023</v>
      </c>
      <c r="BG26">
        <v>900.00213333333329</v>
      </c>
      <c r="BH26">
        <v>24.330696666666672</v>
      </c>
      <c r="BI26">
        <v>19.46462</v>
      </c>
      <c r="BJ26">
        <v>825.76546666666638</v>
      </c>
      <c r="BK26">
        <v>24.125579999999999</v>
      </c>
      <c r="BL26">
        <v>399.97050000000002</v>
      </c>
      <c r="BM26">
        <v>101.0491</v>
      </c>
      <c r="BN26">
        <v>9.9921593333333336E-2</v>
      </c>
      <c r="BO26">
        <v>26.64716</v>
      </c>
      <c r="BP26">
        <v>25.872313333333331</v>
      </c>
      <c r="BQ26">
        <v>999.9000000000002</v>
      </c>
      <c r="BR26">
        <v>0</v>
      </c>
      <c r="BS26">
        <v>0</v>
      </c>
      <c r="BT26">
        <v>10001.15</v>
      </c>
      <c r="BU26">
        <v>935.65630000000021</v>
      </c>
      <c r="BV26">
        <v>16.475916666666659</v>
      </c>
      <c r="BW26">
        <v>-68.997623333333351</v>
      </c>
      <c r="BX26">
        <v>851.72760000000005</v>
      </c>
      <c r="BY26">
        <v>917.86796666666669</v>
      </c>
      <c r="BZ26">
        <v>4.8660673333333344</v>
      </c>
      <c r="CA26">
        <v>900.00213333333329</v>
      </c>
      <c r="CB26">
        <v>19.46462</v>
      </c>
      <c r="CC26">
        <v>2.4585943333333331</v>
      </c>
      <c r="CD26">
        <v>1.9668829999999999</v>
      </c>
      <c r="CE26">
        <v>20.754953333333329</v>
      </c>
      <c r="CF26">
        <v>17.18021666666667</v>
      </c>
      <c r="CG26">
        <v>1750675447</v>
      </c>
      <c r="CH26" t="s">
        <v>337</v>
      </c>
      <c r="CI26">
        <v>1750675447</v>
      </c>
      <c r="CJ26">
        <v>1750675440</v>
      </c>
      <c r="CK26">
        <v>3</v>
      </c>
      <c r="CL26">
        <v>-0.53500000000000003</v>
      </c>
      <c r="CM26">
        <v>0.02</v>
      </c>
      <c r="CN26">
        <v>1.657</v>
      </c>
      <c r="CO26">
        <v>0.20499999999999999</v>
      </c>
      <c r="CP26">
        <v>450</v>
      </c>
      <c r="CQ26">
        <v>19</v>
      </c>
      <c r="CR26">
        <v>0.03</v>
      </c>
      <c r="CS26">
        <v>0.02</v>
      </c>
      <c r="CT26">
        <v>-69.039512500000001</v>
      </c>
      <c r="CU26">
        <v>0.9129512195125471</v>
      </c>
      <c r="CV26">
        <v>0.1097817224940026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4.8773792499999997</v>
      </c>
      <c r="DC26">
        <v>-0.1852528705440957</v>
      </c>
      <c r="DD26">
        <v>1.79378782730149E-2</v>
      </c>
      <c r="DE26">
        <v>0</v>
      </c>
      <c r="DF26">
        <v>0</v>
      </c>
      <c r="DG26">
        <v>2</v>
      </c>
      <c r="DH26" t="s">
        <v>344</v>
      </c>
      <c r="DI26">
        <v>3.0245899999999999</v>
      </c>
      <c r="DJ26">
        <v>2.6912400000000001</v>
      </c>
      <c r="DK26">
        <v>0.155221</v>
      </c>
      <c r="DL26">
        <v>0.16509099999999999</v>
      </c>
      <c r="DM26">
        <v>0.120532</v>
      </c>
      <c r="DN26">
        <v>0.10409599999999999</v>
      </c>
      <c r="DO26">
        <v>23557.200000000001</v>
      </c>
      <c r="DP26">
        <v>15650.3</v>
      </c>
      <c r="DQ26">
        <v>26457</v>
      </c>
      <c r="DR26">
        <v>17035.900000000001</v>
      </c>
      <c r="DS26">
        <v>33090.400000000001</v>
      </c>
      <c r="DT26">
        <v>19911.5</v>
      </c>
      <c r="DU26">
        <v>38539.800000000003</v>
      </c>
      <c r="DV26">
        <v>22548.2</v>
      </c>
      <c r="DW26">
        <v>1.8067</v>
      </c>
      <c r="DX26">
        <v>2.1791</v>
      </c>
      <c r="DY26">
        <v>7.9229499999999994E-2</v>
      </c>
      <c r="DZ26">
        <v>0</v>
      </c>
      <c r="EA26">
        <v>24.573699999999999</v>
      </c>
      <c r="EB26">
        <v>999.9</v>
      </c>
      <c r="EC26">
        <v>60</v>
      </c>
      <c r="ED26">
        <v>32.6</v>
      </c>
      <c r="EE26">
        <v>29.331099999999999</v>
      </c>
      <c r="EF26">
        <v>62.829500000000003</v>
      </c>
      <c r="EG26">
        <v>37.704300000000003</v>
      </c>
      <c r="EH26">
        <v>1</v>
      </c>
      <c r="EI26">
        <v>2.2585399999999999E-2</v>
      </c>
      <c r="EJ26">
        <v>-0.22447900000000001</v>
      </c>
      <c r="EK26">
        <v>20.327400000000001</v>
      </c>
      <c r="EL26">
        <v>5.2526299999999999</v>
      </c>
      <c r="EM26">
        <v>11.962</v>
      </c>
      <c r="EN26">
        <v>4.9897600000000004</v>
      </c>
      <c r="EO26">
        <v>3.2915000000000001</v>
      </c>
      <c r="EP26">
        <v>9999</v>
      </c>
      <c r="EQ26">
        <v>9999</v>
      </c>
      <c r="ER26">
        <v>9999</v>
      </c>
      <c r="ES26">
        <v>999.9</v>
      </c>
      <c r="ET26">
        <v>4.9727100000000002</v>
      </c>
      <c r="EU26">
        <v>1.87195</v>
      </c>
      <c r="EV26">
        <v>1.87222</v>
      </c>
      <c r="EW26">
        <v>1.8772599999999999</v>
      </c>
      <c r="EX26">
        <v>1.8713500000000001</v>
      </c>
      <c r="EY26">
        <v>1.8721300000000001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5.2389999999999999</v>
      </c>
      <c r="FP26">
        <v>0.2051</v>
      </c>
      <c r="FQ26">
        <v>-2.0849964505683412</v>
      </c>
      <c r="FR26">
        <v>7.6898218637449396E-3</v>
      </c>
      <c r="FS26">
        <v>1.5097418776848419E-6</v>
      </c>
      <c r="FT26">
        <v>-9.8458676114205118E-11</v>
      </c>
      <c r="FU26">
        <v>0.20512499999999889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31.8</v>
      </c>
      <c r="GD26">
        <v>31.9</v>
      </c>
      <c r="GE26">
        <v>1.9287099999999999</v>
      </c>
      <c r="GF26">
        <v>2.6135299999999999</v>
      </c>
      <c r="GG26">
        <v>1.7981</v>
      </c>
      <c r="GH26">
        <v>2.3791500000000001</v>
      </c>
      <c r="GI26">
        <v>1.5979000000000001</v>
      </c>
      <c r="GJ26">
        <v>2.5439500000000002</v>
      </c>
      <c r="GK26">
        <v>35.661299999999997</v>
      </c>
      <c r="GL26">
        <v>24.1663</v>
      </c>
      <c r="GM26">
        <v>18</v>
      </c>
      <c r="GN26">
        <v>367.48500000000001</v>
      </c>
      <c r="GO26">
        <v>659.33500000000004</v>
      </c>
      <c r="GP26">
        <v>25.829599999999999</v>
      </c>
      <c r="GQ26">
        <v>27.341899999999999</v>
      </c>
      <c r="GR26">
        <v>29.9999</v>
      </c>
      <c r="GS26">
        <v>27.303000000000001</v>
      </c>
      <c r="GT26">
        <v>27.327400000000001</v>
      </c>
      <c r="GU26">
        <v>38.580199999999998</v>
      </c>
      <c r="GV26">
        <v>40.474200000000003</v>
      </c>
      <c r="GW26">
        <v>0</v>
      </c>
      <c r="GX26">
        <v>25.83</v>
      </c>
      <c r="GY26">
        <v>900</v>
      </c>
      <c r="GZ26">
        <v>19.5</v>
      </c>
      <c r="HA26">
        <v>100.53100000000001</v>
      </c>
      <c r="HB26">
        <v>70.417900000000003</v>
      </c>
    </row>
    <row r="27" spans="1:210" x14ac:dyDescent="0.3">
      <c r="A27">
        <v>11</v>
      </c>
      <c r="B27">
        <v>1750677536.0999999</v>
      </c>
      <c r="C27">
        <v>1805.099999904633</v>
      </c>
      <c r="D27" t="s">
        <v>362</v>
      </c>
      <c r="E27" t="s">
        <v>363</v>
      </c>
      <c r="F27">
        <v>15</v>
      </c>
      <c r="G27">
        <v>1750677528.349999</v>
      </c>
      <c r="H27">
        <f t="shared" si="0"/>
        <v>2.0139623458754791E-3</v>
      </c>
      <c r="I27">
        <f t="shared" si="1"/>
        <v>2.0139623458754792</v>
      </c>
      <c r="J27">
        <f t="shared" si="2"/>
        <v>28.832241367617584</v>
      </c>
      <c r="K27">
        <f t="shared" si="3"/>
        <v>1130.02</v>
      </c>
      <c r="L27">
        <f t="shared" si="4"/>
        <v>902.86443886913366</v>
      </c>
      <c r="M27">
        <f t="shared" si="5"/>
        <v>91.322581376509191</v>
      </c>
      <c r="N27">
        <f t="shared" si="6"/>
        <v>114.29882379279398</v>
      </c>
      <c r="O27">
        <f t="shared" si="7"/>
        <v>0.23321936337535826</v>
      </c>
      <c r="P27">
        <f t="shared" si="8"/>
        <v>2.4131254853607058</v>
      </c>
      <c r="Q27">
        <f t="shared" si="9"/>
        <v>0.21508136010438761</v>
      </c>
      <c r="R27">
        <f t="shared" si="10"/>
        <v>0.13593907879951514</v>
      </c>
      <c r="S27">
        <f t="shared" si="11"/>
        <v>177.76467133333333</v>
      </c>
      <c r="T27">
        <f t="shared" si="12"/>
        <v>27.242013878885373</v>
      </c>
      <c r="U27">
        <f t="shared" si="13"/>
        <v>25.837990000000001</v>
      </c>
      <c r="V27">
        <f t="shared" si="14"/>
        <v>3.3420456583626272</v>
      </c>
      <c r="W27">
        <f t="shared" si="15"/>
        <v>69.22002101314672</v>
      </c>
      <c r="X27">
        <f t="shared" si="16"/>
        <v>2.4219134709889274</v>
      </c>
      <c r="Y27">
        <f t="shared" si="17"/>
        <v>3.4988626636344726</v>
      </c>
      <c r="Z27">
        <f t="shared" si="18"/>
        <v>0.92013218737369984</v>
      </c>
      <c r="AA27">
        <f t="shared" si="19"/>
        <v>-88.815739453108634</v>
      </c>
      <c r="AB27">
        <f t="shared" si="20"/>
        <v>100.98561231175246</v>
      </c>
      <c r="AC27">
        <f t="shared" si="21"/>
        <v>8.9616914699351913</v>
      </c>
      <c r="AD27">
        <f t="shared" si="22"/>
        <v>198.89623566191236</v>
      </c>
      <c r="AE27">
        <f t="shared" si="23"/>
        <v>28.832241367617584</v>
      </c>
      <c r="AF27">
        <f t="shared" si="24"/>
        <v>2.0139623458754792</v>
      </c>
      <c r="AG27">
        <f t="shared" si="25"/>
        <v>28.78944503100719</v>
      </c>
      <c r="AH27">
        <v>1223.8193938191239</v>
      </c>
      <c r="AI27">
        <v>1157.759818181818</v>
      </c>
      <c r="AJ27">
        <v>4.7876532288134929E-4</v>
      </c>
      <c r="AK27">
        <v>84.152210380358738</v>
      </c>
      <c r="AL27">
        <f t="shared" si="26"/>
        <v>2.0076454306845566</v>
      </c>
      <c r="AM27">
        <v>19.521461861103489</v>
      </c>
      <c r="AN27">
        <v>23.929933684210521</v>
      </c>
      <c r="AO27">
        <v>-7.3380220940552314E-6</v>
      </c>
      <c r="AP27">
        <v>90.438520736945691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53529.39374994806</v>
      </c>
      <c r="AV27">
        <f t="shared" si="30"/>
        <v>935.6035333333333</v>
      </c>
      <c r="AW27">
        <f t="shared" si="31"/>
        <v>748.48282666666671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336</v>
      </c>
      <c r="BC27">
        <v>2</v>
      </c>
      <c r="BD27" t="b">
        <v>0</v>
      </c>
      <c r="BE27">
        <v>1750677528.349999</v>
      </c>
      <c r="BF27">
        <v>1130.02</v>
      </c>
      <c r="BG27">
        <v>1200.002</v>
      </c>
      <c r="BH27">
        <v>23.944346666666672</v>
      </c>
      <c r="BI27">
        <v>19.522136666666668</v>
      </c>
      <c r="BJ27">
        <v>1121.7190000000001</v>
      </c>
      <c r="BK27">
        <v>23.739223333333332</v>
      </c>
      <c r="BL27">
        <v>400.06363333333331</v>
      </c>
      <c r="BM27">
        <v>101.0475666666667</v>
      </c>
      <c r="BN27">
        <v>0.1000446966666667</v>
      </c>
      <c r="BO27">
        <v>26.61422666666666</v>
      </c>
      <c r="BP27">
        <v>25.837990000000001</v>
      </c>
      <c r="BQ27">
        <v>999.9000000000002</v>
      </c>
      <c r="BR27">
        <v>0</v>
      </c>
      <c r="BS27">
        <v>0</v>
      </c>
      <c r="BT27">
        <v>10005.75</v>
      </c>
      <c r="BU27">
        <v>935.6035333333333</v>
      </c>
      <c r="BV27">
        <v>16.4771</v>
      </c>
      <c r="BW27">
        <v>-69.980976666666663</v>
      </c>
      <c r="BX27">
        <v>1157.7423333333329</v>
      </c>
      <c r="BY27">
        <v>1223.894666666667</v>
      </c>
      <c r="BZ27">
        <v>4.4222133333333327</v>
      </c>
      <c r="CA27">
        <v>1200.002</v>
      </c>
      <c r="CB27">
        <v>19.522136666666668</v>
      </c>
      <c r="CC27">
        <v>2.4195193333333331</v>
      </c>
      <c r="CD27">
        <v>1.9726646666666661</v>
      </c>
      <c r="CE27">
        <v>20.495000000000001</v>
      </c>
      <c r="CF27">
        <v>17.226616666666661</v>
      </c>
      <c r="CG27">
        <v>1750675447</v>
      </c>
      <c r="CH27" t="s">
        <v>337</v>
      </c>
      <c r="CI27">
        <v>1750675447</v>
      </c>
      <c r="CJ27">
        <v>1750675440</v>
      </c>
      <c r="CK27">
        <v>3</v>
      </c>
      <c r="CL27">
        <v>-0.53500000000000003</v>
      </c>
      <c r="CM27">
        <v>0.02</v>
      </c>
      <c r="CN27">
        <v>1.657</v>
      </c>
      <c r="CO27">
        <v>0.20499999999999999</v>
      </c>
      <c r="CP27">
        <v>450</v>
      </c>
      <c r="CQ27">
        <v>19</v>
      </c>
      <c r="CR27">
        <v>0.03</v>
      </c>
      <c r="CS27">
        <v>0.02</v>
      </c>
      <c r="CT27">
        <v>-70.002214634146341</v>
      </c>
      <c r="CU27">
        <v>0.30051219512168448</v>
      </c>
      <c r="CV27">
        <v>6.3450528303074988E-2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4.4273100000000012</v>
      </c>
      <c r="DC27">
        <v>-8.8023972125433572E-2</v>
      </c>
      <c r="DD27">
        <v>8.8856713926164094E-3</v>
      </c>
      <c r="DE27">
        <v>1</v>
      </c>
      <c r="DF27">
        <v>2</v>
      </c>
      <c r="DG27">
        <v>2</v>
      </c>
      <c r="DH27" t="s">
        <v>351</v>
      </c>
      <c r="DI27">
        <v>3.02474</v>
      </c>
      <c r="DJ27">
        <v>2.6911700000000001</v>
      </c>
      <c r="DK27">
        <v>0.188746</v>
      </c>
      <c r="DL27">
        <v>0.19797400000000001</v>
      </c>
      <c r="DM27">
        <v>0.11923499999999999</v>
      </c>
      <c r="DN27">
        <v>0.10432900000000001</v>
      </c>
      <c r="DO27">
        <v>22626.1</v>
      </c>
      <c r="DP27">
        <v>15035.7</v>
      </c>
      <c r="DQ27">
        <v>26460.9</v>
      </c>
      <c r="DR27">
        <v>17037.7</v>
      </c>
      <c r="DS27">
        <v>33145.4</v>
      </c>
      <c r="DT27">
        <v>19909</v>
      </c>
      <c r="DU27">
        <v>38545.1</v>
      </c>
      <c r="DV27">
        <v>22550.9</v>
      </c>
      <c r="DW27">
        <v>1.8069200000000001</v>
      </c>
      <c r="DX27">
        <v>2.1815799999999999</v>
      </c>
      <c r="DY27">
        <v>8.30293E-2</v>
      </c>
      <c r="DZ27">
        <v>0</v>
      </c>
      <c r="EA27">
        <v>24.476500000000001</v>
      </c>
      <c r="EB27">
        <v>999.9</v>
      </c>
      <c r="EC27">
        <v>60</v>
      </c>
      <c r="ED27">
        <v>32.5</v>
      </c>
      <c r="EE27">
        <v>29.165800000000001</v>
      </c>
      <c r="EF27">
        <v>62.759500000000003</v>
      </c>
      <c r="EG27">
        <v>37.275599999999997</v>
      </c>
      <c r="EH27">
        <v>1</v>
      </c>
      <c r="EI27">
        <v>1.72439E-2</v>
      </c>
      <c r="EJ27">
        <v>-0.28782400000000002</v>
      </c>
      <c r="EK27">
        <v>20.3277</v>
      </c>
      <c r="EL27">
        <v>5.2516699999999998</v>
      </c>
      <c r="EM27">
        <v>11.962</v>
      </c>
      <c r="EN27">
        <v>4.9896000000000003</v>
      </c>
      <c r="EO27">
        <v>3.29148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1.87195</v>
      </c>
      <c r="EV27">
        <v>1.8722399999999999</v>
      </c>
      <c r="EW27">
        <v>1.87727</v>
      </c>
      <c r="EX27">
        <v>1.8713599999999999</v>
      </c>
      <c r="EY27">
        <v>1.8721099999999999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8.3000000000000007</v>
      </c>
      <c r="FP27">
        <v>0.20519999999999999</v>
      </c>
      <c r="FQ27">
        <v>-2.0849964505683412</v>
      </c>
      <c r="FR27">
        <v>7.6898218637449396E-3</v>
      </c>
      <c r="FS27">
        <v>1.5097418776848419E-6</v>
      </c>
      <c r="FT27">
        <v>-9.8458676114205118E-11</v>
      </c>
      <c r="FU27">
        <v>0.20512499999999889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34.799999999999997</v>
      </c>
      <c r="GD27">
        <v>34.9</v>
      </c>
      <c r="GE27">
        <v>2.4414099999999999</v>
      </c>
      <c r="GF27">
        <v>2.6098599999999998</v>
      </c>
      <c r="GG27">
        <v>1.7981</v>
      </c>
      <c r="GH27">
        <v>2.3791500000000001</v>
      </c>
      <c r="GI27">
        <v>1.5979000000000001</v>
      </c>
      <c r="GJ27">
        <v>2.5952099999999998</v>
      </c>
      <c r="GK27">
        <v>35.614800000000002</v>
      </c>
      <c r="GL27">
        <v>24.1663</v>
      </c>
      <c r="GM27">
        <v>18</v>
      </c>
      <c r="GN27">
        <v>367.20600000000002</v>
      </c>
      <c r="GO27">
        <v>660.721</v>
      </c>
      <c r="GP27">
        <v>25.829599999999999</v>
      </c>
      <c r="GQ27">
        <v>27.271699999999999</v>
      </c>
      <c r="GR27">
        <v>29.9999</v>
      </c>
      <c r="GS27">
        <v>27.2441</v>
      </c>
      <c r="GT27">
        <v>27.267900000000001</v>
      </c>
      <c r="GU27">
        <v>48.816400000000002</v>
      </c>
      <c r="GV27">
        <v>40.200099999999999</v>
      </c>
      <c r="GW27">
        <v>0</v>
      </c>
      <c r="GX27">
        <v>25.83</v>
      </c>
      <c r="GY27">
        <v>1200</v>
      </c>
      <c r="GZ27">
        <v>19.5</v>
      </c>
      <c r="HA27">
        <v>100.54600000000001</v>
      </c>
      <c r="HB27">
        <v>70.425799999999995</v>
      </c>
    </row>
    <row r="28" spans="1:210" x14ac:dyDescent="0.3">
      <c r="A28">
        <v>12</v>
      </c>
      <c r="B28">
        <v>1750677716.5999999</v>
      </c>
      <c r="C28">
        <v>1985.599999904633</v>
      </c>
      <c r="D28" t="s">
        <v>364</v>
      </c>
      <c r="E28" t="s">
        <v>365</v>
      </c>
      <c r="F28">
        <v>15</v>
      </c>
      <c r="G28">
        <v>1750677708.849999</v>
      </c>
      <c r="H28">
        <f t="shared" si="0"/>
        <v>1.8874964973905545E-3</v>
      </c>
      <c r="I28">
        <f t="shared" si="1"/>
        <v>1.8874964973905546</v>
      </c>
      <c r="J28">
        <f t="shared" si="2"/>
        <v>28.372571270924421</v>
      </c>
      <c r="K28">
        <f t="shared" si="3"/>
        <v>1529.663333333333</v>
      </c>
      <c r="L28">
        <f t="shared" si="4"/>
        <v>1278.831922790401</v>
      </c>
      <c r="M28">
        <f t="shared" si="5"/>
        <v>129.35687942120546</v>
      </c>
      <c r="N28">
        <f t="shared" si="6"/>
        <v>154.72907098947218</v>
      </c>
      <c r="O28">
        <f t="shared" si="7"/>
        <v>0.21081931986395042</v>
      </c>
      <c r="P28">
        <f t="shared" si="8"/>
        <v>2.4134669241463267</v>
      </c>
      <c r="Q28">
        <f t="shared" si="9"/>
        <v>0.19588191676333147</v>
      </c>
      <c r="R28">
        <f t="shared" si="10"/>
        <v>0.12368101619813016</v>
      </c>
      <c r="S28">
        <f t="shared" si="11"/>
        <v>177.75869266666663</v>
      </c>
      <c r="T28">
        <f t="shared" si="12"/>
        <v>27.242895232708353</v>
      </c>
      <c r="U28">
        <f t="shared" si="13"/>
        <v>25.803650000000001</v>
      </c>
      <c r="V28">
        <f t="shared" si="14"/>
        <v>3.3352523738890563</v>
      </c>
      <c r="W28">
        <f t="shared" si="15"/>
        <v>68.40905763423558</v>
      </c>
      <c r="X28">
        <f t="shared" si="16"/>
        <v>2.3881342814214612</v>
      </c>
      <c r="Y28">
        <f t="shared" si="17"/>
        <v>3.4909621094185486</v>
      </c>
      <c r="Z28">
        <f t="shared" si="18"/>
        <v>0.94711809246759504</v>
      </c>
      <c r="AA28">
        <f t="shared" si="19"/>
        <v>-83.238595534923448</v>
      </c>
      <c r="AB28">
        <f t="shared" si="20"/>
        <v>100.4751045267118</v>
      </c>
      <c r="AC28">
        <f t="shared" si="21"/>
        <v>8.9118770505213387</v>
      </c>
      <c r="AD28">
        <f t="shared" si="22"/>
        <v>203.90707870897631</v>
      </c>
      <c r="AE28">
        <f t="shared" si="23"/>
        <v>28.372571270924421</v>
      </c>
      <c r="AF28">
        <f t="shared" si="24"/>
        <v>1.8874964973905546</v>
      </c>
      <c r="AG28">
        <f t="shared" si="25"/>
        <v>28.288288445590762</v>
      </c>
      <c r="AH28">
        <v>1631.7491549882559</v>
      </c>
      <c r="AI28">
        <v>1566.676606060606</v>
      </c>
      <c r="AJ28">
        <v>2.0066277030665231E-2</v>
      </c>
      <c r="AK28">
        <v>84.152210380358738</v>
      </c>
      <c r="AL28">
        <f t="shared" si="26"/>
        <v>1.8838070551544603</v>
      </c>
      <c r="AM28">
        <v>19.457859638315671</v>
      </c>
      <c r="AN28">
        <v>23.595775338345849</v>
      </c>
      <c r="AO28">
        <v>-4.626234934231936E-6</v>
      </c>
      <c r="AP28">
        <v>90.438520736945691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53547.77319877901</v>
      </c>
      <c r="AV28">
        <f t="shared" si="30"/>
        <v>935.5720666666665</v>
      </c>
      <c r="AW28">
        <f t="shared" si="31"/>
        <v>748.45765333333327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336</v>
      </c>
      <c r="BC28">
        <v>2</v>
      </c>
      <c r="BD28" t="b">
        <v>0</v>
      </c>
      <c r="BE28">
        <v>1750677708.849999</v>
      </c>
      <c r="BF28">
        <v>1529.663333333333</v>
      </c>
      <c r="BG28">
        <v>1599.9863333333331</v>
      </c>
      <c r="BH28">
        <v>23.60927666666667</v>
      </c>
      <c r="BI28">
        <v>19.46335666666667</v>
      </c>
      <c r="BJ28">
        <v>1516.9533333333329</v>
      </c>
      <c r="BK28">
        <v>23.404150000000001</v>
      </c>
      <c r="BL28">
        <v>400.06576666666672</v>
      </c>
      <c r="BM28">
        <v>101.0523666666667</v>
      </c>
      <c r="BN28">
        <v>0.10000302</v>
      </c>
      <c r="BO28">
        <v>26.575853333333331</v>
      </c>
      <c r="BP28">
        <v>25.803650000000001</v>
      </c>
      <c r="BQ28">
        <v>999.9000000000002</v>
      </c>
      <c r="BR28">
        <v>0</v>
      </c>
      <c r="BS28">
        <v>0</v>
      </c>
      <c r="BT28">
        <v>10007.5</v>
      </c>
      <c r="BU28">
        <v>935.5720666666665</v>
      </c>
      <c r="BV28">
        <v>16.4771</v>
      </c>
      <c r="BW28">
        <v>-70.322253333333322</v>
      </c>
      <c r="BX28">
        <v>1566.6516666666671</v>
      </c>
      <c r="BY28">
        <v>1631.7453333333331</v>
      </c>
      <c r="BZ28">
        <v>4.145922333333333</v>
      </c>
      <c r="CA28">
        <v>1599.9863333333331</v>
      </c>
      <c r="CB28">
        <v>19.46335666666667</v>
      </c>
      <c r="CC28">
        <v>2.385772333333334</v>
      </c>
      <c r="CD28">
        <v>1.966817666666667</v>
      </c>
      <c r="CE28">
        <v>20.267533333333329</v>
      </c>
      <c r="CF28">
        <v>17.1797</v>
      </c>
      <c r="CG28">
        <v>1750675447</v>
      </c>
      <c r="CH28" t="s">
        <v>337</v>
      </c>
      <c r="CI28">
        <v>1750675447</v>
      </c>
      <c r="CJ28">
        <v>1750675440</v>
      </c>
      <c r="CK28">
        <v>3</v>
      </c>
      <c r="CL28">
        <v>-0.53500000000000003</v>
      </c>
      <c r="CM28">
        <v>0.02</v>
      </c>
      <c r="CN28">
        <v>1.657</v>
      </c>
      <c r="CO28">
        <v>0.20499999999999999</v>
      </c>
      <c r="CP28">
        <v>450</v>
      </c>
      <c r="CQ28">
        <v>19</v>
      </c>
      <c r="CR28">
        <v>0.03</v>
      </c>
      <c r="CS28">
        <v>0.02</v>
      </c>
      <c r="CT28">
        <v>-70.403074999999987</v>
      </c>
      <c r="CU28">
        <v>1.1341035647281721</v>
      </c>
      <c r="CV28">
        <v>0.15669832282127399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4.1512777500000002</v>
      </c>
      <c r="DC28">
        <v>-7.9803489681056425E-2</v>
      </c>
      <c r="DD28">
        <v>8.2049413427214297E-3</v>
      </c>
      <c r="DE28">
        <v>1</v>
      </c>
      <c r="DF28">
        <v>1</v>
      </c>
      <c r="DG28">
        <v>2</v>
      </c>
      <c r="DH28" t="s">
        <v>338</v>
      </c>
      <c r="DI28">
        <v>3.0247799999999998</v>
      </c>
      <c r="DJ28">
        <v>2.6912099999999999</v>
      </c>
      <c r="DK28">
        <v>0.22675699999999999</v>
      </c>
      <c r="DL28">
        <v>0.235456</v>
      </c>
      <c r="DM28">
        <v>0.118089</v>
      </c>
      <c r="DN28">
        <v>0.104134</v>
      </c>
      <c r="DO28">
        <v>21570.7</v>
      </c>
      <c r="DP28">
        <v>14335.6</v>
      </c>
      <c r="DQ28">
        <v>26465.9</v>
      </c>
      <c r="DR28">
        <v>17040.400000000001</v>
      </c>
      <c r="DS28">
        <v>33196.199999999997</v>
      </c>
      <c r="DT28">
        <v>19916.2</v>
      </c>
      <c r="DU28">
        <v>38552.6</v>
      </c>
      <c r="DV28">
        <v>22553.8</v>
      </c>
      <c r="DW28">
        <v>1.8083199999999999</v>
      </c>
      <c r="DX28">
        <v>2.1847400000000001</v>
      </c>
      <c r="DY28">
        <v>8.66503E-2</v>
      </c>
      <c r="DZ28">
        <v>0</v>
      </c>
      <c r="EA28">
        <v>24.377099999999999</v>
      </c>
      <c r="EB28">
        <v>999.9</v>
      </c>
      <c r="EC28">
        <v>60</v>
      </c>
      <c r="ED28">
        <v>32.5</v>
      </c>
      <c r="EE28">
        <v>29.1632</v>
      </c>
      <c r="EF28">
        <v>62.639499999999998</v>
      </c>
      <c r="EG28">
        <v>37.479999999999997</v>
      </c>
      <c r="EH28">
        <v>1</v>
      </c>
      <c r="EI28">
        <v>9.6991899999999999E-3</v>
      </c>
      <c r="EJ28">
        <v>-0.35835299999999998</v>
      </c>
      <c r="EK28">
        <v>20.327500000000001</v>
      </c>
      <c r="EL28">
        <v>5.2527499999999998</v>
      </c>
      <c r="EM28">
        <v>11.962</v>
      </c>
      <c r="EN28">
        <v>4.9896399999999996</v>
      </c>
      <c r="EO28">
        <v>3.2913999999999999</v>
      </c>
      <c r="EP28">
        <v>9999</v>
      </c>
      <c r="EQ28">
        <v>9999</v>
      </c>
      <c r="ER28">
        <v>9999</v>
      </c>
      <c r="ES28">
        <v>999.9</v>
      </c>
      <c r="ET28">
        <v>4.9727300000000003</v>
      </c>
      <c r="EU28">
        <v>1.87195</v>
      </c>
      <c r="EV28">
        <v>1.8722399999999999</v>
      </c>
      <c r="EW28">
        <v>1.8772800000000001</v>
      </c>
      <c r="EX28">
        <v>1.87138</v>
      </c>
      <c r="EY28">
        <v>1.87212</v>
      </c>
      <c r="EZ28">
        <v>1.8717999999999999</v>
      </c>
      <c r="FA28">
        <v>1.8687499999999999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12.71</v>
      </c>
      <c r="FP28">
        <v>0.2051</v>
      </c>
      <c r="FQ28">
        <v>-2.0849964505683412</v>
      </c>
      <c r="FR28">
        <v>7.6898218637449396E-3</v>
      </c>
      <c r="FS28">
        <v>1.5097418776848419E-6</v>
      </c>
      <c r="FT28">
        <v>-9.8458676114205118E-11</v>
      </c>
      <c r="FU28">
        <v>0.20512499999999889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37.799999999999997</v>
      </c>
      <c r="GD28">
        <v>37.9</v>
      </c>
      <c r="GE28">
        <v>3.0871599999999999</v>
      </c>
      <c r="GF28">
        <v>2.5988799999999999</v>
      </c>
      <c r="GG28">
        <v>1.7981</v>
      </c>
      <c r="GH28">
        <v>2.3791500000000001</v>
      </c>
      <c r="GI28">
        <v>1.5979000000000001</v>
      </c>
      <c r="GJ28">
        <v>2.5769000000000002</v>
      </c>
      <c r="GK28">
        <v>35.545099999999998</v>
      </c>
      <c r="GL28">
        <v>24.1663</v>
      </c>
      <c r="GM28">
        <v>18</v>
      </c>
      <c r="GN28">
        <v>367.31200000000001</v>
      </c>
      <c r="GO28">
        <v>662.29700000000003</v>
      </c>
      <c r="GP28">
        <v>25.8294</v>
      </c>
      <c r="GQ28">
        <v>27.165600000000001</v>
      </c>
      <c r="GR28">
        <v>29.9999</v>
      </c>
      <c r="GS28">
        <v>27.151800000000001</v>
      </c>
      <c r="GT28">
        <v>27.1767</v>
      </c>
      <c r="GU28">
        <v>61.708199999999998</v>
      </c>
      <c r="GV28">
        <v>40.200099999999999</v>
      </c>
      <c r="GW28">
        <v>0</v>
      </c>
      <c r="GX28">
        <v>25.83</v>
      </c>
      <c r="GY28">
        <v>1600</v>
      </c>
      <c r="GZ28">
        <v>19.5</v>
      </c>
      <c r="HA28">
        <v>100.565</v>
      </c>
      <c r="HB28">
        <v>70.435699999999997</v>
      </c>
    </row>
    <row r="29" spans="1:210" x14ac:dyDescent="0.3">
      <c r="A29">
        <v>13</v>
      </c>
      <c r="B29">
        <v>1750677897.5</v>
      </c>
      <c r="C29">
        <v>2166.5</v>
      </c>
      <c r="D29" t="s">
        <v>366</v>
      </c>
      <c r="E29" t="s">
        <v>367</v>
      </c>
      <c r="F29">
        <v>15</v>
      </c>
      <c r="G29">
        <v>1750677889.75</v>
      </c>
      <c r="H29">
        <f t="shared" si="0"/>
        <v>1.8100451055564186E-3</v>
      </c>
      <c r="I29">
        <f t="shared" si="1"/>
        <v>1.8100451055564186</v>
      </c>
      <c r="J29">
        <f t="shared" si="2"/>
        <v>17.382531730051529</v>
      </c>
      <c r="K29">
        <f t="shared" si="3"/>
        <v>409.22133333333329</v>
      </c>
      <c r="L29">
        <f t="shared" si="4"/>
        <v>257.75448232328091</v>
      </c>
      <c r="M29">
        <f t="shared" si="5"/>
        <v>26.078928469790768</v>
      </c>
      <c r="N29">
        <f t="shared" si="6"/>
        <v>41.403950705801101</v>
      </c>
      <c r="O29">
        <f t="shared" si="7"/>
        <v>0.2018860015063153</v>
      </c>
      <c r="P29">
        <f t="shared" si="8"/>
        <v>2.4130978425144192</v>
      </c>
      <c r="Q29">
        <f t="shared" si="9"/>
        <v>0.18814203369532265</v>
      </c>
      <c r="R29">
        <f t="shared" si="10"/>
        <v>0.11874650965170401</v>
      </c>
      <c r="S29">
        <f t="shared" si="11"/>
        <v>177.80959366666667</v>
      </c>
      <c r="T29">
        <f t="shared" si="12"/>
        <v>27.221458718264039</v>
      </c>
      <c r="U29">
        <f t="shared" si="13"/>
        <v>25.74693666666667</v>
      </c>
      <c r="V29">
        <f t="shared" si="14"/>
        <v>3.3240595091351701</v>
      </c>
      <c r="W29">
        <f t="shared" si="15"/>
        <v>68.306575040715728</v>
      </c>
      <c r="X29">
        <f t="shared" si="16"/>
        <v>2.378098239462477</v>
      </c>
      <c r="Y29">
        <f t="shared" si="17"/>
        <v>3.4815070702124302</v>
      </c>
      <c r="Z29">
        <f t="shared" si="18"/>
        <v>0.94596126967269312</v>
      </c>
      <c r="AA29">
        <f t="shared" si="19"/>
        <v>-79.822989155038059</v>
      </c>
      <c r="AB29">
        <f t="shared" si="20"/>
        <v>101.85045409082588</v>
      </c>
      <c r="AC29">
        <f t="shared" si="21"/>
        <v>9.0305960546114896</v>
      </c>
      <c r="AD29">
        <f t="shared" si="22"/>
        <v>208.867654657066</v>
      </c>
      <c r="AE29">
        <f t="shared" si="23"/>
        <v>17.382531730051529</v>
      </c>
      <c r="AF29">
        <f t="shared" si="24"/>
        <v>1.8100451055564186</v>
      </c>
      <c r="AG29">
        <f t="shared" si="25"/>
        <v>17.510455658590548</v>
      </c>
      <c r="AH29">
        <v>458.92892336275241</v>
      </c>
      <c r="AI29">
        <v>418.93832727272701</v>
      </c>
      <c r="AJ29">
        <v>-2.2052536712699689E-2</v>
      </c>
      <c r="AK29">
        <v>84.152210380358738</v>
      </c>
      <c r="AL29">
        <f t="shared" si="26"/>
        <v>1.8095966903346044</v>
      </c>
      <c r="AM29">
        <v>19.529426982196519</v>
      </c>
      <c r="AN29">
        <v>23.504878345864661</v>
      </c>
      <c r="AO29">
        <v>1.024516852343713E-7</v>
      </c>
      <c r="AP29">
        <v>90.438520736945691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53544.199441801407</v>
      </c>
      <c r="AV29">
        <f t="shared" si="30"/>
        <v>935.83996666666667</v>
      </c>
      <c r="AW29">
        <f t="shared" si="31"/>
        <v>748.67197333333343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336</v>
      </c>
      <c r="BC29">
        <v>2</v>
      </c>
      <c r="BD29" t="b">
        <v>0</v>
      </c>
      <c r="BE29">
        <v>1750677889.75</v>
      </c>
      <c r="BF29">
        <v>409.22133333333329</v>
      </c>
      <c r="BG29">
        <v>449.99413333333342</v>
      </c>
      <c r="BH29">
        <v>23.504243333333331</v>
      </c>
      <c r="BI29">
        <v>19.527803333333331</v>
      </c>
      <c r="BJ29">
        <v>407.92483333333331</v>
      </c>
      <c r="BK29">
        <v>23.299130000000002</v>
      </c>
      <c r="BL29">
        <v>400.04406666666671</v>
      </c>
      <c r="BM29">
        <v>101.0774</v>
      </c>
      <c r="BN29">
        <v>0.1000004266666667</v>
      </c>
      <c r="BO29">
        <v>26.52983</v>
      </c>
      <c r="BP29">
        <v>25.74693666666667</v>
      </c>
      <c r="BQ29">
        <v>999.9000000000002</v>
      </c>
      <c r="BR29">
        <v>0</v>
      </c>
      <c r="BS29">
        <v>0</v>
      </c>
      <c r="BT29">
        <v>10002.61666666667</v>
      </c>
      <c r="BU29">
        <v>935.83996666666667</v>
      </c>
      <c r="BV29">
        <v>16.442589999999999</v>
      </c>
      <c r="BW29">
        <v>-40.772849999999998</v>
      </c>
      <c r="BX29">
        <v>419.07126666666659</v>
      </c>
      <c r="BY29">
        <v>458.95650000000001</v>
      </c>
      <c r="BZ29">
        <v>3.9764486666666659</v>
      </c>
      <c r="CA29">
        <v>449.99413333333342</v>
      </c>
      <c r="CB29">
        <v>19.527803333333331</v>
      </c>
      <c r="CC29">
        <v>2.3757463333333328</v>
      </c>
      <c r="CD29">
        <v>1.9738176666666669</v>
      </c>
      <c r="CE29">
        <v>20.19941</v>
      </c>
      <c r="CF29">
        <v>17.235859999999999</v>
      </c>
      <c r="CG29">
        <v>1750675447</v>
      </c>
      <c r="CH29" t="s">
        <v>337</v>
      </c>
      <c r="CI29">
        <v>1750675447</v>
      </c>
      <c r="CJ29">
        <v>1750675440</v>
      </c>
      <c r="CK29">
        <v>3</v>
      </c>
      <c r="CL29">
        <v>-0.53500000000000003</v>
      </c>
      <c r="CM29">
        <v>0.02</v>
      </c>
      <c r="CN29">
        <v>1.657</v>
      </c>
      <c r="CO29">
        <v>0.20499999999999999</v>
      </c>
      <c r="CP29">
        <v>450</v>
      </c>
      <c r="CQ29">
        <v>19</v>
      </c>
      <c r="CR29">
        <v>0.03</v>
      </c>
      <c r="CS29">
        <v>0.02</v>
      </c>
      <c r="CT29">
        <v>-40.690264999999997</v>
      </c>
      <c r="CU29">
        <v>-1.351929455909977</v>
      </c>
      <c r="CV29">
        <v>0.13617169410343691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3.9763377499999999</v>
      </c>
      <c r="DC29">
        <v>-6.1069418387288453E-4</v>
      </c>
      <c r="DD29">
        <v>1.660592495918226E-3</v>
      </c>
      <c r="DE29">
        <v>1</v>
      </c>
      <c r="DF29">
        <v>1</v>
      </c>
      <c r="DG29">
        <v>2</v>
      </c>
      <c r="DH29" t="s">
        <v>338</v>
      </c>
      <c r="DI29">
        <v>3.0248599999999999</v>
      </c>
      <c r="DJ29">
        <v>2.6913299999999998</v>
      </c>
      <c r="DK29">
        <v>9.4612600000000005E-2</v>
      </c>
      <c r="DL29">
        <v>0.102396</v>
      </c>
      <c r="DM29">
        <v>0.117828</v>
      </c>
      <c r="DN29">
        <v>0.10441499999999999</v>
      </c>
      <c r="DO29">
        <v>25263.1</v>
      </c>
      <c r="DP29">
        <v>16833.099999999999</v>
      </c>
      <c r="DQ29">
        <v>26472.2</v>
      </c>
      <c r="DR29">
        <v>17043.099999999999</v>
      </c>
      <c r="DS29">
        <v>33210.300000000003</v>
      </c>
      <c r="DT29">
        <v>19910.099999999999</v>
      </c>
      <c r="DU29">
        <v>38562.1</v>
      </c>
      <c r="DV29">
        <v>22556.7</v>
      </c>
      <c r="DW29">
        <v>1.8096000000000001</v>
      </c>
      <c r="DX29">
        <v>2.1852200000000002</v>
      </c>
      <c r="DY29">
        <v>9.0777899999999995E-2</v>
      </c>
      <c r="DZ29">
        <v>0</v>
      </c>
      <c r="EA29">
        <v>24.256</v>
      </c>
      <c r="EB29">
        <v>999.9</v>
      </c>
      <c r="EC29">
        <v>60</v>
      </c>
      <c r="ED29">
        <v>32.5</v>
      </c>
      <c r="EE29">
        <v>29.157499999999999</v>
      </c>
      <c r="EF29">
        <v>62.509599999999999</v>
      </c>
      <c r="EG29">
        <v>37.4559</v>
      </c>
      <c r="EH29">
        <v>1</v>
      </c>
      <c r="EI29">
        <v>-2.0325200000000001E-4</v>
      </c>
      <c r="EJ29">
        <v>-0.42464099999999999</v>
      </c>
      <c r="EK29">
        <v>20.3278</v>
      </c>
      <c r="EL29">
        <v>5.2488000000000001</v>
      </c>
      <c r="EM29">
        <v>11.962</v>
      </c>
      <c r="EN29">
        <v>4.9897200000000002</v>
      </c>
      <c r="EO29">
        <v>3.2916799999999999</v>
      </c>
      <c r="EP29">
        <v>9999</v>
      </c>
      <c r="EQ29">
        <v>9999</v>
      </c>
      <c r="ER29">
        <v>9999</v>
      </c>
      <c r="ES29">
        <v>999.9</v>
      </c>
      <c r="ET29">
        <v>4.9726900000000001</v>
      </c>
      <c r="EU29">
        <v>1.87195</v>
      </c>
      <c r="EV29">
        <v>1.8722399999999999</v>
      </c>
      <c r="EW29">
        <v>1.87721</v>
      </c>
      <c r="EX29">
        <v>1.8713599999999999</v>
      </c>
      <c r="EY29">
        <v>1.8721000000000001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1.2949999999999999</v>
      </c>
      <c r="FP29">
        <v>0.2051</v>
      </c>
      <c r="FQ29">
        <v>-2.0849964505683412</v>
      </c>
      <c r="FR29">
        <v>7.6898218637449396E-3</v>
      </c>
      <c r="FS29">
        <v>1.5097418776848419E-6</v>
      </c>
      <c r="FT29">
        <v>-9.8458676114205118E-11</v>
      </c>
      <c r="FU29">
        <v>0.20512499999999889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40.799999999999997</v>
      </c>
      <c r="GD29">
        <v>41</v>
      </c>
      <c r="GE29">
        <v>1.10229</v>
      </c>
      <c r="GF29">
        <v>2.6110799999999998</v>
      </c>
      <c r="GG29">
        <v>1.7981</v>
      </c>
      <c r="GH29">
        <v>2.3791500000000001</v>
      </c>
      <c r="GI29">
        <v>1.5979000000000001</v>
      </c>
      <c r="GJ29">
        <v>2.5695800000000002</v>
      </c>
      <c r="GK29">
        <v>35.498600000000003</v>
      </c>
      <c r="GL29">
        <v>24.1663</v>
      </c>
      <c r="GM29">
        <v>18</v>
      </c>
      <c r="GN29">
        <v>367.16500000000002</v>
      </c>
      <c r="GO29">
        <v>661.21699999999998</v>
      </c>
      <c r="GP29">
        <v>25.829799999999999</v>
      </c>
      <c r="GQ29">
        <v>27.031700000000001</v>
      </c>
      <c r="GR29">
        <v>29.9998</v>
      </c>
      <c r="GS29">
        <v>27.031099999999999</v>
      </c>
      <c r="GT29">
        <v>27.057300000000001</v>
      </c>
      <c r="GU29">
        <v>22.025600000000001</v>
      </c>
      <c r="GV29">
        <v>39.923200000000001</v>
      </c>
      <c r="GW29">
        <v>0</v>
      </c>
      <c r="GX29">
        <v>25.83</v>
      </c>
      <c r="GY29">
        <v>450</v>
      </c>
      <c r="GZ29">
        <v>19.5</v>
      </c>
      <c r="HA29">
        <v>100.59</v>
      </c>
      <c r="HB29">
        <v>70.445599999999999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2025-06-23T11:25:36Z</dcterms:created>
  <dcterms:modified xsi:type="dcterms:W3CDTF">2025-12-01T11:36:24Z</dcterms:modified>
</cp:coreProperties>
</file>