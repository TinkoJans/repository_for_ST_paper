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0A1B52ABA3BFF4E5AD3250D70638F062" xr6:coauthVersionLast="47" xr6:coauthVersionMax="47" xr10:uidLastSave="{44D229B4-E3EB-4102-91B2-51F6230C41ED}"/>
  <bookViews>
    <workbookView xWindow="2304" yWindow="230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W29" i="1"/>
  <c r="S29" i="1"/>
  <c r="P29" i="1"/>
  <c r="AY28" i="1"/>
  <c r="AX28" i="1"/>
  <c r="AW28" i="1"/>
  <c r="AV28" i="1"/>
  <c r="S28" i="1" s="1"/>
  <c r="AU28" i="1"/>
  <c r="AS28" i="1" s="1"/>
  <c r="AL28" i="1"/>
  <c r="AG28" i="1"/>
  <c r="AF28" i="1"/>
  <c r="I28" i="1" s="1"/>
  <c r="Y28" i="1"/>
  <c r="X28" i="1"/>
  <c r="W28" i="1"/>
  <c r="P28" i="1"/>
  <c r="H28" i="1"/>
  <c r="T28" i="1" s="1"/>
  <c r="U28" i="1" s="1"/>
  <c r="AY27" i="1"/>
  <c r="AX27" i="1"/>
  <c r="AV27" i="1"/>
  <c r="S27" i="1" s="1"/>
  <c r="AU27" i="1"/>
  <c r="AS27" i="1"/>
  <c r="AT27" i="1" s="1"/>
  <c r="AL27" i="1"/>
  <c r="AG27" i="1"/>
  <c r="AF27" i="1"/>
  <c r="AE27" i="1"/>
  <c r="Y27" i="1"/>
  <c r="X27" i="1"/>
  <c r="W27" i="1"/>
  <c r="P27" i="1"/>
  <c r="N27" i="1"/>
  <c r="K27" i="1"/>
  <c r="J27" i="1"/>
  <c r="I27" i="1"/>
  <c r="H27" i="1"/>
  <c r="AA27" i="1" s="1"/>
  <c r="AY26" i="1"/>
  <c r="AX26" i="1"/>
  <c r="AV26" i="1"/>
  <c r="AU26" i="1"/>
  <c r="AS26" i="1"/>
  <c r="AL26" i="1"/>
  <c r="AG26" i="1"/>
  <c r="Y26" i="1"/>
  <c r="X26" i="1"/>
  <c r="S26" i="1"/>
  <c r="P26" i="1"/>
  <c r="AY25" i="1"/>
  <c r="AX25" i="1"/>
  <c r="AW25" i="1"/>
  <c r="AV25" i="1"/>
  <c r="AU25" i="1"/>
  <c r="AS25" i="1"/>
  <c r="AF25" i="1" s="1"/>
  <c r="I25" i="1" s="1"/>
  <c r="H25" i="1" s="1"/>
  <c r="AL25" i="1"/>
  <c r="AG25" i="1"/>
  <c r="Y25" i="1"/>
  <c r="X25" i="1"/>
  <c r="W25" i="1"/>
  <c r="S25" i="1"/>
  <c r="P25" i="1"/>
  <c r="AY24" i="1"/>
  <c r="AX24" i="1"/>
  <c r="AV24" i="1"/>
  <c r="AU24" i="1"/>
  <c r="AS24" i="1" s="1"/>
  <c r="AT24" i="1" s="1"/>
  <c r="AL24" i="1"/>
  <c r="AG24" i="1"/>
  <c r="AF24" i="1"/>
  <c r="I24" i="1" s="1"/>
  <c r="H24" i="1" s="1"/>
  <c r="Y24" i="1"/>
  <c r="X24" i="1"/>
  <c r="W24" i="1"/>
  <c r="P24" i="1"/>
  <c r="AY23" i="1"/>
  <c r="AX23" i="1"/>
  <c r="AV23" i="1"/>
  <c r="AW23" i="1" s="1"/>
  <c r="AU23" i="1"/>
  <c r="AS23" i="1"/>
  <c r="AT23" i="1" s="1"/>
  <c r="AL23" i="1"/>
  <c r="AG23" i="1"/>
  <c r="AE23" i="1"/>
  <c r="J23" i="1" s="1"/>
  <c r="Y23" i="1"/>
  <c r="W23" i="1" s="1"/>
  <c r="X23" i="1"/>
  <c r="S23" i="1"/>
  <c r="P23" i="1"/>
  <c r="AY22" i="1"/>
  <c r="AX22" i="1"/>
  <c r="AV22" i="1"/>
  <c r="AW22" i="1" s="1"/>
  <c r="AU22" i="1"/>
  <c r="AS22" i="1"/>
  <c r="AL22" i="1"/>
  <c r="AG22" i="1"/>
  <c r="Y22" i="1"/>
  <c r="X22" i="1"/>
  <c r="W22" i="1" s="1"/>
  <c r="S22" i="1"/>
  <c r="P22" i="1"/>
  <c r="AY21" i="1"/>
  <c r="AX21" i="1"/>
  <c r="AV21" i="1"/>
  <c r="AW21" i="1" s="1"/>
  <c r="AU21" i="1"/>
  <c r="AS21" i="1"/>
  <c r="AF21" i="1" s="1"/>
  <c r="I21" i="1" s="1"/>
  <c r="H21" i="1" s="1"/>
  <c r="AL21" i="1"/>
  <c r="AG21" i="1"/>
  <c r="Y21" i="1"/>
  <c r="X21" i="1"/>
  <c r="W21" i="1"/>
  <c r="P21" i="1"/>
  <c r="AY20" i="1"/>
  <c r="AX20" i="1"/>
  <c r="AV20" i="1"/>
  <c r="AU20" i="1"/>
  <c r="AS20" i="1" s="1"/>
  <c r="K20" i="1" s="1"/>
  <c r="AT20" i="1"/>
  <c r="AL20" i="1"/>
  <c r="AG20" i="1"/>
  <c r="AE20" i="1"/>
  <c r="J20" i="1" s="1"/>
  <c r="Y20" i="1"/>
  <c r="W20" i="1" s="1"/>
  <c r="X20" i="1"/>
  <c r="P20" i="1"/>
  <c r="AY19" i="1"/>
  <c r="AX19" i="1"/>
  <c r="AW19" i="1"/>
  <c r="AV19" i="1"/>
  <c r="AU19" i="1"/>
  <c r="AS19" i="1"/>
  <c r="AT19" i="1" s="1"/>
  <c r="AL19" i="1"/>
  <c r="AG19" i="1"/>
  <c r="AE19" i="1"/>
  <c r="J19" i="1" s="1"/>
  <c r="N19" i="1" s="1"/>
  <c r="Y19" i="1"/>
  <c r="X19" i="1"/>
  <c r="W19" i="1" s="1"/>
  <c r="S19" i="1"/>
  <c r="P19" i="1"/>
  <c r="AY18" i="1"/>
  <c r="AX18" i="1"/>
  <c r="AV18" i="1"/>
  <c r="AW18" i="1" s="1"/>
  <c r="AU18" i="1"/>
  <c r="AS18" i="1" s="1"/>
  <c r="AL18" i="1"/>
  <c r="AG18" i="1"/>
  <c r="Y18" i="1"/>
  <c r="X18" i="1"/>
  <c r="W18" i="1" s="1"/>
  <c r="S18" i="1"/>
  <c r="P18" i="1"/>
  <c r="AY17" i="1"/>
  <c r="AX17" i="1"/>
  <c r="AV17" i="1"/>
  <c r="AW17" i="1" s="1"/>
  <c r="AU17" i="1"/>
  <c r="AS17" i="1" s="1"/>
  <c r="AL17" i="1"/>
  <c r="AG17" i="1"/>
  <c r="Y17" i="1"/>
  <c r="X17" i="1"/>
  <c r="W17" i="1"/>
  <c r="P17" i="1"/>
  <c r="V28" i="1" l="1"/>
  <c r="Z28" i="1" s="1"/>
  <c r="AB28" i="1"/>
  <c r="AC28" i="1"/>
  <c r="AF17" i="1"/>
  <c r="I17" i="1" s="1"/>
  <c r="H17" i="1" s="1"/>
  <c r="AE17" i="1"/>
  <c r="J17" i="1" s="1"/>
  <c r="K17" i="1" s="1"/>
  <c r="AT17" i="1"/>
  <c r="AF29" i="1"/>
  <c r="I29" i="1" s="1"/>
  <c r="H29" i="1" s="1"/>
  <c r="AE29" i="1"/>
  <c r="J29" i="1" s="1"/>
  <c r="K29" i="1"/>
  <c r="AT29" i="1"/>
  <c r="N29" i="1"/>
  <c r="T27" i="1"/>
  <c r="U27" i="1" s="1"/>
  <c r="AE18" i="1"/>
  <c r="J18" i="1" s="1"/>
  <c r="N18" i="1"/>
  <c r="AT18" i="1"/>
  <c r="AF18" i="1"/>
  <c r="I18" i="1" s="1"/>
  <c r="H18" i="1" s="1"/>
  <c r="K18" i="1"/>
  <c r="AA24" i="1"/>
  <c r="AF20" i="1"/>
  <c r="I20" i="1" s="1"/>
  <c r="H20" i="1" s="1"/>
  <c r="AA25" i="1"/>
  <c r="AT25" i="1"/>
  <c r="T26" i="1"/>
  <c r="U26" i="1" s="1"/>
  <c r="AB26" i="1" s="1"/>
  <c r="AF26" i="1"/>
  <c r="I26" i="1" s="1"/>
  <c r="H26" i="1" s="1"/>
  <c r="Q27" i="1"/>
  <c r="O27" i="1" s="1"/>
  <c r="R27" i="1" s="1"/>
  <c r="L27" i="1" s="1"/>
  <c r="M27" i="1" s="1"/>
  <c r="AW27" i="1"/>
  <c r="AB27" i="1"/>
  <c r="S21" i="1"/>
  <c r="AA21" i="1"/>
  <c r="AT21" i="1"/>
  <c r="AF22" i="1"/>
  <c r="I22" i="1" s="1"/>
  <c r="H22" i="1" s="1"/>
  <c r="K25" i="1"/>
  <c r="T25" i="1"/>
  <c r="U25" i="1" s="1"/>
  <c r="Q25" i="1" s="1"/>
  <c r="O25" i="1" s="1"/>
  <c r="R25" i="1" s="1"/>
  <c r="L25" i="1" s="1"/>
  <c r="M25" i="1" s="1"/>
  <c r="S17" i="1"/>
  <c r="T18" i="1"/>
  <c r="U18" i="1" s="1"/>
  <c r="N20" i="1"/>
  <c r="W26" i="1"/>
  <c r="AE28" i="1"/>
  <c r="J28" i="1" s="1"/>
  <c r="K28" i="1" s="1"/>
  <c r="K24" i="1"/>
  <c r="AE26" i="1"/>
  <c r="J26" i="1" s="1"/>
  <c r="K26" i="1" s="1"/>
  <c r="N26" i="1"/>
  <c r="AA28" i="1"/>
  <c r="Q28" i="1"/>
  <c r="O28" i="1" s="1"/>
  <c r="R28" i="1" s="1"/>
  <c r="T29" i="1"/>
  <c r="U29" i="1" s="1"/>
  <c r="AE22" i="1"/>
  <c r="J22" i="1" s="1"/>
  <c r="K22" i="1" s="1"/>
  <c r="N22" i="1"/>
  <c r="AF23" i="1"/>
  <c r="I23" i="1" s="1"/>
  <c r="H23" i="1" s="1"/>
  <c r="S24" i="1"/>
  <c r="N25" i="1"/>
  <c r="AE25" i="1"/>
  <c r="J25" i="1" s="1"/>
  <c r="AT26" i="1"/>
  <c r="AF19" i="1"/>
  <c r="I19" i="1" s="1"/>
  <c r="H19" i="1" s="1"/>
  <c r="T19" i="1" s="1"/>
  <c r="U19" i="1" s="1"/>
  <c r="S20" i="1"/>
  <c r="AE21" i="1"/>
  <c r="J21" i="1" s="1"/>
  <c r="K21" i="1" s="1"/>
  <c r="AT22" i="1"/>
  <c r="K23" i="1"/>
  <c r="AW24" i="1"/>
  <c r="K19" i="1"/>
  <c r="AW20" i="1"/>
  <c r="N23" i="1"/>
  <c r="AE24" i="1"/>
  <c r="J24" i="1" s="1"/>
  <c r="N24" i="1" s="1"/>
  <c r="AW26" i="1"/>
  <c r="N28" i="1"/>
  <c r="AT28" i="1"/>
  <c r="AC19" i="1" l="1"/>
  <c r="V19" i="1"/>
  <c r="Z19" i="1" s="1"/>
  <c r="AB19" i="1"/>
  <c r="T24" i="1"/>
  <c r="U24" i="1" s="1"/>
  <c r="T17" i="1"/>
  <c r="U17" i="1" s="1"/>
  <c r="T21" i="1"/>
  <c r="U21" i="1" s="1"/>
  <c r="AA26" i="1"/>
  <c r="Q26" i="1"/>
  <c r="O26" i="1" s="1"/>
  <c r="R26" i="1" s="1"/>
  <c r="L26" i="1" s="1"/>
  <c r="M26" i="1" s="1"/>
  <c r="AA18" i="1"/>
  <c r="Q18" i="1"/>
  <c r="O18" i="1" s="1"/>
  <c r="R18" i="1" s="1"/>
  <c r="L18" i="1" s="1"/>
  <c r="M18" i="1" s="1"/>
  <c r="N17" i="1"/>
  <c r="Q17" i="1"/>
  <c r="O17" i="1" s="1"/>
  <c r="R17" i="1" s="1"/>
  <c r="L17" i="1" s="1"/>
  <c r="M17" i="1" s="1"/>
  <c r="AA17" i="1"/>
  <c r="AA23" i="1"/>
  <c r="T20" i="1"/>
  <c r="U20" i="1" s="1"/>
  <c r="Q29" i="1"/>
  <c r="O29" i="1" s="1"/>
  <c r="R29" i="1" s="1"/>
  <c r="L29" i="1" s="1"/>
  <c r="M29" i="1" s="1"/>
  <c r="AA29" i="1"/>
  <c r="V18" i="1"/>
  <c r="Z18" i="1" s="1"/>
  <c r="AC18" i="1"/>
  <c r="AD18" i="1" s="1"/>
  <c r="AB18" i="1"/>
  <c r="V25" i="1"/>
  <c r="Z25" i="1" s="1"/>
  <c r="AC25" i="1"/>
  <c r="AD25" i="1" s="1"/>
  <c r="AB25" i="1"/>
  <c r="N21" i="1"/>
  <c r="V29" i="1"/>
  <c r="Z29" i="1" s="1"/>
  <c r="AC29" i="1"/>
  <c r="AB29" i="1"/>
  <c r="AA22" i="1"/>
  <c r="T23" i="1"/>
  <c r="U23" i="1" s="1"/>
  <c r="AD28" i="1"/>
  <c r="AA20" i="1"/>
  <c r="Q20" i="1"/>
  <c r="O20" i="1" s="1"/>
  <c r="R20" i="1" s="1"/>
  <c r="L20" i="1" s="1"/>
  <c r="M20" i="1" s="1"/>
  <c r="L28" i="1"/>
  <c r="M28" i="1" s="1"/>
  <c r="T22" i="1"/>
  <c r="U22" i="1" s="1"/>
  <c r="V26" i="1"/>
  <c r="Z26" i="1" s="1"/>
  <c r="AC26" i="1"/>
  <c r="AD26" i="1" s="1"/>
  <c r="AA19" i="1"/>
  <c r="Q19" i="1"/>
  <c r="O19" i="1" s="1"/>
  <c r="R19" i="1" s="1"/>
  <c r="L19" i="1" s="1"/>
  <c r="M19" i="1" s="1"/>
  <c r="AC27" i="1"/>
  <c r="AD27" i="1" s="1"/>
  <c r="V27" i="1"/>
  <c r="Z27" i="1" s="1"/>
  <c r="AD29" i="1" l="1"/>
  <c r="V17" i="1"/>
  <c r="Z17" i="1" s="1"/>
  <c r="AB17" i="1"/>
  <c r="AC17" i="1"/>
  <c r="AD17" i="1" s="1"/>
  <c r="AC20" i="1"/>
  <c r="AD20" i="1" s="1"/>
  <c r="V20" i="1"/>
  <c r="Z20" i="1" s="1"/>
  <c r="AB20" i="1"/>
  <c r="V22" i="1"/>
  <c r="Z22" i="1" s="1"/>
  <c r="AC22" i="1"/>
  <c r="AB22" i="1"/>
  <c r="AC23" i="1"/>
  <c r="V23" i="1"/>
  <c r="Z23" i="1" s="1"/>
  <c r="AB23" i="1"/>
  <c r="AC24" i="1"/>
  <c r="V24" i="1"/>
  <c r="Z24" i="1" s="1"/>
  <c r="AB24" i="1"/>
  <c r="Q24" i="1"/>
  <c r="O24" i="1" s="1"/>
  <c r="R24" i="1" s="1"/>
  <c r="L24" i="1" s="1"/>
  <c r="M24" i="1" s="1"/>
  <c r="Q22" i="1"/>
  <c r="O22" i="1" s="1"/>
  <c r="R22" i="1" s="1"/>
  <c r="L22" i="1" s="1"/>
  <c r="M22" i="1" s="1"/>
  <c r="Q23" i="1"/>
  <c r="O23" i="1" s="1"/>
  <c r="R23" i="1" s="1"/>
  <c r="L23" i="1" s="1"/>
  <c r="M23" i="1" s="1"/>
  <c r="V21" i="1"/>
  <c r="Z21" i="1" s="1"/>
  <c r="AB21" i="1"/>
  <c r="AC21" i="1"/>
  <c r="AD21" i="1" s="1"/>
  <c r="Q21" i="1"/>
  <c r="O21" i="1" s="1"/>
  <c r="R21" i="1" s="1"/>
  <c r="L21" i="1" s="1"/>
  <c r="M21" i="1" s="1"/>
  <c r="AD19" i="1"/>
  <c r="AD23" i="1" l="1"/>
  <c r="AD24" i="1"/>
  <c r="AD22" i="1"/>
</calcChain>
</file>

<file path=xl/sharedStrings.xml><?xml version="1.0" encoding="utf-8"?>
<sst xmlns="http://schemas.openxmlformats.org/spreadsheetml/2006/main" count="814" uniqueCount="368">
  <si>
    <t>File opened</t>
  </si>
  <si>
    <t>2025-07-08 11:56:36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</si>
  <si>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</si>
  <si>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</si>
  <si>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</si>
  <si>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</si>
  <si>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</si>
  <si>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</si>
  <si>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</si>
  <si>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</si>
  <si>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</si>
  <si>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</si>
  <si>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</si>
  <si>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</si>
  <si>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</si>
  <si>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</si>
  <si>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</si>
  <si>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</si>
  <si>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</si>
  <si>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</si>
  <si>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</si>
  <si>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</si>
  <si>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</si>
  <si>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</si>
  <si>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</si>
  <si>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</si>
  <si>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</si>
  <si>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</si>
  <si>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11:56:36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</si>
  <si>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</si>
  <si>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</si>
  <si>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</si>
  <si>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</si>
  <si>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</si>
  <si>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</si>
  <si>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</si>
  <si>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</si>
  <si>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</si>
  <si>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</si>
  <si>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</si>
  <si>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</si>
  <si>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</si>
  <si>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</si>
  <si>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</si>
  <si>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</si>
  <si>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</si>
  <si>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</si>
  <si>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</si>
  <si>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</si>
  <si>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</si>
  <si>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</si>
  <si>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</si>
  <si>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</si>
  <si>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</si>
  <si>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</si>
  <si>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</si>
  <si>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</si>
  <si>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</si>
  <si>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</si>
  <si>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</si>
  <si>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</si>
  <si>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</si>
  <si>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</si>
  <si>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</si>
  <si>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</si>
  <si>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</si>
  <si>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</si>
  <si>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</si>
  <si>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</si>
  <si>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</si>
  <si>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</si>
  <si>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</si>
  <si>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</si>
  <si>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</si>
  <si>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</si>
  <si>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</si>
  <si>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</si>
  <si>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</si>
  <si>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</si>
  <si>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</si>
  <si>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3.6642 164.257 344.983 592.425 856.785 1061.32 1292.48 1500.65</t>
  </si>
  <si>
    <t>Fs_true</t>
  </si>
  <si>
    <t>0.313849 201.117 384.431 595.073 805.758 1001.25 1201.22 1400.68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</si>
  <si>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</si>
  <si>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</si>
  <si>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</si>
  <si>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</si>
  <si>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</si>
  <si>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</si>
  <si>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</si>
  <si>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</si>
  <si>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</si>
  <si>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</si>
  <si>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</si>
  <si>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</si>
  <si>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</si>
  <si>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</si>
  <si>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</si>
  <si>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</si>
  <si>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</si>
  <si>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</si>
  <si>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</si>
  <si>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</si>
  <si>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</si>
  <si>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</si>
  <si>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</si>
  <si>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</si>
  <si>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</si>
  <si>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</si>
  <si>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</si>
  <si>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</si>
  <si>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</si>
  <si>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</si>
  <si>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</si>
  <si>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</si>
  <si>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</si>
  <si>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</si>
  <si>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</si>
  <si>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</si>
  <si>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</si>
  <si>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</si>
  <si>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</si>
  <si>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</si>
  <si>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</si>
  <si>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</si>
  <si>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</si>
  <si>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</si>
  <si>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</si>
  <si>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</si>
  <si>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</si>
  <si>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</si>
  <si>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</si>
  <si>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</si>
  <si>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</si>
  <si>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</si>
  <si>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</si>
  <si>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</si>
  <si>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</si>
  <si>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</si>
  <si>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</si>
  <si>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</si>
  <si>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</si>
  <si>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</si>
  <si>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</si>
  <si>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</si>
  <si>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</si>
  <si>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</si>
  <si>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</si>
  <si>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</si>
  <si>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</si>
  <si>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</si>
  <si>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</si>
  <si>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</si>
  <si>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</si>
  <si>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</si>
  <si>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</si>
  <si>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</si>
  <si>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</si>
  <si>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</si>
  <si>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</si>
  <si>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</si>
  <si>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</si>
  <si>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</si>
  <si>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</si>
  <si>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</si>
  <si>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</si>
  <si>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</si>
  <si>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</si>
  <si>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</si>
  <si>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</si>
  <si>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</si>
  <si>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</si>
  <si>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</si>
  <si>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</si>
  <si>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</si>
  <si>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</si>
  <si>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</si>
  <si>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</si>
  <si>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</si>
  <si>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</si>
  <si>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</si>
  <si>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</si>
  <si>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</si>
  <si>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</si>
  <si>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</si>
  <si>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</si>
  <si>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</si>
  <si>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</si>
  <si>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</si>
  <si>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</si>
  <si>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</si>
  <si>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</si>
  <si>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</si>
  <si>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</si>
  <si>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</si>
  <si>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</si>
  <si>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</si>
  <si>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</si>
  <si>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</si>
  <si>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</si>
  <si>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</si>
  <si>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</si>
  <si>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</si>
  <si>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</si>
  <si>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</si>
  <si>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</si>
  <si>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</si>
  <si>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</si>
  <si>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</si>
  <si>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</si>
  <si>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</si>
  <si>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</si>
  <si>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</si>
  <si>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</si>
  <si>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</si>
  <si>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</si>
  <si>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</si>
  <si>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</si>
  <si>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</si>
  <si>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</si>
  <si>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</si>
  <si>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</si>
  <si>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</si>
  <si>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</si>
  <si>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</si>
  <si>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</si>
  <si>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</si>
  <si>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</si>
  <si>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</si>
  <si>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</si>
  <si>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</si>
  <si>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</si>
  <si>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</si>
  <si>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</si>
  <si>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</si>
  <si>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</si>
  <si>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</si>
  <si>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</si>
  <si>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</si>
  <si>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</si>
  <si>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</si>
  <si>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</si>
  <si>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</si>
  <si>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</si>
  <si>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</si>
  <si>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</si>
  <si>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</si>
  <si>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</si>
  <si>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</si>
  <si>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</si>
  <si>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</si>
  <si>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</si>
  <si>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</si>
  <si>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</si>
  <si>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</si>
  <si>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</si>
  <si>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</si>
  <si>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</si>
  <si>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</si>
  <si>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</si>
  <si>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</si>
  <si>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</si>
  <si>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</si>
  <si>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</si>
  <si>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</si>
  <si>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</si>
  <si>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</si>
  <si>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</si>
  <si>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</si>
  <si>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</si>
  <si>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</si>
  <si>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</si>
  <si>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</si>
  <si>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</si>
  <si>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</si>
  <si>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</si>
  <si>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</si>
  <si>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</si>
  <si>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</si>
  <si>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</si>
  <si>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</si>
  <si>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</si>
  <si>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</si>
  <si>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</si>
  <si>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</si>
  <si>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</si>
  <si>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</si>
  <si>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</si>
  <si>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</si>
  <si>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</si>
  <si>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</si>
  <si>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</si>
  <si>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</si>
  <si>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</si>
  <si>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</si>
  <si>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</si>
  <si>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</si>
  <si>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</si>
  <si>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</si>
  <si>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</si>
  <si>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</si>
  <si>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</si>
  <si>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</si>
  <si>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</si>
  <si>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</si>
  <si>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</si>
  <si>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</si>
  <si>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</si>
  <si>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</si>
  <si>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</si>
  <si>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</si>
  <si>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</si>
  <si>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</si>
  <si>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</si>
  <si>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</si>
  <si>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</si>
  <si>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</si>
  <si>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</si>
  <si>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</si>
  <si>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</si>
  <si>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</si>
  <si>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</si>
  <si>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</si>
  <si>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</si>
  <si>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</si>
  <si>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</si>
  <si>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</si>
  <si>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</si>
  <si>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</si>
  <si>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</si>
  <si>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</si>
  <si>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</si>
  <si>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</si>
  <si>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</si>
  <si>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20250708 12:19:21</t>
  </si>
  <si>
    <t>12:19:21</t>
  </si>
  <si>
    <t>0: Broadleaf</t>
  </si>
  <si>
    <t>12:15:22</t>
  </si>
  <si>
    <t>1/2</t>
  </si>
  <si>
    <t>11111111</t>
  </si>
  <si>
    <t>oooooooo</t>
  </si>
  <si>
    <t>on</t>
  </si>
  <si>
    <t>20250708 12:22:22</t>
  </si>
  <si>
    <t>12:22:22</t>
  </si>
  <si>
    <t>2/2</t>
  </si>
  <si>
    <t>20250708 12:25:22</t>
  </si>
  <si>
    <t>12:25:22</t>
  </si>
  <si>
    <t>20250708 12:28:23</t>
  </si>
  <si>
    <t>12:28:23</t>
  </si>
  <si>
    <t>20250708 12:31:23</t>
  </si>
  <si>
    <t>12:31:23</t>
  </si>
  <si>
    <t>20250708 12:34:24</t>
  </si>
  <si>
    <t>12:34:24</t>
  </si>
  <si>
    <t>20250708 12:37:24</t>
  </si>
  <si>
    <t>12:37:24</t>
  </si>
  <si>
    <t>20250708 12:40:25</t>
  </si>
  <si>
    <t>12:40:25</t>
  </si>
  <si>
    <t>20250708 12:43:25</t>
  </si>
  <si>
    <t>12:43:25</t>
  </si>
  <si>
    <t>20250708 12:46:26</t>
  </si>
  <si>
    <t>12:46:26</t>
  </si>
  <si>
    <t>0/2</t>
  </si>
  <si>
    <t>20250708 12:49:26</t>
  </si>
  <si>
    <t>12:49:26</t>
  </si>
  <si>
    <t>20250708 12:52:27</t>
  </si>
  <si>
    <t>12:52:27</t>
  </si>
  <si>
    <t>20250708 12:55:27</t>
  </si>
  <si>
    <t>12:55:27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</si>
</sst>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Z13" workbookViewId="0">
      <selection activeCell="BE18" sqref="BE18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1751969961.5</v>
      </c>
      <c r="C17">
        <v>0</v>
      </c>
      <c r="D17" t="s">
        <v>334</v>
      </c>
      <c r="E17" t="s">
        <v>335</v>
      </c>
      <c r="F17">
        <v>15</v>
      </c>
      <c r="G17">
        <v>1751969953.5</v>
      </c>
      <c r="H17">
        <f t="shared" ref="H17:H29" si="0">(I17)/1000</f>
        <v>2.8226434028116847E-3</v>
      </c>
      <c r="I17">
        <f t="shared" ref="I17:I29" si="1">IF(BD17, AL17, AF17)</f>
        <v>2.8226434028116847</v>
      </c>
      <c r="J17">
        <f t="shared" ref="J17:J29" si="2">IF(BD17, AG17, AE17)</f>
        <v>20.699047831557412</v>
      </c>
      <c r="K17">
        <f t="shared" ref="K17:K29" si="3">BF17 - IF(AS17&gt;1, J17*AZ17*100/(AU17), 0)</f>
        <v>400.53306175178562</v>
      </c>
      <c r="L17">
        <f t="shared" ref="L17:L29" si="4">((R17-H17/2)*K17-J17)/(R17+H17/2)</f>
        <v>301.81970048616415</v>
      </c>
      <c r="M17">
        <f t="shared" ref="M17:M29" si="5">L17*(BM17+BN17)/1000</f>
        <v>30.585474406814399</v>
      </c>
      <c r="N17">
        <f t="shared" ref="N17:N29" si="6">(BF17 - IF(AS17&gt;1, J17*AZ17*100/(AU17), 0))*(BM17+BN17)/1000</f>
        <v>40.588780949551804</v>
      </c>
      <c r="O17">
        <f t="shared" ref="O17:O29" si="7">2/((1/Q17-1/P17)+SIGN(Q17)*SQRT((1/Q17-1/P17)*(1/Q17-1/P17) + 4*BA17/((BA17+1)*(BA17+1))*(2*1/Q17*1/P17-1/P17*1/P17)))</f>
        <v>0.39436470939076512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2.4150809238976989</v>
      </c>
      <c r="Q17">
        <f t="shared" ref="Q17:Q29" si="9">H17*(1000-(1000*0.61365*EXP(17.502*U17/(240.97+U17))/(BM17+BN17)+BH17)/2)/(1000*0.61365*EXP(17.502*U17/(240.97+U17))/(BM17+BN17)-BH17)</f>
        <v>0.34532937267492336</v>
      </c>
      <c r="R17">
        <f t="shared" ref="R17:R29" si="10">1/((BA17+1)/(O17/1.6)+1/(P17/1.37)) + BA17/((BA17+1)/(O17/1.6) + BA17/(P17/1.37))</f>
        <v>0.21973006742806711</v>
      </c>
      <c r="S17">
        <f t="shared" ref="S17:S29" si="11">(AV17*AY17)</f>
        <v>180.99827193548384</v>
      </c>
      <c r="T17">
        <f t="shared" ref="T17:T29" si="12">(BO17+(S17+2*0.95*0.0000000567*(((BO17+$B$7)+273)^4-(BO17+273)^4)-44100*H17)/(1.84*29.3*P17+8*0.95*0.0000000567*(BO17+273)^3))</f>
        <v>27.222677291064063</v>
      </c>
      <c r="U17">
        <f t="shared" ref="U17:U29" si="13">($C$7*BP17+$D$7*BQ17+$E$7*T17)</f>
        <v>26.172829032258061</v>
      </c>
      <c r="V17">
        <f t="shared" ref="V17:V29" si="14">0.61365*EXP(17.502*U17/(240.97+U17))</f>
        <v>3.4089210203378322</v>
      </c>
      <c r="W17">
        <f t="shared" ref="W17:W29" si="15">(X17/Y17*100)</f>
        <v>73.54412203752193</v>
      </c>
      <c r="X17">
        <f t="shared" ref="X17:X29" si="16">BH17*(BM17+BN17)/1000</f>
        <v>2.6051953129947627</v>
      </c>
      <c r="Y17">
        <f t="shared" ref="Y17:Y29" si="17">0.61365*EXP(17.502*BO17/(240.97+BO17))</f>
        <v>3.5423569427691337</v>
      </c>
      <c r="Z17">
        <f t="shared" ref="Z17:Z29" si="18">(V17-BH17*(BM17+BN17)/1000)</f>
        <v>0.80372570734306947</v>
      </c>
      <c r="AA17">
        <f t="shared" ref="AA17:AA29" si="19">(-H17*44100)</f>
        <v>-124.4785740639953</v>
      </c>
      <c r="AB17">
        <f t="shared" ref="AB17:AB29" si="20">2*29.3*P17*0.92*(BO17-U17)</f>
        <v>84.801300207451533</v>
      </c>
      <c r="AC17">
        <f t="shared" ref="AC17:AC29" si="21">2*0.95*0.0000000567*(((BO17+$B$7)+273)^4-(U17+273)^4)</f>
        <v>7.5399145231306424</v>
      </c>
      <c r="AD17">
        <f t="shared" ref="AD17:AD29" si="22">S17+AC17+AA17+AB17</f>
        <v>148.86091260207073</v>
      </c>
      <c r="AE17">
        <f t="shared" ref="AE17:AE29" si="23">BL17*AS17*(BG17-BF17*(1000-AS17*BI17)/(1000-AS17*BH17))/(100*AZ17)</f>
        <v>20.699047831557412</v>
      </c>
      <c r="AF17">
        <f t="shared" ref="AF17:AF29" si="24">1000*BL17*AS17*(BH17-BI17)/(100*AZ17*(1000-AS17*BH17))</f>
        <v>2.8226434028116847</v>
      </c>
      <c r="AG17">
        <f t="shared" ref="AG17:AG29" si="25">(AH17 - AI17 - BM17*1000/(8.314*(BO17+273.15)) * AK17/BL17 * AJ17) * BL17/(100*AZ17) * (1000 - BI17)/1000</f>
        <v>20.696722260144647</v>
      </c>
      <c r="AH17">
        <v>458.96377965306459</v>
      </c>
      <c r="AI17">
        <v>411.44901818181819</v>
      </c>
      <c r="AJ17">
        <v>2.3934440453650401E-3</v>
      </c>
      <c r="AK17">
        <v>84.021061901322526</v>
      </c>
      <c r="AL17">
        <f t="shared" ref="AL17:AL29" si="26">(AN17 - AM17 + BM17*1000/(8.314*(BO17+273.15)) * AP17/BL17 * AO17) * BL17/(100*AZ17) * 1000/(1000 - AN17)</f>
        <v>2.8251200763301285</v>
      </c>
      <c r="AM17">
        <v>19.521698164624208</v>
      </c>
      <c r="AN17">
        <v>25.714646315789459</v>
      </c>
      <c r="AO17">
        <v>6.1416607935740524E-6</v>
      </c>
      <c r="AP17">
        <v>90.524948977533185</v>
      </c>
      <c r="AQ17">
        <v>7</v>
      </c>
      <c r="AR17">
        <v>2</v>
      </c>
      <c r="AS17">
        <f t="shared" ref="AS17:AS29" si="27">IF(AQ17*$H$13&gt;=AU17,1,(AU17/(AU17-AQ17*$H$13)))</f>
        <v>1.0001960751937984</v>
      </c>
      <c r="AT17">
        <f t="shared" ref="AT17:AT29" si="28">(AS17-1)*100</f>
        <v>1.9607519379838401E-2</v>
      </c>
      <c r="AU17">
        <f t="shared" ref="AU17:AU29" si="29">MAX(0,($B$13+$C$13*BT17)/(1+$D$13*BT17)*BM17/(BO17+273)*$E$13)</f>
        <v>53561.384212273675</v>
      </c>
      <c r="AV17">
        <f t="shared" ref="AV17:AV29" si="30">$B$11*BU17+$C$11*BV17</f>
        <v>952.62248387096759</v>
      </c>
      <c r="AW17">
        <f t="shared" ref="AW17:AW29" si="31">AV17*AX17</f>
        <v>762.09798709677409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14.19</v>
      </c>
      <c r="BB17" t="s">
        <v>336</v>
      </c>
      <c r="BC17">
        <v>2</v>
      </c>
      <c r="BD17" t="b">
        <v>0</v>
      </c>
      <c r="BE17">
        <v>1751969953.5</v>
      </c>
      <c r="BF17">
        <v>400.88087096774188</v>
      </c>
      <c r="BG17">
        <v>449.9900967741936</v>
      </c>
      <c r="BH17">
        <v>25.70825806451613</v>
      </c>
      <c r="BI17">
        <v>19.52188709677419</v>
      </c>
      <c r="BJ17">
        <v>399.20525806451599</v>
      </c>
      <c r="BK17">
        <v>25.445783870967741</v>
      </c>
      <c r="BL17">
        <v>400.00387096774188</v>
      </c>
      <c r="BM17">
        <v>101.23693548387099</v>
      </c>
      <c r="BN17">
        <v>9.9969819354838715E-2</v>
      </c>
      <c r="BO17">
        <v>26.824135483870968</v>
      </c>
      <c r="BP17">
        <v>26.172829032258061</v>
      </c>
      <c r="BQ17">
        <v>999.90000000000032</v>
      </c>
      <c r="BR17">
        <v>0</v>
      </c>
      <c r="BS17">
        <v>0</v>
      </c>
      <c r="BT17">
        <v>9999.7580645161288</v>
      </c>
      <c r="BU17">
        <v>952.62248387096759</v>
      </c>
      <c r="BV17">
        <v>16.591100000000001</v>
      </c>
      <c r="BW17">
        <v>-49.10924516129031</v>
      </c>
      <c r="BX17">
        <v>411.45877419354838</v>
      </c>
      <c r="BY17">
        <v>458.94967741935488</v>
      </c>
      <c r="BZ17">
        <v>6.1863693548387086</v>
      </c>
      <c r="CA17">
        <v>449.9900967741936</v>
      </c>
      <c r="CB17">
        <v>19.52188709677419</v>
      </c>
      <c r="CC17">
        <v>2.6026277419354829</v>
      </c>
      <c r="CD17">
        <v>1.9763377419354839</v>
      </c>
      <c r="CE17">
        <v>21.682925806451621</v>
      </c>
      <c r="CF17">
        <v>17.256022580645158</v>
      </c>
      <c r="CG17">
        <v>1751969722</v>
      </c>
      <c r="CH17" t="s">
        <v>337</v>
      </c>
      <c r="CI17">
        <v>1751969722</v>
      </c>
      <c r="CJ17">
        <v>1751969721</v>
      </c>
      <c r="CK17">
        <v>3</v>
      </c>
      <c r="CL17">
        <v>-0.245</v>
      </c>
      <c r="CM17">
        <v>0.03</v>
      </c>
      <c r="CN17">
        <v>2.109</v>
      </c>
      <c r="CO17">
        <v>0.26200000000000001</v>
      </c>
      <c r="CP17">
        <v>450</v>
      </c>
      <c r="CQ17">
        <v>20</v>
      </c>
      <c r="CR17">
        <v>0.03</v>
      </c>
      <c r="CS17">
        <v>0.01</v>
      </c>
      <c r="CT17">
        <v>-49.082745000000003</v>
      </c>
      <c r="CU17">
        <v>-0.54199024390220318</v>
      </c>
      <c r="CV17">
        <v>6.4058738474934235E-2</v>
      </c>
      <c r="CW17">
        <v>0</v>
      </c>
      <c r="CX17">
        <v>0</v>
      </c>
      <c r="CY17">
        <v>0</v>
      </c>
      <c r="CZ17">
        <v>0</v>
      </c>
      <c r="DA17">
        <v>-1</v>
      </c>
      <c r="DB17">
        <v>6.1833547500000003</v>
      </c>
      <c r="DC17">
        <v>8.0989080675401545E-2</v>
      </c>
      <c r="DD17">
        <v>7.8610174238135135E-3</v>
      </c>
      <c r="DE17">
        <v>1</v>
      </c>
      <c r="DF17">
        <v>1</v>
      </c>
      <c r="DG17">
        <v>2</v>
      </c>
      <c r="DH17" t="s">
        <v>338</v>
      </c>
      <c r="DI17">
        <v>3.0246</v>
      </c>
      <c r="DJ17">
        <v>2.6910500000000002</v>
      </c>
      <c r="DK17">
        <v>9.3044000000000002E-2</v>
      </c>
      <c r="DL17">
        <v>0.102325</v>
      </c>
      <c r="DM17">
        <v>0.12524299999999999</v>
      </c>
      <c r="DN17">
        <v>0.104347</v>
      </c>
      <c r="DO17">
        <v>25260.5</v>
      </c>
      <c r="DP17">
        <v>16561.599999999999</v>
      </c>
      <c r="DQ17">
        <v>26428.400000000001</v>
      </c>
      <c r="DR17">
        <v>16768.900000000001</v>
      </c>
      <c r="DS17">
        <v>32878.199999999997</v>
      </c>
      <c r="DT17">
        <v>19628.2</v>
      </c>
      <c r="DU17">
        <v>38499.9</v>
      </c>
      <c r="DV17">
        <v>22232.9</v>
      </c>
      <c r="DW17">
        <v>1.77332</v>
      </c>
      <c r="DX17">
        <v>2.1724600000000001</v>
      </c>
      <c r="DY17">
        <v>6.9048999999999999E-2</v>
      </c>
      <c r="DZ17">
        <v>0</v>
      </c>
      <c r="EA17">
        <v>25.0442</v>
      </c>
      <c r="EB17">
        <v>999.9</v>
      </c>
      <c r="EC17">
        <v>57.1</v>
      </c>
      <c r="ED17">
        <v>33.4</v>
      </c>
      <c r="EE17">
        <v>29.1418</v>
      </c>
      <c r="EF17">
        <v>62.911099999999998</v>
      </c>
      <c r="EG17">
        <v>35.420699999999997</v>
      </c>
      <c r="EH17">
        <v>1</v>
      </c>
      <c r="EI17">
        <v>7.0886199999999996E-2</v>
      </c>
      <c r="EJ17">
        <v>7.3226600000000003E-2</v>
      </c>
      <c r="EK17">
        <v>20.326899999999998</v>
      </c>
      <c r="EL17">
        <v>5.2520300000000004</v>
      </c>
      <c r="EM17">
        <v>11.962</v>
      </c>
      <c r="EN17">
        <v>4.9897200000000002</v>
      </c>
      <c r="EO17">
        <v>3.29114</v>
      </c>
      <c r="EP17">
        <v>9999</v>
      </c>
      <c r="EQ17">
        <v>9999</v>
      </c>
      <c r="ER17">
        <v>9999</v>
      </c>
      <c r="ES17">
        <v>999.9</v>
      </c>
      <c r="ET17">
        <v>4.9727300000000003</v>
      </c>
      <c r="EU17">
        <v>1.8719300000000001</v>
      </c>
      <c r="EV17">
        <v>1.8721699999999999</v>
      </c>
      <c r="EW17">
        <v>1.8772500000000001</v>
      </c>
      <c r="EX17">
        <v>1.87134</v>
      </c>
      <c r="EY17">
        <v>1.8721000000000001</v>
      </c>
      <c r="EZ17">
        <v>1.8717999999999999</v>
      </c>
      <c r="FA17">
        <v>1.86886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1.6759999999999999</v>
      </c>
      <c r="FP17">
        <v>0.26250000000000001</v>
      </c>
      <c r="FQ17">
        <v>-1.6285688398225131</v>
      </c>
      <c r="FR17">
        <v>7.6898218637449396E-3</v>
      </c>
      <c r="FS17">
        <v>1.5097418776848419E-6</v>
      </c>
      <c r="FT17">
        <v>-9.8458676114205118E-11</v>
      </c>
      <c r="FU17">
        <v>0.26247500000000562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4</v>
      </c>
      <c r="GD17">
        <v>4</v>
      </c>
      <c r="GE17">
        <v>1.1084000000000001</v>
      </c>
      <c r="GF17">
        <v>2.64893</v>
      </c>
      <c r="GG17">
        <v>1.79932</v>
      </c>
      <c r="GH17">
        <v>2.3791500000000001</v>
      </c>
      <c r="GI17">
        <v>1.5979000000000001</v>
      </c>
      <c r="GJ17">
        <v>2.48047</v>
      </c>
      <c r="GK17">
        <v>36.7654</v>
      </c>
      <c r="GL17">
        <v>24.148800000000001</v>
      </c>
      <c r="GM17">
        <v>18</v>
      </c>
      <c r="GN17">
        <v>354.62900000000002</v>
      </c>
      <c r="GO17">
        <v>661.50199999999995</v>
      </c>
      <c r="GP17">
        <v>25.83</v>
      </c>
      <c r="GQ17">
        <v>28.001200000000001</v>
      </c>
      <c r="GR17">
        <v>30.0001</v>
      </c>
      <c r="GS17">
        <v>27.938400000000001</v>
      </c>
      <c r="GT17">
        <v>27.9649</v>
      </c>
      <c r="GU17">
        <v>22.137699999999999</v>
      </c>
      <c r="GV17">
        <v>40.409500000000001</v>
      </c>
      <c r="GW17">
        <v>0</v>
      </c>
      <c r="GX17">
        <v>25.83</v>
      </c>
      <c r="GY17">
        <v>450</v>
      </c>
      <c r="GZ17">
        <v>19.5</v>
      </c>
      <c r="HA17">
        <v>100.426</v>
      </c>
      <c r="HB17">
        <v>69.382000000000005</v>
      </c>
    </row>
    <row r="18" spans="1:210" x14ac:dyDescent="0.3">
      <c r="A18">
        <v>2</v>
      </c>
      <c r="B18">
        <v>1751970142</v>
      </c>
      <c r="C18">
        <v>180.5</v>
      </c>
      <c r="D18" t="s">
        <v>342</v>
      </c>
      <c r="E18" t="s">
        <v>343</v>
      </c>
      <c r="F18">
        <v>15</v>
      </c>
      <c r="G18">
        <v>1751970134.25</v>
      </c>
      <c r="H18">
        <f t="shared" si="0"/>
        <v>2.926050747566029E-3</v>
      </c>
      <c r="I18">
        <f t="shared" si="1"/>
        <v>2.9260507475660291</v>
      </c>
      <c r="J18">
        <f t="shared" si="2"/>
        <v>13.978485696607075</v>
      </c>
      <c r="K18">
        <f t="shared" si="3"/>
        <v>266.56765005418401</v>
      </c>
      <c r="L18">
        <f t="shared" si="4"/>
        <v>204.22890994607306</v>
      </c>
      <c r="M18">
        <f t="shared" si="5"/>
        <v>20.6973641937354</v>
      </c>
      <c r="N18">
        <f t="shared" si="6"/>
        <v>27.015018279716099</v>
      </c>
      <c r="O18">
        <f t="shared" si="7"/>
        <v>0.42593110171358733</v>
      </c>
      <c r="P18">
        <f t="shared" si="8"/>
        <v>2.4144862535346228</v>
      </c>
      <c r="Q18">
        <f t="shared" si="9"/>
        <v>0.36931619960167766</v>
      </c>
      <c r="R18">
        <f t="shared" si="10"/>
        <v>0.23528343666138402</v>
      </c>
      <c r="S18">
        <f t="shared" si="11"/>
        <v>180.94584766666668</v>
      </c>
      <c r="T18">
        <f t="shared" si="12"/>
        <v>27.208226690034369</v>
      </c>
      <c r="U18">
        <f t="shared" si="13"/>
        <v>26.170706666666661</v>
      </c>
      <c r="V18">
        <f t="shared" si="14"/>
        <v>3.4084934801283215</v>
      </c>
      <c r="W18">
        <f t="shared" si="15"/>
        <v>74.151035006643312</v>
      </c>
      <c r="X18">
        <f t="shared" si="16"/>
        <v>2.6294758384750527</v>
      </c>
      <c r="Y18">
        <f t="shared" si="17"/>
        <v>3.546108072853567</v>
      </c>
      <c r="Z18">
        <f t="shared" si="18"/>
        <v>0.77901764165326881</v>
      </c>
      <c r="AA18">
        <f t="shared" si="19"/>
        <v>-129.03883796766189</v>
      </c>
      <c r="AB18">
        <f t="shared" si="20"/>
        <v>87.399463433646005</v>
      </c>
      <c r="AC18">
        <f t="shared" si="21"/>
        <v>7.7734568260662513</v>
      </c>
      <c r="AD18">
        <f t="shared" si="22"/>
        <v>147.07992995871706</v>
      </c>
      <c r="AE18">
        <f t="shared" si="23"/>
        <v>13.978485696607075</v>
      </c>
      <c r="AF18">
        <f t="shared" si="24"/>
        <v>2.9260507475660291</v>
      </c>
      <c r="AG18">
        <f t="shared" si="25"/>
        <v>14.008429901632665</v>
      </c>
      <c r="AH18">
        <v>306.00751118152601</v>
      </c>
      <c r="AI18">
        <v>273.86813333333328</v>
      </c>
      <c r="AJ18">
        <v>-3.5523770816636968E-4</v>
      </c>
      <c r="AK18">
        <v>84.021061901322526</v>
      </c>
      <c r="AL18">
        <f t="shared" si="26"/>
        <v>2.9292976472921275</v>
      </c>
      <c r="AM18">
        <v>19.537210189722352</v>
      </c>
      <c r="AN18">
        <v>25.956008872180441</v>
      </c>
      <c r="AO18">
        <v>1.4700595753306481E-5</v>
      </c>
      <c r="AP18">
        <v>90.524948977533185</v>
      </c>
      <c r="AQ18">
        <v>7</v>
      </c>
      <c r="AR18">
        <v>2</v>
      </c>
      <c r="AS18">
        <f t="shared" si="27"/>
        <v>1.0001961592560606</v>
      </c>
      <c r="AT18">
        <f t="shared" si="28"/>
        <v>1.9615925606064621E-2</v>
      </c>
      <c r="AU18">
        <f t="shared" si="29"/>
        <v>53538.435468657808</v>
      </c>
      <c r="AV18">
        <f t="shared" si="30"/>
        <v>952.34656666666672</v>
      </c>
      <c r="AW18">
        <f t="shared" si="31"/>
        <v>761.87725333333344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336</v>
      </c>
      <c r="BC18">
        <v>2</v>
      </c>
      <c r="BD18" t="b">
        <v>0</v>
      </c>
      <c r="BE18">
        <v>1751970134.25</v>
      </c>
      <c r="BF18">
        <v>266.80263333333329</v>
      </c>
      <c r="BG18">
        <v>299.99986666666672</v>
      </c>
      <c r="BH18">
        <v>25.946056666666671</v>
      </c>
      <c r="BI18">
        <v>19.535463333333329</v>
      </c>
      <c r="BJ18">
        <v>266.27833333333342</v>
      </c>
      <c r="BK18">
        <v>25.68358666666667</v>
      </c>
      <c r="BL18">
        <v>400.05683333333337</v>
      </c>
      <c r="BM18">
        <v>101.2439</v>
      </c>
      <c r="BN18">
        <v>0.1000488033333333</v>
      </c>
      <c r="BO18">
        <v>26.842133333333329</v>
      </c>
      <c r="BP18">
        <v>26.170706666666661</v>
      </c>
      <c r="BQ18">
        <v>999.9000000000002</v>
      </c>
      <c r="BR18">
        <v>0</v>
      </c>
      <c r="BS18">
        <v>0</v>
      </c>
      <c r="BT18">
        <v>9995.2000000000007</v>
      </c>
      <c r="BU18">
        <v>952.34656666666672</v>
      </c>
      <c r="BV18">
        <v>16.587296666666671</v>
      </c>
      <c r="BW18">
        <v>-33.197249999999997</v>
      </c>
      <c r="BX18">
        <v>273.90943333333331</v>
      </c>
      <c r="BY18">
        <v>305.97706666666659</v>
      </c>
      <c r="BZ18">
        <v>6.4106013333333332</v>
      </c>
      <c r="CA18">
        <v>299.99986666666672</v>
      </c>
      <c r="CB18">
        <v>19.535463333333329</v>
      </c>
      <c r="CC18">
        <v>2.6268790000000011</v>
      </c>
      <c r="CD18">
        <v>1.977843666666667</v>
      </c>
      <c r="CE18">
        <v>21.834736666666672</v>
      </c>
      <c r="CF18">
        <v>17.268080000000001</v>
      </c>
      <c r="CG18">
        <v>1751969722</v>
      </c>
      <c r="CH18" t="s">
        <v>337</v>
      </c>
      <c r="CI18">
        <v>1751969722</v>
      </c>
      <c r="CJ18">
        <v>1751969721</v>
      </c>
      <c r="CK18">
        <v>3</v>
      </c>
      <c r="CL18">
        <v>-0.245</v>
      </c>
      <c r="CM18">
        <v>0.03</v>
      </c>
      <c r="CN18">
        <v>2.109</v>
      </c>
      <c r="CO18">
        <v>0.26200000000000001</v>
      </c>
      <c r="CP18">
        <v>450</v>
      </c>
      <c r="CQ18">
        <v>20</v>
      </c>
      <c r="CR18">
        <v>0.03</v>
      </c>
      <c r="CS18">
        <v>0.01</v>
      </c>
      <c r="CT18">
        <v>-33.190669999999997</v>
      </c>
      <c r="CU18">
        <v>-0.28428067542207169</v>
      </c>
      <c r="CV18">
        <v>4.1010835153652059E-2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6.4067697499999996</v>
      </c>
      <c r="DC18">
        <v>8.1448367729834964E-2</v>
      </c>
      <c r="DD18">
        <v>7.9444749629853026E-3</v>
      </c>
      <c r="DE18">
        <v>1</v>
      </c>
      <c r="DF18">
        <v>2</v>
      </c>
      <c r="DG18">
        <v>2</v>
      </c>
      <c r="DH18" t="s">
        <v>344</v>
      </c>
      <c r="DI18">
        <v>3.0245500000000001</v>
      </c>
      <c r="DJ18">
        <v>2.69136</v>
      </c>
      <c r="DK18">
        <v>6.7316299999999996E-2</v>
      </c>
      <c r="DL18">
        <v>7.4641799999999994E-2</v>
      </c>
      <c r="DM18">
        <v>0.12606500000000001</v>
      </c>
      <c r="DN18">
        <v>0.10440000000000001</v>
      </c>
      <c r="DO18">
        <v>25975.9</v>
      </c>
      <c r="DP18">
        <v>17071.3</v>
      </c>
      <c r="DQ18">
        <v>26427.4</v>
      </c>
      <c r="DR18">
        <v>16768</v>
      </c>
      <c r="DS18">
        <v>32844.9</v>
      </c>
      <c r="DT18">
        <v>19625.5</v>
      </c>
      <c r="DU18">
        <v>38498.400000000001</v>
      </c>
      <c r="DV18">
        <v>22231.599999999999</v>
      </c>
      <c r="DW18">
        <v>1.7730999999999999</v>
      </c>
      <c r="DX18">
        <v>2.1719400000000002</v>
      </c>
      <c r="DY18">
        <v>6.9487099999999996E-2</v>
      </c>
      <c r="DZ18">
        <v>0</v>
      </c>
      <c r="EA18">
        <v>25.030899999999999</v>
      </c>
      <c r="EB18">
        <v>999.9</v>
      </c>
      <c r="EC18">
        <v>57.1</v>
      </c>
      <c r="ED18">
        <v>33.5</v>
      </c>
      <c r="EE18">
        <v>29.304400000000001</v>
      </c>
      <c r="EF18">
        <v>62.811100000000003</v>
      </c>
      <c r="EG18">
        <v>35.208300000000001</v>
      </c>
      <c r="EH18">
        <v>1</v>
      </c>
      <c r="EI18">
        <v>7.2935E-2</v>
      </c>
      <c r="EJ18">
        <v>7.7864900000000001E-2</v>
      </c>
      <c r="EK18">
        <v>20.326699999999999</v>
      </c>
      <c r="EL18">
        <v>5.2519099999999996</v>
      </c>
      <c r="EM18">
        <v>11.962</v>
      </c>
      <c r="EN18">
        <v>4.9896399999999996</v>
      </c>
      <c r="EO18">
        <v>3.2911600000000001</v>
      </c>
      <c r="EP18">
        <v>9999</v>
      </c>
      <c r="EQ18">
        <v>9999</v>
      </c>
      <c r="ER18">
        <v>9999</v>
      </c>
      <c r="ES18">
        <v>999.9</v>
      </c>
      <c r="ET18">
        <v>4.9727199999999998</v>
      </c>
      <c r="EU18">
        <v>1.87191</v>
      </c>
      <c r="EV18">
        <v>1.8721699999999999</v>
      </c>
      <c r="EW18">
        <v>1.87717</v>
      </c>
      <c r="EX18">
        <v>1.87134</v>
      </c>
      <c r="EY18">
        <v>1.8721000000000001</v>
      </c>
      <c r="EZ18">
        <v>1.8717999999999999</v>
      </c>
      <c r="FA18">
        <v>1.8688400000000001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0.52300000000000002</v>
      </c>
      <c r="FP18">
        <v>0.26250000000000001</v>
      </c>
      <c r="FQ18">
        <v>-1.6285688398225131</v>
      </c>
      <c r="FR18">
        <v>7.6898218637449396E-3</v>
      </c>
      <c r="FS18">
        <v>1.5097418776848419E-6</v>
      </c>
      <c r="FT18">
        <v>-9.8458676114205118E-11</v>
      </c>
      <c r="FU18">
        <v>0.26247500000000562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7</v>
      </c>
      <c r="GD18">
        <v>7</v>
      </c>
      <c r="GE18">
        <v>0.80444300000000002</v>
      </c>
      <c r="GF18">
        <v>2.63672</v>
      </c>
      <c r="GG18">
        <v>1.7981</v>
      </c>
      <c r="GH18">
        <v>2.3791500000000001</v>
      </c>
      <c r="GI18">
        <v>1.5979000000000001</v>
      </c>
      <c r="GJ18">
        <v>2.5878899999999998</v>
      </c>
      <c r="GK18">
        <v>36.789200000000001</v>
      </c>
      <c r="GL18">
        <v>24.157499999999999</v>
      </c>
      <c r="GM18">
        <v>18</v>
      </c>
      <c r="GN18">
        <v>354.68200000000002</v>
      </c>
      <c r="GO18">
        <v>661.38599999999997</v>
      </c>
      <c r="GP18">
        <v>25.829899999999999</v>
      </c>
      <c r="GQ18">
        <v>28.028199999999998</v>
      </c>
      <c r="GR18">
        <v>30.0002</v>
      </c>
      <c r="GS18">
        <v>27.964400000000001</v>
      </c>
      <c r="GT18">
        <v>27.991800000000001</v>
      </c>
      <c r="GU18">
        <v>16.058399999999999</v>
      </c>
      <c r="GV18">
        <v>40.409500000000001</v>
      </c>
      <c r="GW18">
        <v>0</v>
      </c>
      <c r="GX18">
        <v>25.83</v>
      </c>
      <c r="GY18">
        <v>300</v>
      </c>
      <c r="GZ18">
        <v>19.5</v>
      </c>
      <c r="HA18">
        <v>100.422</v>
      </c>
      <c r="HB18">
        <v>69.378100000000003</v>
      </c>
    </row>
    <row r="19" spans="1:210" x14ac:dyDescent="0.3">
      <c r="A19">
        <v>3</v>
      </c>
      <c r="B19">
        <v>1751970322.5</v>
      </c>
      <c r="C19">
        <v>361</v>
      </c>
      <c r="D19" t="s">
        <v>345</v>
      </c>
      <c r="E19" t="s">
        <v>346</v>
      </c>
      <c r="F19">
        <v>15</v>
      </c>
      <c r="G19">
        <v>1751970314.75</v>
      </c>
      <c r="H19">
        <f t="shared" si="0"/>
        <v>3.0547813287112751E-3</v>
      </c>
      <c r="I19">
        <f t="shared" si="1"/>
        <v>3.0547813287112753</v>
      </c>
      <c r="J19">
        <f t="shared" si="2"/>
        <v>8.8376439877455972</v>
      </c>
      <c r="K19">
        <f t="shared" si="3"/>
        <v>178.74810295605266</v>
      </c>
      <c r="L19">
        <f t="shared" si="4"/>
        <v>142.12207813129692</v>
      </c>
      <c r="M19">
        <f t="shared" si="5"/>
        <v>14.403215243009861</v>
      </c>
      <c r="N19">
        <f t="shared" si="6"/>
        <v>18.115041906277678</v>
      </c>
      <c r="O19">
        <f t="shared" si="7"/>
        <v>0.46600364533118405</v>
      </c>
      <c r="P19">
        <f t="shared" si="8"/>
        <v>2.4156503153076829</v>
      </c>
      <c r="Q19">
        <f t="shared" si="9"/>
        <v>0.39914759287391632</v>
      </c>
      <c r="R19">
        <f t="shared" si="10"/>
        <v>0.25467514291924576</v>
      </c>
      <c r="S19">
        <f t="shared" si="11"/>
        <v>180.85759899999999</v>
      </c>
      <c r="T19">
        <f t="shared" si="12"/>
        <v>27.183040204640903</v>
      </c>
      <c r="U19">
        <f t="shared" si="13"/>
        <v>26.184909999999999</v>
      </c>
      <c r="V19">
        <f t="shared" si="14"/>
        <v>3.4113555645932072</v>
      </c>
      <c r="W19">
        <f t="shared" si="15"/>
        <v>74.913988738722637</v>
      </c>
      <c r="X19">
        <f t="shared" si="16"/>
        <v>2.658972480860391</v>
      </c>
      <c r="Y19">
        <f t="shared" si="17"/>
        <v>3.5493671150445398</v>
      </c>
      <c r="Z19">
        <f t="shared" si="18"/>
        <v>0.75238308373281626</v>
      </c>
      <c r="AA19">
        <f t="shared" si="19"/>
        <v>-134.71585659616724</v>
      </c>
      <c r="AB19">
        <f t="shared" si="20"/>
        <v>87.626530295201505</v>
      </c>
      <c r="AC19">
        <f t="shared" si="21"/>
        <v>7.7910606531427922</v>
      </c>
      <c r="AD19">
        <f t="shared" si="22"/>
        <v>141.55933335217702</v>
      </c>
      <c r="AE19">
        <f t="shared" si="23"/>
        <v>8.8376439877455972</v>
      </c>
      <c r="AF19">
        <f t="shared" si="24"/>
        <v>3.0547813287112753</v>
      </c>
      <c r="AG19">
        <f t="shared" si="25"/>
        <v>8.8250891935986697</v>
      </c>
      <c r="AH19">
        <v>203.98293399502359</v>
      </c>
      <c r="AI19">
        <v>183.7306424242424</v>
      </c>
      <c r="AJ19">
        <v>-1.188474820009019E-4</v>
      </c>
      <c r="AK19">
        <v>84.021061901322526</v>
      </c>
      <c r="AL19">
        <f t="shared" si="26"/>
        <v>3.0599931511579648</v>
      </c>
      <c r="AM19">
        <v>19.546260911945708</v>
      </c>
      <c r="AN19">
        <v>26.250764962405981</v>
      </c>
      <c r="AO19">
        <v>8.9141962946612859E-6</v>
      </c>
      <c r="AP19">
        <v>90.524948977533185</v>
      </c>
      <c r="AQ19">
        <v>7</v>
      </c>
      <c r="AR19">
        <v>2</v>
      </c>
      <c r="AS19">
        <f t="shared" si="27"/>
        <v>1.0001960269229992</v>
      </c>
      <c r="AT19">
        <f t="shared" si="28"/>
        <v>1.960269229992484E-2</v>
      </c>
      <c r="AU19">
        <f t="shared" si="29"/>
        <v>53574.570890581992</v>
      </c>
      <c r="AV19">
        <f t="shared" si="30"/>
        <v>951.88209999999992</v>
      </c>
      <c r="AW19">
        <f t="shared" si="31"/>
        <v>761.50567999999998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336</v>
      </c>
      <c r="BC19">
        <v>2</v>
      </c>
      <c r="BD19" t="b">
        <v>0</v>
      </c>
      <c r="BE19">
        <v>1751970314.75</v>
      </c>
      <c r="BF19">
        <v>178.8965666666667</v>
      </c>
      <c r="BG19">
        <v>200.00803333333329</v>
      </c>
      <c r="BH19">
        <v>26.237106666666659</v>
      </c>
      <c r="BI19">
        <v>19.54519333333333</v>
      </c>
      <c r="BJ19">
        <v>179.1</v>
      </c>
      <c r="BK19">
        <v>25.974636666666662</v>
      </c>
      <c r="BL19">
        <v>399.97986666666662</v>
      </c>
      <c r="BM19">
        <v>101.244</v>
      </c>
      <c r="BN19">
        <v>9.9967329999999979E-2</v>
      </c>
      <c r="BO19">
        <v>26.85775666666666</v>
      </c>
      <c r="BP19">
        <v>26.184909999999999</v>
      </c>
      <c r="BQ19">
        <v>999.9000000000002</v>
      </c>
      <c r="BR19">
        <v>0</v>
      </c>
      <c r="BS19">
        <v>0</v>
      </c>
      <c r="BT19">
        <v>10002.76666666667</v>
      </c>
      <c r="BU19">
        <v>951.88209999999992</v>
      </c>
      <c r="BV19">
        <v>16.591100000000001</v>
      </c>
      <c r="BW19">
        <v>-21.111499999999999</v>
      </c>
      <c r="BX19">
        <v>183.71673333333331</v>
      </c>
      <c r="BY19">
        <v>203.99526666666671</v>
      </c>
      <c r="BZ19">
        <v>6.6919083333333322</v>
      </c>
      <c r="CA19">
        <v>200.00803333333329</v>
      </c>
      <c r="CB19">
        <v>19.54519333333333</v>
      </c>
      <c r="CC19">
        <v>2.6563479999999999</v>
      </c>
      <c r="CD19">
        <v>1.9788330000000001</v>
      </c>
      <c r="CE19">
        <v>22.017543333333339</v>
      </c>
      <c r="CF19">
        <v>17.275980000000001</v>
      </c>
      <c r="CG19">
        <v>1751969722</v>
      </c>
      <c r="CH19" t="s">
        <v>337</v>
      </c>
      <c r="CI19">
        <v>1751969722</v>
      </c>
      <c r="CJ19">
        <v>1751969721</v>
      </c>
      <c r="CK19">
        <v>3</v>
      </c>
      <c r="CL19">
        <v>-0.245</v>
      </c>
      <c r="CM19">
        <v>0.03</v>
      </c>
      <c r="CN19">
        <v>2.109</v>
      </c>
      <c r="CO19">
        <v>0.26200000000000001</v>
      </c>
      <c r="CP19">
        <v>450</v>
      </c>
      <c r="CQ19">
        <v>20</v>
      </c>
      <c r="CR19">
        <v>0.03</v>
      </c>
      <c r="CS19">
        <v>0.01</v>
      </c>
      <c r="CT19">
        <v>-21.093805</v>
      </c>
      <c r="CU19">
        <v>-0.19487954971853569</v>
      </c>
      <c r="CV19">
        <v>3.1123358992885191E-2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6.6875002499999994</v>
      </c>
      <c r="DC19">
        <v>7.7775422138831096E-2</v>
      </c>
      <c r="DD19">
        <v>7.6676161508972031E-3</v>
      </c>
      <c r="DE19">
        <v>1</v>
      </c>
      <c r="DF19">
        <v>2</v>
      </c>
      <c r="DG19">
        <v>2</v>
      </c>
      <c r="DH19" t="s">
        <v>344</v>
      </c>
      <c r="DI19">
        <v>3.02481</v>
      </c>
      <c r="DJ19">
        <v>2.6909900000000002</v>
      </c>
      <c r="DK19">
        <v>4.7676999999999997E-2</v>
      </c>
      <c r="DL19">
        <v>5.2855100000000002E-2</v>
      </c>
      <c r="DM19">
        <v>0.127054</v>
      </c>
      <c r="DN19">
        <v>0.10444199999999999</v>
      </c>
      <c r="DO19">
        <v>26520.7</v>
      </c>
      <c r="DP19">
        <v>17472.599999999999</v>
      </c>
      <c r="DQ19">
        <v>26425.5</v>
      </c>
      <c r="DR19">
        <v>16767.5</v>
      </c>
      <c r="DS19">
        <v>32803.9</v>
      </c>
      <c r="DT19">
        <v>19624</v>
      </c>
      <c r="DU19">
        <v>38495.300000000003</v>
      </c>
      <c r="DV19">
        <v>22231.200000000001</v>
      </c>
      <c r="DW19">
        <v>1.7736000000000001</v>
      </c>
      <c r="DX19">
        <v>2.17076</v>
      </c>
      <c r="DY19">
        <v>6.7985100000000007E-2</v>
      </c>
      <c r="DZ19">
        <v>0</v>
      </c>
      <c r="EA19">
        <v>25.0657</v>
      </c>
      <c r="EB19">
        <v>999.9</v>
      </c>
      <c r="EC19">
        <v>57.1</v>
      </c>
      <c r="ED19">
        <v>33.5</v>
      </c>
      <c r="EE19">
        <v>29.302199999999999</v>
      </c>
      <c r="EF19">
        <v>62.571100000000001</v>
      </c>
      <c r="EG19">
        <v>35.256399999999999</v>
      </c>
      <c r="EH19">
        <v>1</v>
      </c>
      <c r="EI19">
        <v>7.4508099999999994E-2</v>
      </c>
      <c r="EJ19">
        <v>9.3435699999999997E-2</v>
      </c>
      <c r="EK19">
        <v>20.326699999999999</v>
      </c>
      <c r="EL19">
        <v>5.2507099999999998</v>
      </c>
      <c r="EM19">
        <v>11.962</v>
      </c>
      <c r="EN19">
        <v>4.9896799999999999</v>
      </c>
      <c r="EO19">
        <v>3.2911000000000001</v>
      </c>
      <c r="EP19">
        <v>9999</v>
      </c>
      <c r="EQ19">
        <v>9999</v>
      </c>
      <c r="ER19">
        <v>9999</v>
      </c>
      <c r="ES19">
        <v>999.9</v>
      </c>
      <c r="ET19">
        <v>4.9727399999999999</v>
      </c>
      <c r="EU19">
        <v>1.8719399999999999</v>
      </c>
      <c r="EV19">
        <v>1.8722000000000001</v>
      </c>
      <c r="EW19">
        <v>1.8771899999999999</v>
      </c>
      <c r="EX19">
        <v>1.87134</v>
      </c>
      <c r="EY19">
        <v>1.8721000000000001</v>
      </c>
      <c r="EZ19">
        <v>1.8717999999999999</v>
      </c>
      <c r="FA19">
        <v>1.86886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-0.20399999999999999</v>
      </c>
      <c r="FP19">
        <v>0.26250000000000001</v>
      </c>
      <c r="FQ19">
        <v>-1.6285688398225131</v>
      </c>
      <c r="FR19">
        <v>7.6898218637449396E-3</v>
      </c>
      <c r="FS19">
        <v>1.5097418776848419E-6</v>
      </c>
      <c r="FT19">
        <v>-9.8458676114205118E-11</v>
      </c>
      <c r="FU19">
        <v>0.26247500000000562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10</v>
      </c>
      <c r="GD19">
        <v>10</v>
      </c>
      <c r="GE19">
        <v>0.58960000000000001</v>
      </c>
      <c r="GF19">
        <v>2.65137</v>
      </c>
      <c r="GG19">
        <v>1.7981</v>
      </c>
      <c r="GH19">
        <v>2.3791500000000001</v>
      </c>
      <c r="GI19">
        <v>1.5979000000000001</v>
      </c>
      <c r="GJ19">
        <v>2.4890099999999999</v>
      </c>
      <c r="GK19">
        <v>36.812899999999999</v>
      </c>
      <c r="GL19">
        <v>24.148800000000001</v>
      </c>
      <c r="GM19">
        <v>18</v>
      </c>
      <c r="GN19">
        <v>355.08199999999999</v>
      </c>
      <c r="GO19">
        <v>660.67600000000004</v>
      </c>
      <c r="GP19">
        <v>25.830100000000002</v>
      </c>
      <c r="GQ19">
        <v>28.0518</v>
      </c>
      <c r="GR19">
        <v>30.0002</v>
      </c>
      <c r="GS19">
        <v>27.9879</v>
      </c>
      <c r="GT19">
        <v>28.0168</v>
      </c>
      <c r="GU19">
        <v>11.7728</v>
      </c>
      <c r="GV19">
        <v>40.409500000000001</v>
      </c>
      <c r="GW19">
        <v>0</v>
      </c>
      <c r="GX19">
        <v>25.83</v>
      </c>
      <c r="GY19">
        <v>200</v>
      </c>
      <c r="GZ19">
        <v>19.5</v>
      </c>
      <c r="HA19">
        <v>100.414</v>
      </c>
      <c r="HB19">
        <v>69.376400000000004</v>
      </c>
    </row>
    <row r="20" spans="1:210" x14ac:dyDescent="0.3">
      <c r="A20">
        <v>4</v>
      </c>
      <c r="B20">
        <v>1751970503</v>
      </c>
      <c r="C20">
        <v>541.5</v>
      </c>
      <c r="D20" t="s">
        <v>347</v>
      </c>
      <c r="E20" t="s">
        <v>348</v>
      </c>
      <c r="F20">
        <v>15</v>
      </c>
      <c r="G20">
        <v>1751970495.25</v>
      </c>
      <c r="H20">
        <f t="shared" si="0"/>
        <v>3.1781761892023738E-3</v>
      </c>
      <c r="I20">
        <f t="shared" si="1"/>
        <v>3.1781761892023739</v>
      </c>
      <c r="J20">
        <f t="shared" si="2"/>
        <v>4.5784029325202509</v>
      </c>
      <c r="K20">
        <f t="shared" si="3"/>
        <v>113.81050022139101</v>
      </c>
      <c r="L20">
        <f t="shared" si="4"/>
        <v>95.933945909921292</v>
      </c>
      <c r="M20">
        <f t="shared" si="5"/>
        <v>9.7222403092026468</v>
      </c>
      <c r="N20">
        <f t="shared" si="6"/>
        <v>11.533905150757416</v>
      </c>
      <c r="O20">
        <f t="shared" si="7"/>
        <v>0.50852640876737276</v>
      </c>
      <c r="P20">
        <f t="shared" si="8"/>
        <v>2.4132045795129113</v>
      </c>
      <c r="Q20">
        <f t="shared" si="9"/>
        <v>0.42993416871834006</v>
      </c>
      <c r="R20">
        <f t="shared" si="10"/>
        <v>0.27475682669030099</v>
      </c>
      <c r="S20">
        <f t="shared" si="11"/>
        <v>180.79648866666665</v>
      </c>
      <c r="T20">
        <f t="shared" si="12"/>
        <v>27.155611113848074</v>
      </c>
      <c r="U20">
        <f t="shared" si="13"/>
        <v>26.19550666666667</v>
      </c>
      <c r="V20">
        <f t="shared" si="14"/>
        <v>3.4134922439048179</v>
      </c>
      <c r="W20">
        <f t="shared" si="15"/>
        <v>75.651090011401749</v>
      </c>
      <c r="X20">
        <f t="shared" si="16"/>
        <v>2.6868877914906566</v>
      </c>
      <c r="Y20">
        <f t="shared" si="17"/>
        <v>3.5516841741284924</v>
      </c>
      <c r="Z20">
        <f t="shared" si="18"/>
        <v>0.72660445241416127</v>
      </c>
      <c r="AA20">
        <f t="shared" si="19"/>
        <v>-140.15756994382468</v>
      </c>
      <c r="AB20">
        <f t="shared" si="20"/>
        <v>87.603296440492798</v>
      </c>
      <c r="AC20">
        <f t="shared" si="21"/>
        <v>7.7977361052255718</v>
      </c>
      <c r="AD20">
        <f t="shared" si="22"/>
        <v>136.03995126856034</v>
      </c>
      <c r="AE20">
        <f t="shared" si="23"/>
        <v>4.5784029325202509</v>
      </c>
      <c r="AF20">
        <f t="shared" si="24"/>
        <v>3.1781761892023739</v>
      </c>
      <c r="AG20">
        <f t="shared" si="25"/>
        <v>4.5888771323551589</v>
      </c>
      <c r="AH20">
        <v>127.5010469121128</v>
      </c>
      <c r="AI20">
        <v>116.9707636363636</v>
      </c>
      <c r="AJ20">
        <v>-5.7538492189674783E-5</v>
      </c>
      <c r="AK20">
        <v>84.021061901322526</v>
      </c>
      <c r="AL20">
        <f t="shared" si="26"/>
        <v>3.1837009116601345</v>
      </c>
      <c r="AM20">
        <v>19.55298691337504</v>
      </c>
      <c r="AN20">
        <v>26.526206466165409</v>
      </c>
      <c r="AO20">
        <v>2.0649800762507919E-6</v>
      </c>
      <c r="AP20">
        <v>90.524948977533185</v>
      </c>
      <c r="AQ20">
        <v>7</v>
      </c>
      <c r="AR20">
        <v>2</v>
      </c>
      <c r="AS20">
        <f t="shared" si="27"/>
        <v>1.0001963339840949</v>
      </c>
      <c r="AT20">
        <f t="shared" si="28"/>
        <v>1.9633398409490965E-2</v>
      </c>
      <c r="AU20">
        <f t="shared" si="29"/>
        <v>53490.798117510618</v>
      </c>
      <c r="AV20">
        <f t="shared" si="30"/>
        <v>951.56046666666657</v>
      </c>
      <c r="AW20">
        <f t="shared" si="31"/>
        <v>761.24837333333335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336</v>
      </c>
      <c r="BC20">
        <v>2</v>
      </c>
      <c r="BD20" t="b">
        <v>0</v>
      </c>
      <c r="BE20">
        <v>1751970495.25</v>
      </c>
      <c r="BF20">
        <v>113.88753333333329</v>
      </c>
      <c r="BG20">
        <v>125.0012</v>
      </c>
      <c r="BH20">
        <v>26.512793333333331</v>
      </c>
      <c r="BI20">
        <v>19.552963333333331</v>
      </c>
      <c r="BJ20">
        <v>114.6151333333333</v>
      </c>
      <c r="BK20">
        <v>26.25031666666667</v>
      </c>
      <c r="BL20">
        <v>400.00416666666672</v>
      </c>
      <c r="BM20">
        <v>101.24299999999999</v>
      </c>
      <c r="BN20">
        <v>0.1000670133333334</v>
      </c>
      <c r="BO20">
        <v>26.868856666666669</v>
      </c>
      <c r="BP20">
        <v>26.19550666666667</v>
      </c>
      <c r="BQ20">
        <v>999.9000000000002</v>
      </c>
      <c r="BR20">
        <v>0</v>
      </c>
      <c r="BS20">
        <v>0</v>
      </c>
      <c r="BT20">
        <v>9986.9500000000007</v>
      </c>
      <c r="BU20">
        <v>951.56046666666657</v>
      </c>
      <c r="BV20">
        <v>16.591100000000001</v>
      </c>
      <c r="BW20">
        <v>-11.113543333333331</v>
      </c>
      <c r="BX20">
        <v>116.9893666666666</v>
      </c>
      <c r="BY20">
        <v>127.49396666666669</v>
      </c>
      <c r="BZ20">
        <v>6.9598273333333331</v>
      </c>
      <c r="CA20">
        <v>125.0012</v>
      </c>
      <c r="CB20">
        <v>19.552963333333331</v>
      </c>
      <c r="CC20">
        <v>2.6842319999999988</v>
      </c>
      <c r="CD20">
        <v>1.979599333333333</v>
      </c>
      <c r="CE20">
        <v>22.18889999999999</v>
      </c>
      <c r="CF20">
        <v>17.282086666666672</v>
      </c>
      <c r="CG20">
        <v>1751969722</v>
      </c>
      <c r="CH20" t="s">
        <v>337</v>
      </c>
      <c r="CI20">
        <v>1751969722</v>
      </c>
      <c r="CJ20">
        <v>1751969721</v>
      </c>
      <c r="CK20">
        <v>3</v>
      </c>
      <c r="CL20">
        <v>-0.245</v>
      </c>
      <c r="CM20">
        <v>0.03</v>
      </c>
      <c r="CN20">
        <v>2.109</v>
      </c>
      <c r="CO20">
        <v>0.26200000000000001</v>
      </c>
      <c r="CP20">
        <v>450</v>
      </c>
      <c r="CQ20">
        <v>20</v>
      </c>
      <c r="CR20">
        <v>0.03</v>
      </c>
      <c r="CS20">
        <v>0.01</v>
      </c>
      <c r="CT20">
        <v>-11.10567804878049</v>
      </c>
      <c r="CU20">
        <v>-0.1450787456446099</v>
      </c>
      <c r="CV20">
        <v>2.9204314016397559E-2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6.9551780487804864</v>
      </c>
      <c r="DC20">
        <v>9.7627108013939423E-2</v>
      </c>
      <c r="DD20">
        <v>9.6827241730958087E-3</v>
      </c>
      <c r="DE20">
        <v>1</v>
      </c>
      <c r="DF20">
        <v>2</v>
      </c>
      <c r="DG20">
        <v>2</v>
      </c>
      <c r="DH20" t="s">
        <v>344</v>
      </c>
      <c r="DI20">
        <v>3.0246400000000002</v>
      </c>
      <c r="DJ20">
        <v>2.69129</v>
      </c>
      <c r="DK20">
        <v>3.14633E-2</v>
      </c>
      <c r="DL20">
        <v>3.4313000000000003E-2</v>
      </c>
      <c r="DM20">
        <v>0.12797500000000001</v>
      </c>
      <c r="DN20">
        <v>0.104461</v>
      </c>
      <c r="DO20">
        <v>26970.9</v>
      </c>
      <c r="DP20">
        <v>17813.5</v>
      </c>
      <c r="DQ20">
        <v>26424.400000000001</v>
      </c>
      <c r="DR20">
        <v>16766.599999999999</v>
      </c>
      <c r="DS20">
        <v>32767.7</v>
      </c>
      <c r="DT20">
        <v>19622.2</v>
      </c>
      <c r="DU20">
        <v>38494.6</v>
      </c>
      <c r="DV20">
        <v>22229.9</v>
      </c>
      <c r="DW20">
        <v>1.77294</v>
      </c>
      <c r="DX20">
        <v>2.1703999999999999</v>
      </c>
      <c r="DY20">
        <v>6.7824099999999998E-2</v>
      </c>
      <c r="DZ20">
        <v>0</v>
      </c>
      <c r="EA20">
        <v>25.0823</v>
      </c>
      <c r="EB20">
        <v>999.9</v>
      </c>
      <c r="EC20">
        <v>57.1</v>
      </c>
      <c r="ED20">
        <v>33.5</v>
      </c>
      <c r="EE20">
        <v>29.302600000000002</v>
      </c>
      <c r="EF20">
        <v>62.831099999999999</v>
      </c>
      <c r="EG20">
        <v>35.348599999999998</v>
      </c>
      <c r="EH20">
        <v>1</v>
      </c>
      <c r="EI20">
        <v>7.6489799999999997E-2</v>
      </c>
      <c r="EJ20">
        <v>0.101242</v>
      </c>
      <c r="EK20">
        <v>20.326599999999999</v>
      </c>
      <c r="EL20">
        <v>5.2532300000000003</v>
      </c>
      <c r="EM20">
        <v>11.962</v>
      </c>
      <c r="EN20">
        <v>4.9894400000000001</v>
      </c>
      <c r="EO20">
        <v>3.2913600000000001</v>
      </c>
      <c r="EP20">
        <v>9999</v>
      </c>
      <c r="EQ20">
        <v>9999</v>
      </c>
      <c r="ER20">
        <v>9999</v>
      </c>
      <c r="ES20">
        <v>999.9</v>
      </c>
      <c r="ET20">
        <v>4.9727399999999999</v>
      </c>
      <c r="EU20">
        <v>1.87192</v>
      </c>
      <c r="EV20">
        <v>1.8722300000000001</v>
      </c>
      <c r="EW20">
        <v>1.87717</v>
      </c>
      <c r="EX20">
        <v>1.87134</v>
      </c>
      <c r="EY20">
        <v>1.8721000000000001</v>
      </c>
      <c r="EZ20">
        <v>1.8717999999999999</v>
      </c>
      <c r="FA20">
        <v>1.86883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-0.72799999999999998</v>
      </c>
      <c r="FP20">
        <v>0.26250000000000001</v>
      </c>
      <c r="FQ20">
        <v>-1.6285688398225131</v>
      </c>
      <c r="FR20">
        <v>7.6898218637449396E-3</v>
      </c>
      <c r="FS20">
        <v>1.5097418776848419E-6</v>
      </c>
      <c r="FT20">
        <v>-9.8458676114205118E-11</v>
      </c>
      <c r="FU20">
        <v>0.26247500000000562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13</v>
      </c>
      <c r="GD20">
        <v>13</v>
      </c>
      <c r="GE20">
        <v>0.42480499999999999</v>
      </c>
      <c r="GF20">
        <v>2.6709000000000001</v>
      </c>
      <c r="GG20">
        <v>1.7981</v>
      </c>
      <c r="GH20">
        <v>2.3791500000000001</v>
      </c>
      <c r="GI20">
        <v>1.5979000000000001</v>
      </c>
      <c r="GJ20">
        <v>2.4682599999999999</v>
      </c>
      <c r="GK20">
        <v>36.836599999999997</v>
      </c>
      <c r="GL20">
        <v>24.148800000000001</v>
      </c>
      <c r="GM20">
        <v>18</v>
      </c>
      <c r="GN20">
        <v>354.90199999999999</v>
      </c>
      <c r="GO20">
        <v>660.66200000000003</v>
      </c>
      <c r="GP20">
        <v>25.83</v>
      </c>
      <c r="GQ20">
        <v>28.075500000000002</v>
      </c>
      <c r="GR20">
        <v>30.0001</v>
      </c>
      <c r="GS20">
        <v>28.0121</v>
      </c>
      <c r="GT20">
        <v>28.040900000000001</v>
      </c>
      <c r="GU20">
        <v>8.4643499999999996</v>
      </c>
      <c r="GV20">
        <v>40.409500000000001</v>
      </c>
      <c r="GW20">
        <v>0</v>
      </c>
      <c r="GX20">
        <v>25.83</v>
      </c>
      <c r="GY20">
        <v>125</v>
      </c>
      <c r="GZ20">
        <v>19.5</v>
      </c>
      <c r="HA20">
        <v>100.411</v>
      </c>
      <c r="HB20">
        <v>69.372399999999999</v>
      </c>
    </row>
    <row r="21" spans="1:210" x14ac:dyDescent="0.3">
      <c r="A21">
        <v>5</v>
      </c>
      <c r="B21">
        <v>1751970683.5</v>
      </c>
      <c r="C21">
        <v>722</v>
      </c>
      <c r="D21" t="s">
        <v>349</v>
      </c>
      <c r="E21" t="s">
        <v>350</v>
      </c>
      <c r="F21">
        <v>15</v>
      </c>
      <c r="G21">
        <v>1751970675.75</v>
      </c>
      <c r="H21">
        <f t="shared" si="0"/>
        <v>3.2995558457799227E-3</v>
      </c>
      <c r="I21">
        <f t="shared" si="1"/>
        <v>3.2995558457799228</v>
      </c>
      <c r="J21">
        <f t="shared" si="2"/>
        <v>1.4978745331704828</v>
      </c>
      <c r="K21">
        <f t="shared" si="3"/>
        <v>71.073130611004402</v>
      </c>
      <c r="L21">
        <f t="shared" si="4"/>
        <v>65.20840346673215</v>
      </c>
      <c r="M21">
        <f t="shared" si="5"/>
        <v>6.608778292922298</v>
      </c>
      <c r="N21">
        <f t="shared" si="6"/>
        <v>7.2031599889065037</v>
      </c>
      <c r="O21">
        <f t="shared" si="7"/>
        <v>0.54946529402302113</v>
      </c>
      <c r="P21">
        <f t="shared" si="8"/>
        <v>2.4153278779035978</v>
      </c>
      <c r="Q21">
        <f t="shared" si="9"/>
        <v>0.45896797594641264</v>
      </c>
      <c r="R21">
        <f t="shared" si="10"/>
        <v>0.2937406561312878</v>
      </c>
      <c r="S21">
        <f t="shared" si="11"/>
        <v>180.79486733333334</v>
      </c>
      <c r="T21">
        <f t="shared" si="12"/>
        <v>27.125043407776268</v>
      </c>
      <c r="U21">
        <f t="shared" si="13"/>
        <v>26.193770000000001</v>
      </c>
      <c r="V21">
        <f t="shared" si="14"/>
        <v>3.4131419877188032</v>
      </c>
      <c r="W21">
        <f t="shared" si="15"/>
        <v>76.171102148651386</v>
      </c>
      <c r="X21">
        <f t="shared" si="16"/>
        <v>2.7065368104210368</v>
      </c>
      <c r="Y21">
        <f t="shared" si="17"/>
        <v>3.5532330950641975</v>
      </c>
      <c r="Z21">
        <f t="shared" si="18"/>
        <v>0.7066051772977664</v>
      </c>
      <c r="AA21">
        <f t="shared" si="19"/>
        <v>-145.51041279889458</v>
      </c>
      <c r="AB21">
        <f t="shared" si="20"/>
        <v>88.872278398311551</v>
      </c>
      <c r="AC21">
        <f t="shared" si="21"/>
        <v>7.9039614612625808</v>
      </c>
      <c r="AD21">
        <f t="shared" si="22"/>
        <v>132.0606943940129</v>
      </c>
      <c r="AE21">
        <f t="shared" si="23"/>
        <v>1.4978745331704828</v>
      </c>
      <c r="AF21">
        <f t="shared" si="24"/>
        <v>3.2995558457799228</v>
      </c>
      <c r="AG21">
        <f t="shared" si="25"/>
        <v>1.4929161302178757</v>
      </c>
      <c r="AH21">
        <v>76.462383682806632</v>
      </c>
      <c r="AI21">
        <v>73.036861212121195</v>
      </c>
      <c r="AJ21">
        <v>-5.3847421884289108E-5</v>
      </c>
      <c r="AK21">
        <v>84.021061901322526</v>
      </c>
      <c r="AL21">
        <f t="shared" si="26"/>
        <v>3.3030017699311709</v>
      </c>
      <c r="AM21">
        <v>19.479799088463579</v>
      </c>
      <c r="AN21">
        <v>26.713376691729319</v>
      </c>
      <c r="AO21">
        <v>4.0645921674402226E-6</v>
      </c>
      <c r="AP21">
        <v>90.524948977533185</v>
      </c>
      <c r="AQ21">
        <v>7</v>
      </c>
      <c r="AR21">
        <v>2</v>
      </c>
      <c r="AS21">
        <f t="shared" si="27"/>
        <v>1.0001960781374266</v>
      </c>
      <c r="AT21">
        <f t="shared" si="28"/>
        <v>1.9607813742661406E-2</v>
      </c>
      <c r="AU21">
        <f t="shared" si="29"/>
        <v>53560.580278225294</v>
      </c>
      <c r="AV21">
        <f t="shared" si="30"/>
        <v>951.55193333333341</v>
      </c>
      <c r="AW21">
        <f t="shared" si="31"/>
        <v>761.24154666666675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336</v>
      </c>
      <c r="BC21">
        <v>2</v>
      </c>
      <c r="BD21" t="b">
        <v>0</v>
      </c>
      <c r="BE21">
        <v>1751970675.75</v>
      </c>
      <c r="BF21">
        <v>71.098300000000009</v>
      </c>
      <c r="BG21">
        <v>74.995899999999992</v>
      </c>
      <c r="BH21">
        <v>26.70523</v>
      </c>
      <c r="BI21">
        <v>19.480556666666661</v>
      </c>
      <c r="BJ21">
        <v>72.164113333333333</v>
      </c>
      <c r="BK21">
        <v>26.442753333333329</v>
      </c>
      <c r="BL21">
        <v>399.9785333333333</v>
      </c>
      <c r="BM21">
        <v>101.2485666666667</v>
      </c>
      <c r="BN21">
        <v>0.1000010266666667</v>
      </c>
      <c r="BO21">
        <v>26.87627333333333</v>
      </c>
      <c r="BP21">
        <v>26.193770000000001</v>
      </c>
      <c r="BQ21">
        <v>999.9000000000002</v>
      </c>
      <c r="BR21">
        <v>0</v>
      </c>
      <c r="BS21">
        <v>0</v>
      </c>
      <c r="BT21">
        <v>10000.216666666671</v>
      </c>
      <c r="BU21">
        <v>951.55193333333341</v>
      </c>
      <c r="BV21">
        <v>16.591100000000001</v>
      </c>
      <c r="BW21">
        <v>-3.8976026666666659</v>
      </c>
      <c r="BX21">
        <v>73.049099999999996</v>
      </c>
      <c r="BY21">
        <v>76.485886666666673</v>
      </c>
      <c r="BZ21">
        <v>7.2246629999999987</v>
      </c>
      <c r="CA21">
        <v>74.995899999999992</v>
      </c>
      <c r="CB21">
        <v>19.480556666666661</v>
      </c>
      <c r="CC21">
        <v>2.703864666666667</v>
      </c>
      <c r="CD21">
        <v>1.9723783333333329</v>
      </c>
      <c r="CE21">
        <v>22.308633333333329</v>
      </c>
      <c r="CF21">
        <v>17.224319999999999</v>
      </c>
      <c r="CG21">
        <v>1751969722</v>
      </c>
      <c r="CH21" t="s">
        <v>337</v>
      </c>
      <c r="CI21">
        <v>1751969722</v>
      </c>
      <c r="CJ21">
        <v>1751969721</v>
      </c>
      <c r="CK21">
        <v>3</v>
      </c>
      <c r="CL21">
        <v>-0.245</v>
      </c>
      <c r="CM21">
        <v>0.03</v>
      </c>
      <c r="CN21">
        <v>2.109</v>
      </c>
      <c r="CO21">
        <v>0.26200000000000001</v>
      </c>
      <c r="CP21">
        <v>450</v>
      </c>
      <c r="CQ21">
        <v>20</v>
      </c>
      <c r="CR21">
        <v>0.03</v>
      </c>
      <c r="CS21">
        <v>0.01</v>
      </c>
      <c r="CT21">
        <v>-3.89819</v>
      </c>
      <c r="CU21">
        <v>2.200432055749706E-2</v>
      </c>
      <c r="CV21">
        <v>2.1672512769775849E-2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7.2223456097560996</v>
      </c>
      <c r="DC21">
        <v>4.737324041812379E-2</v>
      </c>
      <c r="DD21">
        <v>4.8425346360525283E-3</v>
      </c>
      <c r="DE21">
        <v>1</v>
      </c>
      <c r="DF21">
        <v>2</v>
      </c>
      <c r="DG21">
        <v>2</v>
      </c>
      <c r="DH21" t="s">
        <v>344</v>
      </c>
      <c r="DI21">
        <v>3.0246300000000002</v>
      </c>
      <c r="DJ21">
        <v>2.69136</v>
      </c>
      <c r="DK21">
        <v>2.0083299999999998E-2</v>
      </c>
      <c r="DL21">
        <v>2.09442E-2</v>
      </c>
      <c r="DM21">
        <v>0.128611</v>
      </c>
      <c r="DN21">
        <v>0.104208</v>
      </c>
      <c r="DO21">
        <v>27287.5</v>
      </c>
      <c r="DP21">
        <v>18060.099999999999</v>
      </c>
      <c r="DQ21">
        <v>26424.2</v>
      </c>
      <c r="DR21">
        <v>16766.599999999999</v>
      </c>
      <c r="DS21">
        <v>32742.799999999999</v>
      </c>
      <c r="DT21">
        <v>19627.599999999999</v>
      </c>
      <c r="DU21">
        <v>38494.300000000003</v>
      </c>
      <c r="DV21">
        <v>22229.9</v>
      </c>
      <c r="DW21">
        <v>1.77302</v>
      </c>
      <c r="DX21">
        <v>2.1697000000000002</v>
      </c>
      <c r="DY21">
        <v>6.7698999999999995E-2</v>
      </c>
      <c r="DZ21">
        <v>0</v>
      </c>
      <c r="EA21">
        <v>25.084700000000002</v>
      </c>
      <c r="EB21">
        <v>999.9</v>
      </c>
      <c r="EC21">
        <v>57.2</v>
      </c>
      <c r="ED21">
        <v>33.5</v>
      </c>
      <c r="EE21">
        <v>29.355</v>
      </c>
      <c r="EF21">
        <v>62.801200000000001</v>
      </c>
      <c r="EG21">
        <v>35.252400000000002</v>
      </c>
      <c r="EH21">
        <v>1</v>
      </c>
      <c r="EI21">
        <v>7.7577199999999999E-2</v>
      </c>
      <c r="EJ21">
        <v>0.100551</v>
      </c>
      <c r="EK21">
        <v>20.326599999999999</v>
      </c>
      <c r="EL21">
        <v>5.25251</v>
      </c>
      <c r="EM21">
        <v>11.962</v>
      </c>
      <c r="EN21">
        <v>4.9896399999999996</v>
      </c>
      <c r="EO21">
        <v>3.29114</v>
      </c>
      <c r="EP21">
        <v>9999</v>
      </c>
      <c r="EQ21">
        <v>9999</v>
      </c>
      <c r="ER21">
        <v>9999</v>
      </c>
      <c r="ES21">
        <v>999.9</v>
      </c>
      <c r="ET21">
        <v>4.9727399999999999</v>
      </c>
      <c r="EU21">
        <v>1.87192</v>
      </c>
      <c r="EV21">
        <v>1.8722000000000001</v>
      </c>
      <c r="EW21">
        <v>1.8772</v>
      </c>
      <c r="EX21">
        <v>1.87134</v>
      </c>
      <c r="EY21">
        <v>1.8721000000000001</v>
      </c>
      <c r="EZ21">
        <v>1.8717999999999999</v>
      </c>
      <c r="FA21">
        <v>1.86887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-1.0660000000000001</v>
      </c>
      <c r="FP21">
        <v>0.26250000000000001</v>
      </c>
      <c r="FQ21">
        <v>-1.6285688398225131</v>
      </c>
      <c r="FR21">
        <v>7.6898218637449396E-3</v>
      </c>
      <c r="FS21">
        <v>1.5097418776848419E-6</v>
      </c>
      <c r="FT21">
        <v>-9.8458676114205118E-11</v>
      </c>
      <c r="FU21">
        <v>0.26247500000000562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16</v>
      </c>
      <c r="GD21">
        <v>16</v>
      </c>
      <c r="GE21">
        <v>0.31372100000000003</v>
      </c>
      <c r="GF21">
        <v>2.66357</v>
      </c>
      <c r="GG21">
        <v>1.7981</v>
      </c>
      <c r="GH21">
        <v>2.3803700000000001</v>
      </c>
      <c r="GI21">
        <v>1.5979000000000001</v>
      </c>
      <c r="GJ21">
        <v>2.5573700000000001</v>
      </c>
      <c r="GK21">
        <v>36.8842</v>
      </c>
      <c r="GL21">
        <v>24.157499999999999</v>
      </c>
      <c r="GM21">
        <v>18</v>
      </c>
      <c r="GN21">
        <v>355.05799999999999</v>
      </c>
      <c r="GO21">
        <v>660.29200000000003</v>
      </c>
      <c r="GP21">
        <v>25.829899999999999</v>
      </c>
      <c r="GQ21">
        <v>28.091999999999999</v>
      </c>
      <c r="GR21">
        <v>30.0001</v>
      </c>
      <c r="GS21">
        <v>28.0303</v>
      </c>
      <c r="GT21">
        <v>28.059899999999999</v>
      </c>
      <c r="GU21">
        <v>6.2338100000000001</v>
      </c>
      <c r="GV21">
        <v>40.951300000000003</v>
      </c>
      <c r="GW21">
        <v>0</v>
      </c>
      <c r="GX21">
        <v>25.83</v>
      </c>
      <c r="GY21">
        <v>75</v>
      </c>
      <c r="GZ21">
        <v>19.5</v>
      </c>
      <c r="HA21">
        <v>100.41</v>
      </c>
      <c r="HB21">
        <v>69.372600000000006</v>
      </c>
    </row>
    <row r="22" spans="1:210" x14ac:dyDescent="0.3">
      <c r="A22">
        <v>6</v>
      </c>
      <c r="B22">
        <v>1751970864</v>
      </c>
      <c r="C22">
        <v>902.5</v>
      </c>
      <c r="D22" t="s">
        <v>351</v>
      </c>
      <c r="E22" t="s">
        <v>352</v>
      </c>
      <c r="F22">
        <v>15</v>
      </c>
      <c r="G22">
        <v>1751970856.25</v>
      </c>
      <c r="H22">
        <f t="shared" si="0"/>
        <v>3.3566377254803776E-3</v>
      </c>
      <c r="I22">
        <f t="shared" si="1"/>
        <v>3.3566377254803776</v>
      </c>
      <c r="J22">
        <f t="shared" si="2"/>
        <v>21.226733339805484</v>
      </c>
      <c r="K22">
        <f t="shared" si="3"/>
        <v>398.90234585088393</v>
      </c>
      <c r="L22">
        <f t="shared" si="4"/>
        <v>326.64210017067643</v>
      </c>
      <c r="M22">
        <f t="shared" si="5"/>
        <v>33.106728568861342</v>
      </c>
      <c r="N22">
        <f t="shared" si="6"/>
        <v>40.43064774157007</v>
      </c>
      <c r="O22">
        <f t="shared" si="7"/>
        <v>0.58664006657383183</v>
      </c>
      <c r="P22">
        <f t="shared" si="8"/>
        <v>2.4152775458035891</v>
      </c>
      <c r="Q22">
        <f t="shared" si="9"/>
        <v>0.48468372559095391</v>
      </c>
      <c r="R22">
        <f t="shared" si="10"/>
        <v>0.31060547965265894</v>
      </c>
      <c r="S22">
        <f t="shared" si="11"/>
        <v>180.75713333333329</v>
      </c>
      <c r="T22">
        <f t="shared" si="12"/>
        <v>27.103511026796351</v>
      </c>
      <c r="U22">
        <f t="shared" si="13"/>
        <v>26.16557666666667</v>
      </c>
      <c r="V22">
        <f t="shared" si="14"/>
        <v>3.4074602600038189</v>
      </c>
      <c r="W22">
        <f t="shared" si="15"/>
        <v>76.756633661255492</v>
      </c>
      <c r="X22">
        <f t="shared" si="16"/>
        <v>2.7267772593956834</v>
      </c>
      <c r="Y22">
        <f t="shared" si="17"/>
        <v>3.5524971970886225</v>
      </c>
      <c r="Z22">
        <f t="shared" si="18"/>
        <v>0.68068300060813547</v>
      </c>
      <c r="AA22">
        <f t="shared" si="19"/>
        <v>-148.02772369368466</v>
      </c>
      <c r="AB22">
        <f t="shared" si="20"/>
        <v>92.082767392694493</v>
      </c>
      <c r="AC22">
        <f t="shared" si="21"/>
        <v>8.1883608606001808</v>
      </c>
      <c r="AD22">
        <f t="shared" si="22"/>
        <v>133.00053789294327</v>
      </c>
      <c r="AE22">
        <f t="shared" si="23"/>
        <v>21.226733339805484</v>
      </c>
      <c r="AF22">
        <f t="shared" si="24"/>
        <v>3.3566377254803776</v>
      </c>
      <c r="AG22">
        <f t="shared" si="25"/>
        <v>21.256559545736362</v>
      </c>
      <c r="AH22">
        <v>458.96583327717718</v>
      </c>
      <c r="AI22">
        <v>410.20047272727248</v>
      </c>
      <c r="AJ22">
        <v>-1.343610145792638E-3</v>
      </c>
      <c r="AK22">
        <v>84.021061901322526</v>
      </c>
      <c r="AL22">
        <f t="shared" si="26"/>
        <v>3.3622767815216443</v>
      </c>
      <c r="AM22">
        <v>19.554971318405801</v>
      </c>
      <c r="AN22">
        <v>26.91579007518795</v>
      </c>
      <c r="AO22">
        <v>1.739263615975875E-6</v>
      </c>
      <c r="AP22">
        <v>90.524948977533185</v>
      </c>
      <c r="AQ22">
        <v>7</v>
      </c>
      <c r="AR22">
        <v>2</v>
      </c>
      <c r="AS22">
        <f t="shared" si="27"/>
        <v>1.0001960815100397</v>
      </c>
      <c r="AT22">
        <f t="shared" si="28"/>
        <v>1.9608151003969176E-2</v>
      </c>
      <c r="AU22">
        <f t="shared" si="29"/>
        <v>53559.659213814411</v>
      </c>
      <c r="AV22">
        <f t="shared" si="30"/>
        <v>951.35333333333313</v>
      </c>
      <c r="AW22">
        <f t="shared" si="31"/>
        <v>761.08266666666657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336</v>
      </c>
      <c r="BC22">
        <v>2</v>
      </c>
      <c r="BD22" t="b">
        <v>0</v>
      </c>
      <c r="BE22">
        <v>1751970856.25</v>
      </c>
      <c r="BF22">
        <v>399.25903333333338</v>
      </c>
      <c r="BG22">
        <v>450.02059999999989</v>
      </c>
      <c r="BH22">
        <v>26.903300000000002</v>
      </c>
      <c r="BI22">
        <v>19.556196666666668</v>
      </c>
      <c r="BJ22">
        <v>397.59756666666658</v>
      </c>
      <c r="BK22">
        <v>26.640830000000001</v>
      </c>
      <c r="BL22">
        <v>400.03623333333331</v>
      </c>
      <c r="BM22">
        <v>101.2547</v>
      </c>
      <c r="BN22">
        <v>0.10005051</v>
      </c>
      <c r="BO22">
        <v>26.87275</v>
      </c>
      <c r="BP22">
        <v>26.16557666666667</v>
      </c>
      <c r="BQ22">
        <v>999.9000000000002</v>
      </c>
      <c r="BR22">
        <v>0</v>
      </c>
      <c r="BS22">
        <v>0</v>
      </c>
      <c r="BT22">
        <v>9999.2833333333328</v>
      </c>
      <c r="BU22">
        <v>951.35333333333313</v>
      </c>
      <c r="BV22">
        <v>16.56648666666667</v>
      </c>
      <c r="BW22">
        <v>-50.761593333333337</v>
      </c>
      <c r="BX22">
        <v>410.29730000000012</v>
      </c>
      <c r="BY22">
        <v>458.9967666666667</v>
      </c>
      <c r="BZ22">
        <v>7.347105</v>
      </c>
      <c r="CA22">
        <v>450.02059999999989</v>
      </c>
      <c r="CB22">
        <v>19.556196666666668</v>
      </c>
      <c r="CC22">
        <v>2.7240856666666668</v>
      </c>
      <c r="CD22">
        <v>1.980156666666667</v>
      </c>
      <c r="CE22">
        <v>22.431139999999999</v>
      </c>
      <c r="CF22">
        <v>17.286549999999998</v>
      </c>
      <c r="CG22">
        <v>1751969722</v>
      </c>
      <c r="CH22" t="s">
        <v>337</v>
      </c>
      <c r="CI22">
        <v>1751969722</v>
      </c>
      <c r="CJ22">
        <v>1751969721</v>
      </c>
      <c r="CK22">
        <v>3</v>
      </c>
      <c r="CL22">
        <v>-0.245</v>
      </c>
      <c r="CM22">
        <v>0.03</v>
      </c>
      <c r="CN22">
        <v>2.109</v>
      </c>
      <c r="CO22">
        <v>0.26200000000000001</v>
      </c>
      <c r="CP22">
        <v>450</v>
      </c>
      <c r="CQ22">
        <v>20</v>
      </c>
      <c r="CR22">
        <v>0.03</v>
      </c>
      <c r="CS22">
        <v>0.01</v>
      </c>
      <c r="CT22">
        <v>-50.746848780487802</v>
      </c>
      <c r="CU22">
        <v>-0.37585087108014342</v>
      </c>
      <c r="CV22">
        <v>4.6329088591642857E-2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7.3443851219512188</v>
      </c>
      <c r="DC22">
        <v>6.7980209059228747E-2</v>
      </c>
      <c r="DD22">
        <v>6.8353343529658746E-3</v>
      </c>
      <c r="DE22">
        <v>1</v>
      </c>
      <c r="DF22">
        <v>2</v>
      </c>
      <c r="DG22">
        <v>2</v>
      </c>
      <c r="DH22" t="s">
        <v>344</v>
      </c>
      <c r="DI22">
        <v>3.0247199999999999</v>
      </c>
      <c r="DJ22">
        <v>2.6914899999999999</v>
      </c>
      <c r="DK22">
        <v>9.2744499999999994E-2</v>
      </c>
      <c r="DL22">
        <v>0.102329</v>
      </c>
      <c r="DM22">
        <v>0.12928600000000001</v>
      </c>
      <c r="DN22">
        <v>0.10447099999999999</v>
      </c>
      <c r="DO22">
        <v>25262.799999999999</v>
      </c>
      <c r="DP22">
        <v>16557.8</v>
      </c>
      <c r="DQ22">
        <v>26422.6</v>
      </c>
      <c r="DR22">
        <v>16765.400000000001</v>
      </c>
      <c r="DS22">
        <v>32716.799999999999</v>
      </c>
      <c r="DT22">
        <v>19621.7</v>
      </c>
      <c r="DU22">
        <v>38492</v>
      </c>
      <c r="DV22">
        <v>22228.400000000001</v>
      </c>
      <c r="DW22">
        <v>1.7734000000000001</v>
      </c>
      <c r="DX22">
        <v>2.1701800000000002</v>
      </c>
      <c r="DY22">
        <v>6.6506899999999994E-2</v>
      </c>
      <c r="DZ22">
        <v>0</v>
      </c>
      <c r="EA22">
        <v>25.078399999999998</v>
      </c>
      <c r="EB22">
        <v>999.9</v>
      </c>
      <c r="EC22">
        <v>57.3</v>
      </c>
      <c r="ED22">
        <v>33.5</v>
      </c>
      <c r="EE22">
        <v>29.399699999999999</v>
      </c>
      <c r="EF22">
        <v>62.671199999999999</v>
      </c>
      <c r="EG22">
        <v>35.204300000000003</v>
      </c>
      <c r="EH22">
        <v>1</v>
      </c>
      <c r="EI22">
        <v>7.8926800000000005E-2</v>
      </c>
      <c r="EJ22">
        <v>0.107946</v>
      </c>
      <c r="EK22">
        <v>20.3263</v>
      </c>
      <c r="EL22">
        <v>5.2520300000000004</v>
      </c>
      <c r="EM22">
        <v>11.962</v>
      </c>
      <c r="EN22">
        <v>4.9894800000000004</v>
      </c>
      <c r="EO22">
        <v>3.29114</v>
      </c>
      <c r="EP22">
        <v>9999</v>
      </c>
      <c r="EQ22">
        <v>9999</v>
      </c>
      <c r="ER22">
        <v>9999</v>
      </c>
      <c r="ES22">
        <v>999.9</v>
      </c>
      <c r="ET22">
        <v>4.9727499999999996</v>
      </c>
      <c r="EU22">
        <v>1.87195</v>
      </c>
      <c r="EV22">
        <v>1.87219</v>
      </c>
      <c r="EW22">
        <v>1.8772</v>
      </c>
      <c r="EX22">
        <v>1.87134</v>
      </c>
      <c r="EY22">
        <v>1.8721000000000001</v>
      </c>
      <c r="EZ22">
        <v>1.8717900000000001</v>
      </c>
      <c r="FA22">
        <v>1.86887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1.661</v>
      </c>
      <c r="FP22">
        <v>0.26250000000000001</v>
      </c>
      <c r="FQ22">
        <v>-1.6285688398225131</v>
      </c>
      <c r="FR22">
        <v>7.6898218637449396E-3</v>
      </c>
      <c r="FS22">
        <v>1.5097418776848419E-6</v>
      </c>
      <c r="FT22">
        <v>-9.8458676114205118E-11</v>
      </c>
      <c r="FU22">
        <v>0.26247500000000562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19</v>
      </c>
      <c r="GD22">
        <v>19.100000000000001</v>
      </c>
      <c r="GE22">
        <v>1.1071800000000001</v>
      </c>
      <c r="GF22">
        <v>2.65381</v>
      </c>
      <c r="GG22">
        <v>1.79932</v>
      </c>
      <c r="GH22">
        <v>2.3803700000000001</v>
      </c>
      <c r="GI22">
        <v>1.5979000000000001</v>
      </c>
      <c r="GJ22">
        <v>2.4377399999999998</v>
      </c>
      <c r="GK22">
        <v>36.8842</v>
      </c>
      <c r="GL22">
        <v>24.148800000000001</v>
      </c>
      <c r="GM22">
        <v>18</v>
      </c>
      <c r="GN22">
        <v>355.36700000000002</v>
      </c>
      <c r="GO22">
        <v>660.91200000000003</v>
      </c>
      <c r="GP22">
        <v>25.83</v>
      </c>
      <c r="GQ22">
        <v>28.1111</v>
      </c>
      <c r="GR22">
        <v>30.0001</v>
      </c>
      <c r="GS22">
        <v>28.049199999999999</v>
      </c>
      <c r="GT22">
        <v>28.076699999999999</v>
      </c>
      <c r="GU22">
        <v>22.134499999999999</v>
      </c>
      <c r="GV22">
        <v>40.951300000000003</v>
      </c>
      <c r="GW22">
        <v>0</v>
      </c>
      <c r="GX22">
        <v>25.83</v>
      </c>
      <c r="GY22">
        <v>450</v>
      </c>
      <c r="GZ22">
        <v>19.5</v>
      </c>
      <c r="HA22">
        <v>100.404</v>
      </c>
      <c r="HB22">
        <v>69.367699999999999</v>
      </c>
    </row>
    <row r="23" spans="1:210" x14ac:dyDescent="0.3">
      <c r="A23">
        <v>7</v>
      </c>
      <c r="B23">
        <v>1751971044.5999999</v>
      </c>
      <c r="C23">
        <v>1083.099999904633</v>
      </c>
      <c r="D23" t="s">
        <v>353</v>
      </c>
      <c r="E23" t="s">
        <v>354</v>
      </c>
      <c r="F23">
        <v>15</v>
      </c>
      <c r="G23">
        <v>1751971036.849999</v>
      </c>
      <c r="H23">
        <f t="shared" si="0"/>
        <v>3.3813756927413888E-3</v>
      </c>
      <c r="I23">
        <f t="shared" si="1"/>
        <v>3.3813756927413889</v>
      </c>
      <c r="J23">
        <f t="shared" si="2"/>
        <v>21.629248632697138</v>
      </c>
      <c r="K23">
        <f t="shared" si="3"/>
        <v>397.94601471591915</v>
      </c>
      <c r="L23">
        <f t="shared" si="4"/>
        <v>324.89555858691017</v>
      </c>
      <c r="M23">
        <f t="shared" si="5"/>
        <v>32.931578876142829</v>
      </c>
      <c r="N23">
        <f t="shared" si="6"/>
        <v>40.336010221445903</v>
      </c>
      <c r="O23">
        <f t="shared" si="7"/>
        <v>0.59155145465063141</v>
      </c>
      <c r="P23">
        <f t="shared" si="8"/>
        <v>2.4155872910324949</v>
      </c>
      <c r="Q23">
        <f t="shared" si="9"/>
        <v>0.48805100339141672</v>
      </c>
      <c r="R23">
        <f t="shared" si="10"/>
        <v>0.3128159536084984</v>
      </c>
      <c r="S23">
        <f t="shared" si="11"/>
        <v>180.81652100000005</v>
      </c>
      <c r="T23">
        <f t="shared" si="12"/>
        <v>27.100497534941631</v>
      </c>
      <c r="U23">
        <f t="shared" si="13"/>
        <v>26.178993333333331</v>
      </c>
      <c r="V23">
        <f t="shared" si="14"/>
        <v>3.4101630543280406</v>
      </c>
      <c r="W23">
        <f t="shared" si="15"/>
        <v>76.804692642556589</v>
      </c>
      <c r="X23">
        <f t="shared" si="16"/>
        <v>2.7291722230007132</v>
      </c>
      <c r="Y23">
        <f t="shared" si="17"/>
        <v>3.5533925455597881</v>
      </c>
      <c r="Z23">
        <f t="shared" si="18"/>
        <v>0.68099083132732741</v>
      </c>
      <c r="AA23">
        <f t="shared" si="19"/>
        <v>-149.11866804989523</v>
      </c>
      <c r="AB23">
        <f t="shared" si="20"/>
        <v>90.905584402654512</v>
      </c>
      <c r="AC23">
        <f t="shared" si="21"/>
        <v>8.0833609086738125</v>
      </c>
      <c r="AD23">
        <f t="shared" si="22"/>
        <v>130.68679826143315</v>
      </c>
      <c r="AE23">
        <f t="shared" si="23"/>
        <v>21.629248632697138</v>
      </c>
      <c r="AF23">
        <f t="shared" si="24"/>
        <v>3.3813756927413889</v>
      </c>
      <c r="AG23">
        <f t="shared" si="25"/>
        <v>21.622967562481097</v>
      </c>
      <c r="AH23">
        <v>458.94998446396329</v>
      </c>
      <c r="AI23">
        <v>409.3167454545453</v>
      </c>
      <c r="AJ23">
        <v>9.6123609644293672E-4</v>
      </c>
      <c r="AK23">
        <v>84.021061901322526</v>
      </c>
      <c r="AL23">
        <f t="shared" si="26"/>
        <v>3.3793739455481342</v>
      </c>
      <c r="AM23">
        <v>19.523509890154958</v>
      </c>
      <c r="AN23">
        <v>26.923061954887221</v>
      </c>
      <c r="AO23">
        <v>1.8895242186016329E-6</v>
      </c>
      <c r="AP23">
        <v>90.524948977533185</v>
      </c>
      <c r="AQ23">
        <v>7</v>
      </c>
      <c r="AR23">
        <v>2</v>
      </c>
      <c r="AS23">
        <f t="shared" si="27"/>
        <v>1.0001960459278396</v>
      </c>
      <c r="AT23">
        <f t="shared" si="28"/>
        <v>1.960459278396165E-2</v>
      </c>
      <c r="AU23">
        <f t="shared" si="29"/>
        <v>53569.378349117382</v>
      </c>
      <c r="AV23">
        <f t="shared" si="30"/>
        <v>951.66590000000019</v>
      </c>
      <c r="AW23">
        <f t="shared" si="31"/>
        <v>761.33272000000022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336</v>
      </c>
      <c r="BC23">
        <v>2</v>
      </c>
      <c r="BD23" t="b">
        <v>0</v>
      </c>
      <c r="BE23">
        <v>1751971036.849999</v>
      </c>
      <c r="BF23">
        <v>398.30939999999998</v>
      </c>
      <c r="BG23">
        <v>450.00086666666658</v>
      </c>
      <c r="BH23">
        <v>26.9254</v>
      </c>
      <c r="BI23">
        <v>19.522956666666669</v>
      </c>
      <c r="BJ23">
        <v>396.65636666666671</v>
      </c>
      <c r="BK23">
        <v>26.66292</v>
      </c>
      <c r="BL23">
        <v>399.96269999999993</v>
      </c>
      <c r="BM23">
        <v>101.2606</v>
      </c>
      <c r="BN23">
        <v>9.9908033333333326E-2</v>
      </c>
      <c r="BO23">
        <v>26.877036666666669</v>
      </c>
      <c r="BP23">
        <v>26.178993333333331</v>
      </c>
      <c r="BQ23">
        <v>999.9000000000002</v>
      </c>
      <c r="BR23">
        <v>0</v>
      </c>
      <c r="BS23">
        <v>0</v>
      </c>
      <c r="BT23">
        <v>10000.716666666671</v>
      </c>
      <c r="BU23">
        <v>951.66590000000019</v>
      </c>
      <c r="BV23">
        <v>16.534100000000009</v>
      </c>
      <c r="BW23">
        <v>-51.691519999999997</v>
      </c>
      <c r="BX23">
        <v>409.33076666666659</v>
      </c>
      <c r="BY23">
        <v>458.96130000000011</v>
      </c>
      <c r="BZ23">
        <v>7.4024466666666662</v>
      </c>
      <c r="CA23">
        <v>450.00086666666658</v>
      </c>
      <c r="CB23">
        <v>19.522956666666669</v>
      </c>
      <c r="CC23">
        <v>2.726484333333334</v>
      </c>
      <c r="CD23">
        <v>1.976907666666667</v>
      </c>
      <c r="CE23">
        <v>22.44560666666667</v>
      </c>
      <c r="CF23">
        <v>17.260586666666661</v>
      </c>
      <c r="CG23">
        <v>1751969722</v>
      </c>
      <c r="CH23" t="s">
        <v>337</v>
      </c>
      <c r="CI23">
        <v>1751969722</v>
      </c>
      <c r="CJ23">
        <v>1751969721</v>
      </c>
      <c r="CK23">
        <v>3</v>
      </c>
      <c r="CL23">
        <v>-0.245</v>
      </c>
      <c r="CM23">
        <v>0.03</v>
      </c>
      <c r="CN23">
        <v>2.109</v>
      </c>
      <c r="CO23">
        <v>0.26200000000000001</v>
      </c>
      <c r="CP23">
        <v>450</v>
      </c>
      <c r="CQ23">
        <v>20</v>
      </c>
      <c r="CR23">
        <v>0.03</v>
      </c>
      <c r="CS23">
        <v>0.01</v>
      </c>
      <c r="CT23">
        <v>-51.695097560975618</v>
      </c>
      <c r="CU23">
        <v>-6.5795121951369565E-2</v>
      </c>
      <c r="CV23">
        <v>3.1758889577910128E-2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7.4050814634146338</v>
      </c>
      <c r="DC23">
        <v>-3.7868989547054442E-2</v>
      </c>
      <c r="DD23">
        <v>4.2213525522766353E-3</v>
      </c>
      <c r="DE23">
        <v>1</v>
      </c>
      <c r="DF23">
        <v>2</v>
      </c>
      <c r="DG23">
        <v>2</v>
      </c>
      <c r="DH23" t="s">
        <v>344</v>
      </c>
      <c r="DI23">
        <v>3.0246</v>
      </c>
      <c r="DJ23">
        <v>2.6916600000000002</v>
      </c>
      <c r="DK23">
        <v>9.2593099999999998E-2</v>
      </c>
      <c r="DL23">
        <v>0.102314</v>
      </c>
      <c r="DM23">
        <v>0.12931999999999999</v>
      </c>
      <c r="DN23">
        <v>0.104366</v>
      </c>
      <c r="DO23">
        <v>25267</v>
      </c>
      <c r="DP23">
        <v>16558.2</v>
      </c>
      <c r="DQ23">
        <v>26422.5</v>
      </c>
      <c r="DR23">
        <v>16765.599999999999</v>
      </c>
      <c r="DS23">
        <v>32715.3</v>
      </c>
      <c r="DT23">
        <v>19624.3</v>
      </c>
      <c r="DU23">
        <v>38491.699999999997</v>
      </c>
      <c r="DV23">
        <v>22228.6</v>
      </c>
      <c r="DW23">
        <v>1.77298</v>
      </c>
      <c r="DX23">
        <v>2.1701000000000001</v>
      </c>
      <c r="DY23">
        <v>6.5922700000000001E-2</v>
      </c>
      <c r="DZ23">
        <v>0</v>
      </c>
      <c r="EA23">
        <v>25.103300000000001</v>
      </c>
      <c r="EB23">
        <v>999.9</v>
      </c>
      <c r="EC23">
        <v>57.3</v>
      </c>
      <c r="ED23">
        <v>33.5</v>
      </c>
      <c r="EE23">
        <v>29.398099999999999</v>
      </c>
      <c r="EF23">
        <v>62.747599999999998</v>
      </c>
      <c r="EG23">
        <v>35.400599999999997</v>
      </c>
      <c r="EH23">
        <v>1</v>
      </c>
      <c r="EI23">
        <v>7.9573199999999997E-2</v>
      </c>
      <c r="EJ23">
        <v>0.120473</v>
      </c>
      <c r="EK23">
        <v>20.3264</v>
      </c>
      <c r="EL23">
        <v>5.2522700000000002</v>
      </c>
      <c r="EM23">
        <v>11.962</v>
      </c>
      <c r="EN23">
        <v>4.9896000000000003</v>
      </c>
      <c r="EO23">
        <v>3.2913000000000001</v>
      </c>
      <c r="EP23">
        <v>9999</v>
      </c>
      <c r="EQ23">
        <v>9999</v>
      </c>
      <c r="ER23">
        <v>9999</v>
      </c>
      <c r="ES23">
        <v>999.9</v>
      </c>
      <c r="ET23">
        <v>4.9727100000000002</v>
      </c>
      <c r="EU23">
        <v>1.87191</v>
      </c>
      <c r="EV23">
        <v>1.87218</v>
      </c>
      <c r="EW23">
        <v>1.8771800000000001</v>
      </c>
      <c r="EX23">
        <v>1.87134</v>
      </c>
      <c r="EY23">
        <v>1.8721000000000001</v>
      </c>
      <c r="EZ23">
        <v>1.8717999999999999</v>
      </c>
      <c r="FA23">
        <v>1.8688199999999999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1.653</v>
      </c>
      <c r="FP23">
        <v>0.26250000000000001</v>
      </c>
      <c r="FQ23">
        <v>-1.6285688398225131</v>
      </c>
      <c r="FR23">
        <v>7.6898218637449396E-3</v>
      </c>
      <c r="FS23">
        <v>1.5097418776848419E-6</v>
      </c>
      <c r="FT23">
        <v>-9.8458676114205118E-11</v>
      </c>
      <c r="FU23">
        <v>0.26247500000000562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22</v>
      </c>
      <c r="GD23">
        <v>22.1</v>
      </c>
      <c r="GE23">
        <v>1.1071800000000001</v>
      </c>
      <c r="GF23">
        <v>2.6403799999999999</v>
      </c>
      <c r="GG23">
        <v>1.7981</v>
      </c>
      <c r="GH23">
        <v>2.3791500000000001</v>
      </c>
      <c r="GI23">
        <v>1.5979000000000001</v>
      </c>
      <c r="GJ23">
        <v>2.5146500000000001</v>
      </c>
      <c r="GK23">
        <v>36.908000000000001</v>
      </c>
      <c r="GL23">
        <v>24.157499999999999</v>
      </c>
      <c r="GM23">
        <v>18</v>
      </c>
      <c r="GN23">
        <v>355.21600000000001</v>
      </c>
      <c r="GO23">
        <v>660.96100000000001</v>
      </c>
      <c r="GP23">
        <v>25.830200000000001</v>
      </c>
      <c r="GQ23">
        <v>28.118400000000001</v>
      </c>
      <c r="GR23">
        <v>30.0001</v>
      </c>
      <c r="GS23">
        <v>28.058700000000002</v>
      </c>
      <c r="GT23">
        <v>28.086300000000001</v>
      </c>
      <c r="GU23">
        <v>22.133099999999999</v>
      </c>
      <c r="GV23">
        <v>41.223300000000002</v>
      </c>
      <c r="GW23">
        <v>0</v>
      </c>
      <c r="GX23">
        <v>25.83</v>
      </c>
      <c r="GY23">
        <v>450</v>
      </c>
      <c r="GZ23">
        <v>19.5</v>
      </c>
      <c r="HA23">
        <v>100.404</v>
      </c>
      <c r="HB23">
        <v>69.368399999999994</v>
      </c>
    </row>
    <row r="24" spans="1:210" x14ac:dyDescent="0.3">
      <c r="A24">
        <v>8</v>
      </c>
      <c r="B24">
        <v>1751971225.0999999</v>
      </c>
      <c r="C24">
        <v>1263.599999904633</v>
      </c>
      <c r="D24" t="s">
        <v>355</v>
      </c>
      <c r="E24" t="s">
        <v>356</v>
      </c>
      <c r="F24">
        <v>15</v>
      </c>
      <c r="G24">
        <v>1751971217.349999</v>
      </c>
      <c r="H24">
        <f t="shared" si="0"/>
        <v>3.3727509913921345E-3</v>
      </c>
      <c r="I24">
        <f t="shared" si="1"/>
        <v>3.3727509913921345</v>
      </c>
      <c r="J24">
        <f t="shared" si="2"/>
        <v>21.808738119789144</v>
      </c>
      <c r="K24">
        <f t="shared" si="3"/>
        <v>397.54928748284414</v>
      </c>
      <c r="L24">
        <f t="shared" si="4"/>
        <v>323.68281780014917</v>
      </c>
      <c r="M24">
        <f t="shared" si="5"/>
        <v>32.811382972435048</v>
      </c>
      <c r="N24">
        <f t="shared" si="6"/>
        <v>40.299148440038906</v>
      </c>
      <c r="O24">
        <f t="shared" si="7"/>
        <v>0.58906338957433968</v>
      </c>
      <c r="P24">
        <f t="shared" si="8"/>
        <v>2.4161654117627225</v>
      </c>
      <c r="Q24">
        <f t="shared" si="9"/>
        <v>0.48637180476920244</v>
      </c>
      <c r="R24">
        <f t="shared" si="10"/>
        <v>0.31171120493175314</v>
      </c>
      <c r="S24">
        <f t="shared" si="11"/>
        <v>180.76449266666665</v>
      </c>
      <c r="T24">
        <f t="shared" si="12"/>
        <v>27.11241072278353</v>
      </c>
      <c r="U24">
        <f t="shared" si="13"/>
        <v>26.19457666666667</v>
      </c>
      <c r="V24">
        <f t="shared" si="14"/>
        <v>3.4133046747882747</v>
      </c>
      <c r="W24">
        <f t="shared" si="15"/>
        <v>76.831298523323341</v>
      </c>
      <c r="X24">
        <f t="shared" si="16"/>
        <v>2.7316667833416535</v>
      </c>
      <c r="Y24">
        <f t="shared" si="17"/>
        <v>3.5554088448894472</v>
      </c>
      <c r="Z24">
        <f t="shared" si="18"/>
        <v>0.68163789144662124</v>
      </c>
      <c r="AA24">
        <f t="shared" si="19"/>
        <v>-148.73831872039312</v>
      </c>
      <c r="AB24">
        <f t="shared" si="20"/>
        <v>90.154462931897953</v>
      </c>
      <c r="AC24">
        <f t="shared" si="21"/>
        <v>8.0156653791825097</v>
      </c>
      <c r="AD24">
        <f t="shared" si="22"/>
        <v>130.19630225735398</v>
      </c>
      <c r="AE24">
        <f t="shared" si="23"/>
        <v>21.808738119789144</v>
      </c>
      <c r="AF24">
        <f t="shared" si="24"/>
        <v>3.3727509913921345</v>
      </c>
      <c r="AG24">
        <f t="shared" si="25"/>
        <v>21.803183354424355</v>
      </c>
      <c r="AH24">
        <v>459.00355287478811</v>
      </c>
      <c r="AI24">
        <v>408.96521212121212</v>
      </c>
      <c r="AJ24">
        <v>3.8727414261156682E-4</v>
      </c>
      <c r="AK24">
        <v>84.021061901322526</v>
      </c>
      <c r="AL24">
        <f t="shared" si="26"/>
        <v>3.3733978196206507</v>
      </c>
      <c r="AM24">
        <v>19.56545929825522</v>
      </c>
      <c r="AN24">
        <v>26.950415187969899</v>
      </c>
      <c r="AO24">
        <v>5.1200137330523219E-5</v>
      </c>
      <c r="AP24">
        <v>90.524948977533185</v>
      </c>
      <c r="AQ24">
        <v>7</v>
      </c>
      <c r="AR24">
        <v>2</v>
      </c>
      <c r="AS24">
        <f t="shared" si="27"/>
        <v>1.0001959808310599</v>
      </c>
      <c r="AT24">
        <f t="shared" si="28"/>
        <v>1.9598083105987207E-2</v>
      </c>
      <c r="AU24">
        <f t="shared" si="29"/>
        <v>53587.168407909929</v>
      </c>
      <c r="AV24">
        <f t="shared" si="30"/>
        <v>951.39206666666666</v>
      </c>
      <c r="AW24">
        <f t="shared" si="31"/>
        <v>761.11365333333333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336</v>
      </c>
      <c r="BC24">
        <v>2</v>
      </c>
      <c r="BD24" t="b">
        <v>0</v>
      </c>
      <c r="BE24">
        <v>1751971217.349999</v>
      </c>
      <c r="BF24">
        <v>397.91556666666668</v>
      </c>
      <c r="BG24">
        <v>449.99413333333342</v>
      </c>
      <c r="BH24">
        <v>26.947769999999998</v>
      </c>
      <c r="BI24">
        <v>19.565226666666671</v>
      </c>
      <c r="BJ24">
        <v>396.26576666666671</v>
      </c>
      <c r="BK24">
        <v>26.68529666666667</v>
      </c>
      <c r="BL24">
        <v>400.00873333333323</v>
      </c>
      <c r="BM24">
        <v>101.26900000000001</v>
      </c>
      <c r="BN24">
        <v>9.9936403333333326E-2</v>
      </c>
      <c r="BO24">
        <v>26.886686666666659</v>
      </c>
      <c r="BP24">
        <v>26.19457666666667</v>
      </c>
      <c r="BQ24">
        <v>999.9000000000002</v>
      </c>
      <c r="BR24">
        <v>0</v>
      </c>
      <c r="BS24">
        <v>0</v>
      </c>
      <c r="BT24">
        <v>10003.65</v>
      </c>
      <c r="BU24">
        <v>951.39206666666666</v>
      </c>
      <c r="BV24">
        <v>16.534100000000009</v>
      </c>
      <c r="BW24">
        <v>-52.07851666666668</v>
      </c>
      <c r="BX24">
        <v>408.93540000000002</v>
      </c>
      <c r="BY24">
        <v>458.97383333333329</v>
      </c>
      <c r="BZ24">
        <v>7.3825440000000002</v>
      </c>
      <c r="CA24">
        <v>449.99413333333342</v>
      </c>
      <c r="CB24">
        <v>19.565226666666671</v>
      </c>
      <c r="CC24">
        <v>2.7289763333333328</v>
      </c>
      <c r="CD24">
        <v>1.9813533333333331</v>
      </c>
      <c r="CE24">
        <v>22.460650000000001</v>
      </c>
      <c r="CF24">
        <v>17.296103333333331</v>
      </c>
      <c r="CG24">
        <v>1751969722</v>
      </c>
      <c r="CH24" t="s">
        <v>337</v>
      </c>
      <c r="CI24">
        <v>1751969722</v>
      </c>
      <c r="CJ24">
        <v>1751969721</v>
      </c>
      <c r="CK24">
        <v>3</v>
      </c>
      <c r="CL24">
        <v>-0.245</v>
      </c>
      <c r="CM24">
        <v>0.03</v>
      </c>
      <c r="CN24">
        <v>2.109</v>
      </c>
      <c r="CO24">
        <v>0.26200000000000001</v>
      </c>
      <c r="CP24">
        <v>450</v>
      </c>
      <c r="CQ24">
        <v>20</v>
      </c>
      <c r="CR24">
        <v>0.03</v>
      </c>
      <c r="CS24">
        <v>0.01</v>
      </c>
      <c r="CT24">
        <v>-52.060678048780467</v>
      </c>
      <c r="CU24">
        <v>-0.30995540069692767</v>
      </c>
      <c r="CV24">
        <v>4.1831138548816559E-2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7.3807307317073159</v>
      </c>
      <c r="DC24">
        <v>2.2608083623684608E-2</v>
      </c>
      <c r="DD24">
        <v>3.3483213050968532E-3</v>
      </c>
      <c r="DE24">
        <v>1</v>
      </c>
      <c r="DF24">
        <v>2</v>
      </c>
      <c r="DG24">
        <v>2</v>
      </c>
      <c r="DH24" t="s">
        <v>344</v>
      </c>
      <c r="DI24">
        <v>3.0246200000000001</v>
      </c>
      <c r="DJ24">
        <v>2.6912500000000001</v>
      </c>
      <c r="DK24">
        <v>9.2538099999999998E-2</v>
      </c>
      <c r="DL24">
        <v>0.102326</v>
      </c>
      <c r="DM24">
        <v>0.129415</v>
      </c>
      <c r="DN24">
        <v>0.1045</v>
      </c>
      <c r="DO24">
        <v>25267.200000000001</v>
      </c>
      <c r="DP24">
        <v>16557.5</v>
      </c>
      <c r="DQ24">
        <v>26421.200000000001</v>
      </c>
      <c r="DR24">
        <v>16765.099999999999</v>
      </c>
      <c r="DS24">
        <v>32710.3</v>
      </c>
      <c r="DT24">
        <v>19621</v>
      </c>
      <c r="DU24">
        <v>38490</v>
      </c>
      <c r="DV24">
        <v>22228.2</v>
      </c>
      <c r="DW24">
        <v>1.77346</v>
      </c>
      <c r="DX24">
        <v>2.1698</v>
      </c>
      <c r="DY24">
        <v>6.5171699999999999E-2</v>
      </c>
      <c r="DZ24">
        <v>0</v>
      </c>
      <c r="EA24">
        <v>25.1221</v>
      </c>
      <c r="EB24">
        <v>999.9</v>
      </c>
      <c r="EC24">
        <v>57.4</v>
      </c>
      <c r="ED24">
        <v>33.6</v>
      </c>
      <c r="EE24">
        <v>29.616499999999998</v>
      </c>
      <c r="EF24">
        <v>62.707599999999999</v>
      </c>
      <c r="EG24">
        <v>35.156199999999998</v>
      </c>
      <c r="EH24">
        <v>1</v>
      </c>
      <c r="EI24">
        <v>8.0225599999999994E-2</v>
      </c>
      <c r="EJ24">
        <v>0.12522900000000001</v>
      </c>
      <c r="EK24">
        <v>20.3263</v>
      </c>
      <c r="EL24">
        <v>5.2522700000000002</v>
      </c>
      <c r="EM24">
        <v>11.962</v>
      </c>
      <c r="EN24">
        <v>4.9896000000000003</v>
      </c>
      <c r="EO24">
        <v>3.2911199999999998</v>
      </c>
      <c r="EP24">
        <v>9999</v>
      </c>
      <c r="EQ24">
        <v>9999</v>
      </c>
      <c r="ER24">
        <v>9999</v>
      </c>
      <c r="ES24">
        <v>999.9</v>
      </c>
      <c r="ET24">
        <v>4.9727199999999998</v>
      </c>
      <c r="EU24">
        <v>1.8719300000000001</v>
      </c>
      <c r="EV24">
        <v>1.8722000000000001</v>
      </c>
      <c r="EW24">
        <v>1.87721</v>
      </c>
      <c r="EX24">
        <v>1.87134</v>
      </c>
      <c r="EY24">
        <v>1.8721000000000001</v>
      </c>
      <c r="EZ24">
        <v>1.8717999999999999</v>
      </c>
      <c r="FA24">
        <v>1.8688100000000001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1.65</v>
      </c>
      <c r="FP24">
        <v>0.26250000000000001</v>
      </c>
      <c r="FQ24">
        <v>-1.6285688398225131</v>
      </c>
      <c r="FR24">
        <v>7.6898218637449396E-3</v>
      </c>
      <c r="FS24">
        <v>1.5097418776848419E-6</v>
      </c>
      <c r="FT24">
        <v>-9.8458676114205118E-11</v>
      </c>
      <c r="FU24">
        <v>0.26247500000000562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25.1</v>
      </c>
      <c r="GD24">
        <v>25.1</v>
      </c>
      <c r="GE24">
        <v>1.1071800000000001</v>
      </c>
      <c r="GF24">
        <v>2.6355</v>
      </c>
      <c r="GG24">
        <v>1.7981</v>
      </c>
      <c r="GH24">
        <v>2.3791500000000001</v>
      </c>
      <c r="GI24">
        <v>1.5979000000000001</v>
      </c>
      <c r="GJ24">
        <v>2.5915499999999998</v>
      </c>
      <c r="GK24">
        <v>36.931699999999999</v>
      </c>
      <c r="GL24">
        <v>24.1663</v>
      </c>
      <c r="GM24">
        <v>18</v>
      </c>
      <c r="GN24">
        <v>355.53100000000001</v>
      </c>
      <c r="GO24">
        <v>660.84900000000005</v>
      </c>
      <c r="GP24">
        <v>25.83</v>
      </c>
      <c r="GQ24">
        <v>28.130199999999999</v>
      </c>
      <c r="GR24">
        <v>30</v>
      </c>
      <c r="GS24">
        <v>28.070499999999999</v>
      </c>
      <c r="GT24">
        <v>28.098199999999999</v>
      </c>
      <c r="GU24">
        <v>22.1297</v>
      </c>
      <c r="GV24">
        <v>41.4861</v>
      </c>
      <c r="GW24">
        <v>0</v>
      </c>
      <c r="GX24">
        <v>25.83</v>
      </c>
      <c r="GY24">
        <v>450</v>
      </c>
      <c r="GZ24">
        <v>19.5</v>
      </c>
      <c r="HA24">
        <v>100.399</v>
      </c>
      <c r="HB24">
        <v>69.366799999999998</v>
      </c>
    </row>
    <row r="25" spans="1:210" x14ac:dyDescent="0.3">
      <c r="A25">
        <v>9</v>
      </c>
      <c r="B25">
        <v>1751971405.5999999</v>
      </c>
      <c r="C25">
        <v>1444.099999904633</v>
      </c>
      <c r="D25" t="s">
        <v>357</v>
      </c>
      <c r="E25" t="s">
        <v>358</v>
      </c>
      <c r="F25">
        <v>15</v>
      </c>
      <c r="G25">
        <v>1751971397.849999</v>
      </c>
      <c r="H25">
        <f t="shared" si="0"/>
        <v>3.4087949487445397E-3</v>
      </c>
      <c r="I25">
        <f t="shared" si="1"/>
        <v>3.4087949487445397</v>
      </c>
      <c r="J25">
        <f t="shared" si="2"/>
        <v>25.269520533479369</v>
      </c>
      <c r="K25">
        <f t="shared" si="3"/>
        <v>538.60170470557182</v>
      </c>
      <c r="L25">
        <f t="shared" si="4"/>
        <v>453.43013204996515</v>
      </c>
      <c r="M25">
        <f t="shared" si="5"/>
        <v>45.967801799533021</v>
      </c>
      <c r="N25">
        <f t="shared" si="6"/>
        <v>54.602318330419486</v>
      </c>
      <c r="O25">
        <f t="shared" si="7"/>
        <v>0.5998969000250971</v>
      </c>
      <c r="P25">
        <f t="shared" si="8"/>
        <v>2.4152074436570041</v>
      </c>
      <c r="Q25">
        <f t="shared" si="9"/>
        <v>0.49371928420803501</v>
      </c>
      <c r="R25">
        <f t="shared" si="10"/>
        <v>0.31654149676861332</v>
      </c>
      <c r="S25">
        <f t="shared" si="11"/>
        <v>180.82287333333335</v>
      </c>
      <c r="T25">
        <f t="shared" si="12"/>
        <v>27.106206421355829</v>
      </c>
      <c r="U25">
        <f t="shared" si="13"/>
        <v>26.187443333333331</v>
      </c>
      <c r="V25">
        <f t="shared" si="14"/>
        <v>3.4118662718753092</v>
      </c>
      <c r="W25">
        <f t="shared" si="15"/>
        <v>76.85220104880635</v>
      </c>
      <c r="X25">
        <f t="shared" si="16"/>
        <v>2.7331344201152405</v>
      </c>
      <c r="Y25">
        <f t="shared" si="17"/>
        <v>3.5563515199512827</v>
      </c>
      <c r="Z25">
        <f t="shared" si="18"/>
        <v>0.67873185176006867</v>
      </c>
      <c r="AA25">
        <f t="shared" si="19"/>
        <v>-150.3278572396342</v>
      </c>
      <c r="AB25">
        <f t="shared" si="20"/>
        <v>91.634781109467923</v>
      </c>
      <c r="AC25">
        <f t="shared" si="21"/>
        <v>8.1504058315358971</v>
      </c>
      <c r="AD25">
        <f t="shared" si="22"/>
        <v>130.28020303470296</v>
      </c>
      <c r="AE25">
        <f t="shared" si="23"/>
        <v>25.269520533479369</v>
      </c>
      <c r="AF25">
        <f t="shared" si="24"/>
        <v>3.4087949487445397</v>
      </c>
      <c r="AG25">
        <f t="shared" si="25"/>
        <v>25.246385057493974</v>
      </c>
      <c r="AH25">
        <v>611.90164673191998</v>
      </c>
      <c r="AI25">
        <v>553.93966060606056</v>
      </c>
      <c r="AJ25">
        <v>2.8181686630728538E-3</v>
      </c>
      <c r="AK25">
        <v>84.021061901322526</v>
      </c>
      <c r="AL25">
        <f t="shared" si="26"/>
        <v>3.4082067004042171</v>
      </c>
      <c r="AM25">
        <v>19.499630316259669</v>
      </c>
      <c r="AN25">
        <v>26.961978646616519</v>
      </c>
      <c r="AO25">
        <v>-1.364179361909841E-5</v>
      </c>
      <c r="AP25">
        <v>90.524948977533185</v>
      </c>
      <c r="AQ25">
        <v>7</v>
      </c>
      <c r="AR25">
        <v>2</v>
      </c>
      <c r="AS25">
        <f t="shared" si="27"/>
        <v>1.0001961003216078</v>
      </c>
      <c r="AT25">
        <f t="shared" si="28"/>
        <v>1.961003216077728E-2</v>
      </c>
      <c r="AU25">
        <f t="shared" si="29"/>
        <v>53554.522334658657</v>
      </c>
      <c r="AV25">
        <f t="shared" si="30"/>
        <v>951.69933333333347</v>
      </c>
      <c r="AW25">
        <f t="shared" si="31"/>
        <v>761.35946666666678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336</v>
      </c>
      <c r="BC25">
        <v>2</v>
      </c>
      <c r="BD25" t="b">
        <v>0</v>
      </c>
      <c r="BE25">
        <v>1751971397.849999</v>
      </c>
      <c r="BF25">
        <v>539.0263666666666</v>
      </c>
      <c r="BG25">
        <v>600.0100666666666</v>
      </c>
      <c r="BH25">
        <v>26.959859999999999</v>
      </c>
      <c r="BI25">
        <v>19.497836666666672</v>
      </c>
      <c r="BJ25">
        <v>536.11350000000004</v>
      </c>
      <c r="BK25">
        <v>26.697383333333331</v>
      </c>
      <c r="BL25">
        <v>399.97240000000011</v>
      </c>
      <c r="BM25">
        <v>101.27793333333339</v>
      </c>
      <c r="BN25">
        <v>9.9982580000000001E-2</v>
      </c>
      <c r="BO25">
        <v>26.891196666666659</v>
      </c>
      <c r="BP25">
        <v>26.187443333333331</v>
      </c>
      <c r="BQ25">
        <v>999.9000000000002</v>
      </c>
      <c r="BR25">
        <v>0</v>
      </c>
      <c r="BS25">
        <v>0</v>
      </c>
      <c r="BT25">
        <v>9996.5333333333328</v>
      </c>
      <c r="BU25">
        <v>951.69933333333347</v>
      </c>
      <c r="BV25">
        <v>16.534100000000009</v>
      </c>
      <c r="BW25">
        <v>-60.983683333333339</v>
      </c>
      <c r="BX25">
        <v>553.96109999999999</v>
      </c>
      <c r="BY25">
        <v>611.94163333333324</v>
      </c>
      <c r="BZ25">
        <v>7.4620189999999988</v>
      </c>
      <c r="CA25">
        <v>600.0100666666666</v>
      </c>
      <c r="CB25">
        <v>19.497836666666672</v>
      </c>
      <c r="CC25">
        <v>2.730437666666667</v>
      </c>
      <c r="CD25">
        <v>1.9746999999999999</v>
      </c>
      <c r="CE25">
        <v>22.46945333333333</v>
      </c>
      <c r="CF25">
        <v>17.242923333333341</v>
      </c>
      <c r="CG25">
        <v>1751969722</v>
      </c>
      <c r="CH25" t="s">
        <v>337</v>
      </c>
      <c r="CI25">
        <v>1751969722</v>
      </c>
      <c r="CJ25">
        <v>1751969721</v>
      </c>
      <c r="CK25">
        <v>3</v>
      </c>
      <c r="CL25">
        <v>-0.245</v>
      </c>
      <c r="CM25">
        <v>0.03</v>
      </c>
      <c r="CN25">
        <v>2.109</v>
      </c>
      <c r="CO25">
        <v>0.26200000000000001</v>
      </c>
      <c r="CP25">
        <v>450</v>
      </c>
      <c r="CQ25">
        <v>20</v>
      </c>
      <c r="CR25">
        <v>0.03</v>
      </c>
      <c r="CS25">
        <v>0.01</v>
      </c>
      <c r="CT25">
        <v>-60.987421951219517</v>
      </c>
      <c r="CU25">
        <v>0.20595052264820521</v>
      </c>
      <c r="CV25">
        <v>5.9623728752394647E-2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7.4636763414634153</v>
      </c>
      <c r="DC25">
        <v>-3.7848292682917832E-2</v>
      </c>
      <c r="DD25">
        <v>4.2529598049964147E-3</v>
      </c>
      <c r="DE25">
        <v>1</v>
      </c>
      <c r="DF25">
        <v>2</v>
      </c>
      <c r="DG25">
        <v>2</v>
      </c>
      <c r="DH25" t="s">
        <v>344</v>
      </c>
      <c r="DI25">
        <v>3.0247299999999999</v>
      </c>
      <c r="DJ25">
        <v>2.6912600000000002</v>
      </c>
      <c r="DK25">
        <v>0.115663</v>
      </c>
      <c r="DL25">
        <v>0.12585299999999999</v>
      </c>
      <c r="DM25">
        <v>0.129466</v>
      </c>
      <c r="DN25">
        <v>0.10427699999999999</v>
      </c>
      <c r="DO25">
        <v>24623.599999999999</v>
      </c>
      <c r="DP25">
        <v>16123.6</v>
      </c>
      <c r="DQ25">
        <v>26421.599999999999</v>
      </c>
      <c r="DR25">
        <v>16765.099999999999</v>
      </c>
      <c r="DS25">
        <v>32709.5</v>
      </c>
      <c r="DT25">
        <v>19626.599999999999</v>
      </c>
      <c r="DU25">
        <v>38490.5</v>
      </c>
      <c r="DV25">
        <v>22228.5</v>
      </c>
      <c r="DW25">
        <v>1.7735000000000001</v>
      </c>
      <c r="DX25">
        <v>2.1695799999999998</v>
      </c>
      <c r="DY25">
        <v>6.5267099999999995E-2</v>
      </c>
      <c r="DZ25">
        <v>0</v>
      </c>
      <c r="EA25">
        <v>25.125699999999998</v>
      </c>
      <c r="EB25">
        <v>999.9</v>
      </c>
      <c r="EC25">
        <v>57.4</v>
      </c>
      <c r="ED25">
        <v>33.6</v>
      </c>
      <c r="EE25">
        <v>29.6126</v>
      </c>
      <c r="EF25">
        <v>62.947600000000001</v>
      </c>
      <c r="EG25">
        <v>35.236400000000003</v>
      </c>
      <c r="EH25">
        <v>1</v>
      </c>
      <c r="EI25">
        <v>8.1132099999999999E-2</v>
      </c>
      <c r="EJ25">
        <v>0.13605700000000001</v>
      </c>
      <c r="EK25">
        <v>20.325900000000001</v>
      </c>
      <c r="EL25">
        <v>5.2522700000000002</v>
      </c>
      <c r="EM25">
        <v>11.962</v>
      </c>
      <c r="EN25">
        <v>4.9897999999999998</v>
      </c>
      <c r="EO25">
        <v>3.2910599999999999</v>
      </c>
      <c r="EP25">
        <v>9999</v>
      </c>
      <c r="EQ25">
        <v>9999</v>
      </c>
      <c r="ER25">
        <v>9999</v>
      </c>
      <c r="ES25">
        <v>999.9</v>
      </c>
      <c r="ET25">
        <v>4.9727300000000003</v>
      </c>
      <c r="EU25">
        <v>1.87191</v>
      </c>
      <c r="EV25">
        <v>1.87219</v>
      </c>
      <c r="EW25">
        <v>1.8772</v>
      </c>
      <c r="EX25">
        <v>1.87134</v>
      </c>
      <c r="EY25">
        <v>1.8721000000000001</v>
      </c>
      <c r="EZ25">
        <v>1.8717999999999999</v>
      </c>
      <c r="FA25">
        <v>1.86879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2.9129999999999998</v>
      </c>
      <c r="FP25">
        <v>0.26250000000000001</v>
      </c>
      <c r="FQ25">
        <v>-1.6285688398225131</v>
      </c>
      <c r="FR25">
        <v>7.6898218637449396E-3</v>
      </c>
      <c r="FS25">
        <v>1.5097418776848419E-6</v>
      </c>
      <c r="FT25">
        <v>-9.8458676114205118E-11</v>
      </c>
      <c r="FU25">
        <v>0.26247500000000562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28.1</v>
      </c>
      <c r="GD25">
        <v>28.1</v>
      </c>
      <c r="GE25">
        <v>1.3952599999999999</v>
      </c>
      <c r="GF25">
        <v>2.65259</v>
      </c>
      <c r="GG25">
        <v>1.79932</v>
      </c>
      <c r="GH25">
        <v>2.3791500000000001</v>
      </c>
      <c r="GI25">
        <v>1.5979000000000001</v>
      </c>
      <c r="GJ25">
        <v>2.4731399999999999</v>
      </c>
      <c r="GK25">
        <v>36.955599999999997</v>
      </c>
      <c r="GL25">
        <v>24.157499999999999</v>
      </c>
      <c r="GM25">
        <v>18</v>
      </c>
      <c r="GN25">
        <v>355.62299999999999</v>
      </c>
      <c r="GO25">
        <v>660.80600000000004</v>
      </c>
      <c r="GP25">
        <v>25.830100000000002</v>
      </c>
      <c r="GQ25">
        <v>28.142199999999999</v>
      </c>
      <c r="GR25">
        <v>30.0001</v>
      </c>
      <c r="GS25">
        <v>28.081800000000001</v>
      </c>
      <c r="GT25">
        <v>28.110199999999999</v>
      </c>
      <c r="GU25">
        <v>27.885200000000001</v>
      </c>
      <c r="GV25">
        <v>41.4861</v>
      </c>
      <c r="GW25">
        <v>0</v>
      </c>
      <c r="GX25">
        <v>25.83</v>
      </c>
      <c r="GY25">
        <v>600</v>
      </c>
      <c r="GZ25">
        <v>19.5</v>
      </c>
      <c r="HA25">
        <v>100.4</v>
      </c>
      <c r="HB25">
        <v>69.367500000000007</v>
      </c>
    </row>
    <row r="26" spans="1:210" x14ac:dyDescent="0.3">
      <c r="A26">
        <v>10</v>
      </c>
      <c r="B26">
        <v>1751971586.0999999</v>
      </c>
      <c r="C26">
        <v>1624.599999904633</v>
      </c>
      <c r="D26" t="s">
        <v>359</v>
      </c>
      <c r="E26" t="s">
        <v>360</v>
      </c>
      <c r="F26">
        <v>15</v>
      </c>
      <c r="G26">
        <v>1751971578.349999</v>
      </c>
      <c r="H26">
        <f t="shared" si="0"/>
        <v>3.2998829404403958E-3</v>
      </c>
      <c r="I26">
        <f t="shared" si="1"/>
        <v>3.299882940440396</v>
      </c>
      <c r="J26">
        <f t="shared" si="2"/>
        <v>26.945272692942076</v>
      </c>
      <c r="K26">
        <f t="shared" si="3"/>
        <v>832.70277524943526</v>
      </c>
      <c r="L26">
        <f t="shared" si="4"/>
        <v>733.0588000188385</v>
      </c>
      <c r="M26">
        <f t="shared" si="5"/>
        <v>74.315925367600357</v>
      </c>
      <c r="N26">
        <f t="shared" si="6"/>
        <v>84.417617382453386</v>
      </c>
      <c r="O26">
        <f t="shared" si="7"/>
        <v>0.55516100517537248</v>
      </c>
      <c r="P26">
        <f t="shared" si="8"/>
        <v>2.4151177928205803</v>
      </c>
      <c r="Q26">
        <f t="shared" si="9"/>
        <v>0.46293780999105216</v>
      </c>
      <c r="R26">
        <f t="shared" si="10"/>
        <v>0.296341927147316</v>
      </c>
      <c r="S26">
        <f t="shared" si="11"/>
        <v>180.70566866666667</v>
      </c>
      <c r="T26">
        <f t="shared" si="12"/>
        <v>27.14537834681818</v>
      </c>
      <c r="U26">
        <f t="shared" si="13"/>
        <v>26.20511333333334</v>
      </c>
      <c r="V26">
        <f t="shared" si="14"/>
        <v>3.4154303126177692</v>
      </c>
      <c r="W26">
        <f t="shared" si="15"/>
        <v>76.304772723950137</v>
      </c>
      <c r="X26">
        <f t="shared" si="16"/>
        <v>2.7146433617075076</v>
      </c>
      <c r="Y26">
        <f t="shared" si="17"/>
        <v>3.5576324583631838</v>
      </c>
      <c r="Z26">
        <f t="shared" si="18"/>
        <v>0.70078695091026155</v>
      </c>
      <c r="AA26">
        <f t="shared" si="19"/>
        <v>-145.52483767342144</v>
      </c>
      <c r="AB26">
        <f t="shared" si="20"/>
        <v>90.12839347340153</v>
      </c>
      <c r="AC26">
        <f t="shared" si="21"/>
        <v>8.0176735765621245</v>
      </c>
      <c r="AD26">
        <f t="shared" si="22"/>
        <v>133.32689804320887</v>
      </c>
      <c r="AE26">
        <f t="shared" si="23"/>
        <v>26.945272692942076</v>
      </c>
      <c r="AF26">
        <f t="shared" si="24"/>
        <v>3.299882940440396</v>
      </c>
      <c r="AG26">
        <f t="shared" si="25"/>
        <v>26.822608108882164</v>
      </c>
      <c r="AH26">
        <v>917.90774346171372</v>
      </c>
      <c r="AI26">
        <v>856.16852727272681</v>
      </c>
      <c r="AJ26">
        <v>2.1485699995014561E-2</v>
      </c>
      <c r="AK26">
        <v>84.021061901322526</v>
      </c>
      <c r="AL26">
        <f t="shared" si="26"/>
        <v>3.2925884610911038</v>
      </c>
      <c r="AM26">
        <v>19.552256103961419</v>
      </c>
      <c r="AN26">
        <v>26.76254947368421</v>
      </c>
      <c r="AO26">
        <v>-5.6278768627685359E-6</v>
      </c>
      <c r="AP26">
        <v>90.524948977533185</v>
      </c>
      <c r="AQ26">
        <v>6</v>
      </c>
      <c r="AR26">
        <v>2</v>
      </c>
      <c r="AS26">
        <f t="shared" si="27"/>
        <v>1.0001680941261362</v>
      </c>
      <c r="AT26">
        <f t="shared" si="28"/>
        <v>1.6809412613616459E-2</v>
      </c>
      <c r="AU26">
        <f t="shared" si="29"/>
        <v>53550.430666705091</v>
      </c>
      <c r="AV26">
        <f t="shared" si="30"/>
        <v>951.08246666666673</v>
      </c>
      <c r="AW26">
        <f t="shared" si="31"/>
        <v>760.86597333333339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336</v>
      </c>
      <c r="BC26">
        <v>2</v>
      </c>
      <c r="BD26" t="b">
        <v>0</v>
      </c>
      <c r="BE26">
        <v>1751971578.349999</v>
      </c>
      <c r="BF26">
        <v>833.15563333333353</v>
      </c>
      <c r="BG26">
        <v>899.95996666666667</v>
      </c>
      <c r="BH26">
        <v>26.777480000000001</v>
      </c>
      <c r="BI26">
        <v>19.552623333333329</v>
      </c>
      <c r="BJ26">
        <v>827.44343333333359</v>
      </c>
      <c r="BK26">
        <v>26.515006666666661</v>
      </c>
      <c r="BL26">
        <v>399.98983333333342</v>
      </c>
      <c r="BM26">
        <v>101.27793333333329</v>
      </c>
      <c r="BN26">
        <v>9.9917073333333342E-2</v>
      </c>
      <c r="BO26">
        <v>26.89732333333334</v>
      </c>
      <c r="BP26">
        <v>26.20511333333334</v>
      </c>
      <c r="BQ26">
        <v>999.9000000000002</v>
      </c>
      <c r="BR26">
        <v>0</v>
      </c>
      <c r="BS26">
        <v>0</v>
      </c>
      <c r="BT26">
        <v>9995.9500000000007</v>
      </c>
      <c r="BU26">
        <v>951.08246666666673</v>
      </c>
      <c r="BV26">
        <v>16.534100000000009</v>
      </c>
      <c r="BW26">
        <v>-66.804289999999995</v>
      </c>
      <c r="BX26">
        <v>856.07933333333324</v>
      </c>
      <c r="BY26">
        <v>917.90750000000003</v>
      </c>
      <c r="BZ26">
        <v>7.2248550000000016</v>
      </c>
      <c r="CA26">
        <v>899.95996666666667</v>
      </c>
      <c r="CB26">
        <v>19.552623333333329</v>
      </c>
      <c r="CC26">
        <v>2.711965999999999</v>
      </c>
      <c r="CD26">
        <v>1.980248666666667</v>
      </c>
      <c r="CE26">
        <v>22.357796666666669</v>
      </c>
      <c r="CF26">
        <v>17.287279999999999</v>
      </c>
      <c r="CG26">
        <v>1751969722</v>
      </c>
      <c r="CH26" t="s">
        <v>337</v>
      </c>
      <c r="CI26">
        <v>1751969722</v>
      </c>
      <c r="CJ26">
        <v>1751969721</v>
      </c>
      <c r="CK26">
        <v>3</v>
      </c>
      <c r="CL26">
        <v>-0.245</v>
      </c>
      <c r="CM26">
        <v>0.03</v>
      </c>
      <c r="CN26">
        <v>2.109</v>
      </c>
      <c r="CO26">
        <v>0.26200000000000001</v>
      </c>
      <c r="CP26">
        <v>450</v>
      </c>
      <c r="CQ26">
        <v>20</v>
      </c>
      <c r="CR26">
        <v>0.03</v>
      </c>
      <c r="CS26">
        <v>0.01</v>
      </c>
      <c r="CT26">
        <v>-66.87776341463416</v>
      </c>
      <c r="CU26">
        <v>0.88858327526130776</v>
      </c>
      <c r="CV26">
        <v>0.13529947047306359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7.2333100000000004</v>
      </c>
      <c r="DC26">
        <v>-0.1262029965156567</v>
      </c>
      <c r="DD26">
        <v>1.2650867125394641E-2</v>
      </c>
      <c r="DE26">
        <v>0</v>
      </c>
      <c r="DF26">
        <v>0</v>
      </c>
      <c r="DG26">
        <v>2</v>
      </c>
      <c r="DH26" t="s">
        <v>361</v>
      </c>
      <c r="DI26">
        <v>3.0246300000000002</v>
      </c>
      <c r="DJ26">
        <v>2.6910799999999999</v>
      </c>
      <c r="DK26">
        <v>0.15556400000000001</v>
      </c>
      <c r="DL26">
        <v>0.16517999999999999</v>
      </c>
      <c r="DM26">
        <v>0.12879399999999999</v>
      </c>
      <c r="DN26">
        <v>0.104476</v>
      </c>
      <c r="DO26">
        <v>23510.6</v>
      </c>
      <c r="DP26">
        <v>15397.5</v>
      </c>
      <c r="DQ26">
        <v>26419.4</v>
      </c>
      <c r="DR26">
        <v>16764.400000000001</v>
      </c>
      <c r="DS26">
        <v>32732.9</v>
      </c>
      <c r="DT26">
        <v>19621.7</v>
      </c>
      <c r="DU26">
        <v>38486.400000000001</v>
      </c>
      <c r="DV26">
        <v>22227.4</v>
      </c>
      <c r="DW26">
        <v>1.7736400000000001</v>
      </c>
      <c r="DX26">
        <v>2.1700400000000002</v>
      </c>
      <c r="DY26">
        <v>6.5648600000000001E-2</v>
      </c>
      <c r="DZ26">
        <v>0</v>
      </c>
      <c r="EA26">
        <v>25.133400000000002</v>
      </c>
      <c r="EB26">
        <v>999.9</v>
      </c>
      <c r="EC26">
        <v>57.5</v>
      </c>
      <c r="ED26">
        <v>33.6</v>
      </c>
      <c r="EE26">
        <v>29.662299999999998</v>
      </c>
      <c r="EF26">
        <v>62.517600000000002</v>
      </c>
      <c r="EG26">
        <v>35.400599999999997</v>
      </c>
      <c r="EH26">
        <v>1</v>
      </c>
      <c r="EI26">
        <v>8.2170699999999999E-2</v>
      </c>
      <c r="EJ26">
        <v>0.134237</v>
      </c>
      <c r="EK26">
        <v>20.326499999999999</v>
      </c>
      <c r="EL26">
        <v>5.24796</v>
      </c>
      <c r="EM26">
        <v>11.962</v>
      </c>
      <c r="EN26">
        <v>4.9895199999999997</v>
      </c>
      <c r="EO26">
        <v>3.2915199999999998</v>
      </c>
      <c r="EP26">
        <v>9999</v>
      </c>
      <c r="EQ26">
        <v>9999</v>
      </c>
      <c r="ER26">
        <v>9999</v>
      </c>
      <c r="ES26">
        <v>999.9</v>
      </c>
      <c r="ET26">
        <v>4.9727300000000003</v>
      </c>
      <c r="EU26">
        <v>1.8719300000000001</v>
      </c>
      <c r="EV26">
        <v>1.8722000000000001</v>
      </c>
      <c r="EW26">
        <v>1.87723</v>
      </c>
      <c r="EX26">
        <v>1.87134</v>
      </c>
      <c r="EY26">
        <v>1.8721000000000001</v>
      </c>
      <c r="EZ26">
        <v>1.8717999999999999</v>
      </c>
      <c r="FA26">
        <v>1.8688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5.7130000000000001</v>
      </c>
      <c r="FP26">
        <v>0.26250000000000001</v>
      </c>
      <c r="FQ26">
        <v>-1.6285688398225131</v>
      </c>
      <c r="FR26">
        <v>7.6898218637449396E-3</v>
      </c>
      <c r="FS26">
        <v>1.5097418776848419E-6</v>
      </c>
      <c r="FT26">
        <v>-9.8458676114205118E-11</v>
      </c>
      <c r="FU26">
        <v>0.26247500000000562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31.1</v>
      </c>
      <c r="GD26">
        <v>31.1</v>
      </c>
      <c r="GE26">
        <v>1.93848</v>
      </c>
      <c r="GF26">
        <v>2.6208499999999999</v>
      </c>
      <c r="GG26">
        <v>1.7981</v>
      </c>
      <c r="GH26">
        <v>2.3791500000000001</v>
      </c>
      <c r="GI26">
        <v>1.5979000000000001</v>
      </c>
      <c r="GJ26">
        <v>2.52441</v>
      </c>
      <c r="GK26">
        <v>36.979399999999998</v>
      </c>
      <c r="GL26">
        <v>24.157499999999999</v>
      </c>
      <c r="GM26">
        <v>18</v>
      </c>
      <c r="GN26">
        <v>355.75599999999997</v>
      </c>
      <c r="GO26">
        <v>661.31899999999996</v>
      </c>
      <c r="GP26">
        <v>25.83</v>
      </c>
      <c r="GQ26">
        <v>28.153700000000001</v>
      </c>
      <c r="GR26">
        <v>30.0001</v>
      </c>
      <c r="GS26">
        <v>28.091799999999999</v>
      </c>
      <c r="GT26">
        <v>28.119800000000001</v>
      </c>
      <c r="GU26">
        <v>38.764099999999999</v>
      </c>
      <c r="GV26">
        <v>41.4861</v>
      </c>
      <c r="GW26">
        <v>0</v>
      </c>
      <c r="GX26">
        <v>25.83</v>
      </c>
      <c r="GY26">
        <v>900</v>
      </c>
      <c r="GZ26">
        <v>19.5</v>
      </c>
      <c r="HA26">
        <v>100.39100000000001</v>
      </c>
      <c r="HB26">
        <v>69.364099999999993</v>
      </c>
    </row>
    <row r="27" spans="1:210" x14ac:dyDescent="0.3">
      <c r="A27">
        <v>11</v>
      </c>
      <c r="B27">
        <v>1751971766.5999999</v>
      </c>
      <c r="C27">
        <v>1805.099999904633</v>
      </c>
      <c r="D27" t="s">
        <v>362</v>
      </c>
      <c r="E27" t="s">
        <v>363</v>
      </c>
      <c r="F27">
        <v>15</v>
      </c>
      <c r="G27">
        <v>1751971758.849999</v>
      </c>
      <c r="H27">
        <f t="shared" si="0"/>
        <v>3.200523396394676E-3</v>
      </c>
      <c r="I27">
        <f t="shared" si="1"/>
        <v>3.2005233963946762</v>
      </c>
      <c r="J27">
        <f t="shared" si="2"/>
        <v>26.886968347495056</v>
      </c>
      <c r="K27">
        <f t="shared" si="3"/>
        <v>1130.8835000855963</v>
      </c>
      <c r="L27">
        <f t="shared" si="4"/>
        <v>1021.3928199454608</v>
      </c>
      <c r="M27">
        <f t="shared" si="5"/>
        <v>103.5535144637664</v>
      </c>
      <c r="N27">
        <f t="shared" si="6"/>
        <v>114.65418455673277</v>
      </c>
      <c r="O27">
        <f t="shared" si="7"/>
        <v>0.51330271738139799</v>
      </c>
      <c r="P27">
        <f t="shared" si="8"/>
        <v>2.4152932017190958</v>
      </c>
      <c r="Q27">
        <f t="shared" si="9"/>
        <v>0.4334077971350408</v>
      </c>
      <c r="R27">
        <f t="shared" si="10"/>
        <v>0.27702059816924535</v>
      </c>
      <c r="S27">
        <f t="shared" si="11"/>
        <v>180.80151100000003</v>
      </c>
      <c r="T27">
        <f t="shared" si="12"/>
        <v>27.180753065745971</v>
      </c>
      <c r="U27">
        <f t="shared" si="13"/>
        <v>26.215540000000001</v>
      </c>
      <c r="V27">
        <f t="shared" si="14"/>
        <v>3.4175348972464445</v>
      </c>
      <c r="W27">
        <f t="shared" si="15"/>
        <v>75.634735417618501</v>
      </c>
      <c r="X27">
        <f t="shared" si="16"/>
        <v>2.6914106504094488</v>
      </c>
      <c r="Y27">
        <f t="shared" si="17"/>
        <v>3.5584320293431029</v>
      </c>
      <c r="Z27">
        <f t="shared" si="18"/>
        <v>0.72612424683699572</v>
      </c>
      <c r="AA27">
        <f t="shared" si="19"/>
        <v>-141.14308178100521</v>
      </c>
      <c r="AB27">
        <f t="shared" si="20"/>
        <v>89.275097718225226</v>
      </c>
      <c r="AC27">
        <f t="shared" si="21"/>
        <v>7.9417554944399891</v>
      </c>
      <c r="AD27">
        <f t="shared" si="22"/>
        <v>136.87528243166005</v>
      </c>
      <c r="AE27">
        <f t="shared" si="23"/>
        <v>26.886968347495056</v>
      </c>
      <c r="AF27">
        <f t="shared" si="24"/>
        <v>3.2005233963946762</v>
      </c>
      <c r="AG27">
        <f t="shared" si="25"/>
        <v>26.898122731640385</v>
      </c>
      <c r="AH27">
        <v>1223.82462224862</v>
      </c>
      <c r="AI27">
        <v>1162.1657575757581</v>
      </c>
      <c r="AJ27">
        <v>-7.705982478543893E-3</v>
      </c>
      <c r="AK27">
        <v>84.021061901322526</v>
      </c>
      <c r="AL27">
        <f t="shared" si="26"/>
        <v>3.1976442035056118</v>
      </c>
      <c r="AM27">
        <v>19.537109354638531</v>
      </c>
      <c r="AN27">
        <v>26.540619248120279</v>
      </c>
      <c r="AO27">
        <v>-1.4337009279132841E-6</v>
      </c>
      <c r="AP27">
        <v>90.524948977533185</v>
      </c>
      <c r="AQ27">
        <v>6</v>
      </c>
      <c r="AR27">
        <v>1</v>
      </c>
      <c r="AS27">
        <f t="shared" si="27"/>
        <v>1.0001680774064434</v>
      </c>
      <c r="AT27">
        <f t="shared" si="28"/>
        <v>1.6807740644342317E-2</v>
      </c>
      <c r="AU27">
        <f t="shared" si="29"/>
        <v>53555.756761943157</v>
      </c>
      <c r="AV27">
        <f t="shared" si="30"/>
        <v>951.58690000000013</v>
      </c>
      <c r="AW27">
        <f t="shared" si="31"/>
        <v>761.26952000000017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336</v>
      </c>
      <c r="BC27">
        <v>2</v>
      </c>
      <c r="BD27" t="b">
        <v>0</v>
      </c>
      <c r="BE27">
        <v>1751971758.849999</v>
      </c>
      <c r="BF27">
        <v>1131.335333333333</v>
      </c>
      <c r="BG27">
        <v>1199.965333333334</v>
      </c>
      <c r="BH27">
        <v>26.54654</v>
      </c>
      <c r="BI27">
        <v>19.537990000000001</v>
      </c>
      <c r="BJ27">
        <v>1122.568666666667</v>
      </c>
      <c r="BK27">
        <v>26.284056666666672</v>
      </c>
      <c r="BL27">
        <v>400.01433333333341</v>
      </c>
      <c r="BM27">
        <v>101.2846</v>
      </c>
      <c r="BN27">
        <v>0.10001172</v>
      </c>
      <c r="BO27">
        <v>26.901146666666669</v>
      </c>
      <c r="BP27">
        <v>26.215540000000001</v>
      </c>
      <c r="BQ27">
        <v>999.9000000000002</v>
      </c>
      <c r="BR27">
        <v>0</v>
      </c>
      <c r="BS27">
        <v>0</v>
      </c>
      <c r="BT27">
        <v>9996.4333333333325</v>
      </c>
      <c r="BU27">
        <v>951.58690000000013</v>
      </c>
      <c r="BV27">
        <v>16.534100000000009</v>
      </c>
      <c r="BW27">
        <v>-68.629830000000013</v>
      </c>
      <c r="BX27">
        <v>1162.1873333333331</v>
      </c>
      <c r="BY27">
        <v>1223.8779999999999</v>
      </c>
      <c r="BZ27">
        <v>7.0085569999999997</v>
      </c>
      <c r="CA27">
        <v>1199.965333333334</v>
      </c>
      <c r="CB27">
        <v>19.537990000000001</v>
      </c>
      <c r="CC27">
        <v>2.6887533333333331</v>
      </c>
      <c r="CD27">
        <v>1.978895333333333</v>
      </c>
      <c r="CE27">
        <v>22.216529999999999</v>
      </c>
      <c r="CF27">
        <v>17.276466666666671</v>
      </c>
      <c r="CG27">
        <v>1751969722</v>
      </c>
      <c r="CH27" t="s">
        <v>337</v>
      </c>
      <c r="CI27">
        <v>1751969722</v>
      </c>
      <c r="CJ27">
        <v>1751969721</v>
      </c>
      <c r="CK27">
        <v>3</v>
      </c>
      <c r="CL27">
        <v>-0.245</v>
      </c>
      <c r="CM27">
        <v>0.03</v>
      </c>
      <c r="CN27">
        <v>2.109</v>
      </c>
      <c r="CO27">
        <v>0.26200000000000001</v>
      </c>
      <c r="CP27">
        <v>450</v>
      </c>
      <c r="CQ27">
        <v>20</v>
      </c>
      <c r="CR27">
        <v>0.03</v>
      </c>
      <c r="CS27">
        <v>0.01</v>
      </c>
      <c r="CT27">
        <v>-68.621555000000001</v>
      </c>
      <c r="CU27">
        <v>8.740637898712901E-2</v>
      </c>
      <c r="CV27">
        <v>9.7922783227398183E-2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7.0103637499999989</v>
      </c>
      <c r="DC27">
        <v>-4.2970243902471623E-2</v>
      </c>
      <c r="DD27">
        <v>4.3847061973979768E-3</v>
      </c>
      <c r="DE27">
        <v>1</v>
      </c>
      <c r="DF27">
        <v>2</v>
      </c>
      <c r="DG27">
        <v>2</v>
      </c>
      <c r="DH27" t="s">
        <v>344</v>
      </c>
      <c r="DI27">
        <v>3.0247199999999999</v>
      </c>
      <c r="DJ27">
        <v>2.6912099999999999</v>
      </c>
      <c r="DK27">
        <v>0.18900700000000001</v>
      </c>
      <c r="DL27">
        <v>0.19808400000000001</v>
      </c>
      <c r="DM27">
        <v>0.128057</v>
      </c>
      <c r="DN27">
        <v>0.104425</v>
      </c>
      <c r="DO27">
        <v>22579.4</v>
      </c>
      <c r="DP27">
        <v>14790.3</v>
      </c>
      <c r="DQ27">
        <v>26419.4</v>
      </c>
      <c r="DR27">
        <v>16764.2</v>
      </c>
      <c r="DS27">
        <v>32762.6</v>
      </c>
      <c r="DT27">
        <v>19622.7</v>
      </c>
      <c r="DU27">
        <v>38487</v>
      </c>
      <c r="DV27">
        <v>22226.6</v>
      </c>
      <c r="DW27">
        <v>1.7737799999999999</v>
      </c>
      <c r="DX27">
        <v>2.1704599999999998</v>
      </c>
      <c r="DY27">
        <v>6.6864499999999993E-2</v>
      </c>
      <c r="DZ27">
        <v>0</v>
      </c>
      <c r="EA27">
        <v>25.1143</v>
      </c>
      <c r="EB27">
        <v>999.9</v>
      </c>
      <c r="EC27">
        <v>57.5</v>
      </c>
      <c r="ED27">
        <v>33.6</v>
      </c>
      <c r="EE27">
        <v>29.6617</v>
      </c>
      <c r="EF27">
        <v>62.4876</v>
      </c>
      <c r="EG27">
        <v>35.392600000000002</v>
      </c>
      <c r="EH27">
        <v>1</v>
      </c>
      <c r="EI27">
        <v>8.1914600000000004E-2</v>
      </c>
      <c r="EJ27">
        <v>0.13259499999999999</v>
      </c>
      <c r="EK27">
        <v>20.326699999999999</v>
      </c>
      <c r="EL27">
        <v>5.2515499999999999</v>
      </c>
      <c r="EM27">
        <v>11.962</v>
      </c>
      <c r="EN27">
        <v>4.9897200000000002</v>
      </c>
      <c r="EO27">
        <v>3.2911199999999998</v>
      </c>
      <c r="EP27">
        <v>9999</v>
      </c>
      <c r="EQ27">
        <v>9999</v>
      </c>
      <c r="ER27">
        <v>9999</v>
      </c>
      <c r="ES27">
        <v>999.9</v>
      </c>
      <c r="ET27">
        <v>4.9727300000000003</v>
      </c>
      <c r="EU27">
        <v>1.8719300000000001</v>
      </c>
      <c r="EV27">
        <v>1.87216</v>
      </c>
      <c r="EW27">
        <v>1.8772500000000001</v>
      </c>
      <c r="EX27">
        <v>1.8713500000000001</v>
      </c>
      <c r="EY27">
        <v>1.8721000000000001</v>
      </c>
      <c r="EZ27">
        <v>1.8717999999999999</v>
      </c>
      <c r="FA27">
        <v>1.86879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8.77</v>
      </c>
      <c r="FP27">
        <v>0.26240000000000002</v>
      </c>
      <c r="FQ27">
        <v>-1.6285688398225131</v>
      </c>
      <c r="FR27">
        <v>7.6898218637449396E-3</v>
      </c>
      <c r="FS27">
        <v>1.5097418776848419E-6</v>
      </c>
      <c r="FT27">
        <v>-9.8458676114205118E-11</v>
      </c>
      <c r="FU27">
        <v>0.26247500000000562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34.1</v>
      </c>
      <c r="GD27">
        <v>34.1</v>
      </c>
      <c r="GE27">
        <v>2.4536099999999998</v>
      </c>
      <c r="GF27">
        <v>2.6281699999999999</v>
      </c>
      <c r="GG27">
        <v>1.79932</v>
      </c>
      <c r="GH27">
        <v>2.3803700000000001</v>
      </c>
      <c r="GI27">
        <v>1.5979000000000001</v>
      </c>
      <c r="GJ27">
        <v>2.48169</v>
      </c>
      <c r="GK27">
        <v>37.027000000000001</v>
      </c>
      <c r="GL27">
        <v>24.157499999999999</v>
      </c>
      <c r="GM27">
        <v>18</v>
      </c>
      <c r="GN27">
        <v>355.84199999999998</v>
      </c>
      <c r="GO27">
        <v>661.71</v>
      </c>
      <c r="GP27">
        <v>25.830100000000002</v>
      </c>
      <c r="GQ27">
        <v>28.154199999999999</v>
      </c>
      <c r="GR27">
        <v>30.0001</v>
      </c>
      <c r="GS27">
        <v>28.094100000000001</v>
      </c>
      <c r="GT27">
        <v>28.122199999999999</v>
      </c>
      <c r="GU27">
        <v>49.052300000000002</v>
      </c>
      <c r="GV27">
        <v>41.759599999999999</v>
      </c>
      <c r="GW27">
        <v>0</v>
      </c>
      <c r="GX27">
        <v>25.83</v>
      </c>
      <c r="GY27">
        <v>1200</v>
      </c>
      <c r="GZ27">
        <v>19.5</v>
      </c>
      <c r="HA27">
        <v>100.392</v>
      </c>
      <c r="HB27">
        <v>69.362300000000005</v>
      </c>
    </row>
    <row r="28" spans="1:210" x14ac:dyDescent="0.3">
      <c r="A28">
        <v>12</v>
      </c>
      <c r="B28">
        <v>1751971947.0999999</v>
      </c>
      <c r="C28">
        <v>1985.599999904633</v>
      </c>
      <c r="D28" t="s">
        <v>364</v>
      </c>
      <c r="E28" t="s">
        <v>365</v>
      </c>
      <c r="F28">
        <v>15</v>
      </c>
      <c r="G28">
        <v>1751971939.349999</v>
      </c>
      <c r="H28">
        <f t="shared" si="0"/>
        <v>3.1389554605337107E-3</v>
      </c>
      <c r="I28">
        <f t="shared" si="1"/>
        <v>3.1389554605337109</v>
      </c>
      <c r="J28">
        <f t="shared" si="2"/>
        <v>26.341992635460414</v>
      </c>
      <c r="K28">
        <f t="shared" si="3"/>
        <v>1529.4706285804011</v>
      </c>
      <c r="L28">
        <f t="shared" si="4"/>
        <v>1413.5816658654983</v>
      </c>
      <c r="M28">
        <f t="shared" si="5"/>
        <v>143.32129824971153</v>
      </c>
      <c r="N28">
        <f t="shared" si="6"/>
        <v>155.07113696804467</v>
      </c>
      <c r="O28">
        <f t="shared" si="7"/>
        <v>0.49229738250788579</v>
      </c>
      <c r="P28">
        <f t="shared" si="8"/>
        <v>2.4151427756900596</v>
      </c>
      <c r="Q28">
        <f t="shared" si="9"/>
        <v>0.41830483509892785</v>
      </c>
      <c r="R28">
        <f t="shared" si="10"/>
        <v>0.26716131498019263</v>
      </c>
      <c r="S28">
        <f t="shared" si="11"/>
        <v>180.80446866666668</v>
      </c>
      <c r="T28">
        <f t="shared" si="12"/>
        <v>27.192435609116128</v>
      </c>
      <c r="U28">
        <f t="shared" si="13"/>
        <v>26.198840000000001</v>
      </c>
      <c r="V28">
        <f t="shared" si="14"/>
        <v>3.4141646085984494</v>
      </c>
      <c r="W28">
        <f t="shared" si="15"/>
        <v>75.240310501389587</v>
      </c>
      <c r="X28">
        <f t="shared" si="16"/>
        <v>2.6761952977197749</v>
      </c>
      <c r="Y28">
        <f t="shared" si="17"/>
        <v>3.5568637076136858</v>
      </c>
      <c r="Z28">
        <f t="shared" si="18"/>
        <v>0.73796931087867446</v>
      </c>
      <c r="AA28">
        <f t="shared" si="19"/>
        <v>-138.42793580953665</v>
      </c>
      <c r="AB28">
        <f t="shared" si="20"/>
        <v>90.467425238537857</v>
      </c>
      <c r="AC28">
        <f t="shared" si="21"/>
        <v>8.0473491479843986</v>
      </c>
      <c r="AD28">
        <f t="shared" si="22"/>
        <v>140.89130724365228</v>
      </c>
      <c r="AE28">
        <f t="shared" si="23"/>
        <v>26.341992635460414</v>
      </c>
      <c r="AF28">
        <f t="shared" si="24"/>
        <v>3.1389554605337109</v>
      </c>
      <c r="AG28">
        <f t="shared" si="25"/>
        <v>26.272266400333468</v>
      </c>
      <c r="AH28">
        <v>1631.7840247322231</v>
      </c>
      <c r="AI28">
        <v>1571.468666666666</v>
      </c>
      <c r="AJ28">
        <v>3.479427010970496E-3</v>
      </c>
      <c r="AK28">
        <v>84.021061901322526</v>
      </c>
      <c r="AL28">
        <f t="shared" si="26"/>
        <v>3.1338827586228324</v>
      </c>
      <c r="AM28">
        <v>19.52103169773584</v>
      </c>
      <c r="AN28">
        <v>26.38579639097744</v>
      </c>
      <c r="AO28">
        <v>-1.6503794778630801E-6</v>
      </c>
      <c r="AP28">
        <v>90.524948977533185</v>
      </c>
      <c r="AQ28">
        <v>6</v>
      </c>
      <c r="AR28">
        <v>2</v>
      </c>
      <c r="AS28">
        <f t="shared" si="27"/>
        <v>1.0001680887139905</v>
      </c>
      <c r="AT28">
        <f t="shared" si="28"/>
        <v>1.6808871399054404E-2</v>
      </c>
      <c r="AU28">
        <f t="shared" si="29"/>
        <v>53552.154601697519</v>
      </c>
      <c r="AV28">
        <f t="shared" si="30"/>
        <v>951.60246666666671</v>
      </c>
      <c r="AW28">
        <f t="shared" si="31"/>
        <v>761.28197333333344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336</v>
      </c>
      <c r="BC28">
        <v>2</v>
      </c>
      <c r="BD28" t="b">
        <v>0</v>
      </c>
      <c r="BE28">
        <v>1751971939.349999</v>
      </c>
      <c r="BF28">
        <v>1529.913333333333</v>
      </c>
      <c r="BG28">
        <v>1599.973666666667</v>
      </c>
      <c r="BH28">
        <v>26.395383333333339</v>
      </c>
      <c r="BI28">
        <v>19.52077666666667</v>
      </c>
      <c r="BJ28">
        <v>1516.748333333333</v>
      </c>
      <c r="BK28">
        <v>26.132913333333331</v>
      </c>
      <c r="BL28">
        <v>400.02530000000007</v>
      </c>
      <c r="BM28">
        <v>101.28870000000001</v>
      </c>
      <c r="BN28">
        <v>0.10006423666666669</v>
      </c>
      <c r="BO28">
        <v>26.893646666666669</v>
      </c>
      <c r="BP28">
        <v>26.198840000000001</v>
      </c>
      <c r="BQ28">
        <v>999.9000000000002</v>
      </c>
      <c r="BR28">
        <v>0</v>
      </c>
      <c r="BS28">
        <v>0</v>
      </c>
      <c r="BT28">
        <v>9995.0499999999993</v>
      </c>
      <c r="BU28">
        <v>951.60246666666671</v>
      </c>
      <c r="BV28">
        <v>16.534100000000009</v>
      </c>
      <c r="BW28">
        <v>-70.062123333333332</v>
      </c>
      <c r="BX28">
        <v>1571.390666666666</v>
      </c>
      <c r="BY28">
        <v>1631.829666666667</v>
      </c>
      <c r="BZ28">
        <v>6.8745943333333326</v>
      </c>
      <c r="CA28">
        <v>1599.973666666667</v>
      </c>
      <c r="CB28">
        <v>19.52077666666667</v>
      </c>
      <c r="CC28">
        <v>2.6735526666666671</v>
      </c>
      <c r="CD28">
        <v>1.9772343333333331</v>
      </c>
      <c r="CE28">
        <v>22.123456666666669</v>
      </c>
      <c r="CF28">
        <v>17.26320333333333</v>
      </c>
      <c r="CG28">
        <v>1751969722</v>
      </c>
      <c r="CH28" t="s">
        <v>337</v>
      </c>
      <c r="CI28">
        <v>1751969722</v>
      </c>
      <c r="CJ28">
        <v>1751969721</v>
      </c>
      <c r="CK28">
        <v>3</v>
      </c>
      <c r="CL28">
        <v>-0.245</v>
      </c>
      <c r="CM28">
        <v>0.03</v>
      </c>
      <c r="CN28">
        <v>2.109</v>
      </c>
      <c r="CO28">
        <v>0.26200000000000001</v>
      </c>
      <c r="CP28">
        <v>450</v>
      </c>
      <c r="CQ28">
        <v>20</v>
      </c>
      <c r="CR28">
        <v>0.03</v>
      </c>
      <c r="CS28">
        <v>0.01</v>
      </c>
      <c r="CT28">
        <v>-70.083537499999991</v>
      </c>
      <c r="CU28">
        <v>0.41066904315201752</v>
      </c>
      <c r="CV28">
        <v>0.15625039469950211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6.8776679999999999</v>
      </c>
      <c r="DC28">
        <v>-6.4115121951221071E-2</v>
      </c>
      <c r="DD28">
        <v>6.2671489530726878E-3</v>
      </c>
      <c r="DE28">
        <v>1</v>
      </c>
      <c r="DF28">
        <v>2</v>
      </c>
      <c r="DG28">
        <v>2</v>
      </c>
      <c r="DH28" t="s">
        <v>344</v>
      </c>
      <c r="DI28">
        <v>3.0245700000000002</v>
      </c>
      <c r="DJ28">
        <v>2.6912600000000002</v>
      </c>
      <c r="DK28">
        <v>0.22695399999999999</v>
      </c>
      <c r="DL28">
        <v>0.235597</v>
      </c>
      <c r="DM28">
        <v>0.12754199999999999</v>
      </c>
      <c r="DN28">
        <v>0.10437100000000001</v>
      </c>
      <c r="DO28">
        <v>21523.5</v>
      </c>
      <c r="DP28">
        <v>14098.9</v>
      </c>
      <c r="DQ28">
        <v>26420.3</v>
      </c>
      <c r="DR28">
        <v>16765</v>
      </c>
      <c r="DS28">
        <v>32784.1</v>
      </c>
      <c r="DT28">
        <v>19625.900000000001</v>
      </c>
      <c r="DU28">
        <v>38488</v>
      </c>
      <c r="DV28">
        <v>22228.3</v>
      </c>
      <c r="DW28">
        <v>1.77342</v>
      </c>
      <c r="DX28">
        <v>2.1717200000000001</v>
      </c>
      <c r="DY28">
        <v>6.8169800000000003E-2</v>
      </c>
      <c r="DZ28">
        <v>0</v>
      </c>
      <c r="EA28">
        <v>25.0807</v>
      </c>
      <c r="EB28">
        <v>999.9</v>
      </c>
      <c r="EC28">
        <v>57.6</v>
      </c>
      <c r="ED28">
        <v>33.700000000000003</v>
      </c>
      <c r="EE28">
        <v>29.878699999999998</v>
      </c>
      <c r="EF28">
        <v>62.927700000000002</v>
      </c>
      <c r="EG28">
        <v>35.316499999999998</v>
      </c>
      <c r="EH28">
        <v>1</v>
      </c>
      <c r="EI28">
        <v>8.0670699999999998E-2</v>
      </c>
      <c r="EJ28">
        <v>0.112542</v>
      </c>
      <c r="EK28">
        <v>20.326799999999999</v>
      </c>
      <c r="EL28">
        <v>5.2516699999999998</v>
      </c>
      <c r="EM28">
        <v>11.962</v>
      </c>
      <c r="EN28">
        <v>4.9896799999999999</v>
      </c>
      <c r="EO28">
        <v>3.2913600000000001</v>
      </c>
      <c r="EP28">
        <v>9999</v>
      </c>
      <c r="EQ28">
        <v>9999</v>
      </c>
      <c r="ER28">
        <v>9999</v>
      </c>
      <c r="ES28">
        <v>999.9</v>
      </c>
      <c r="ET28">
        <v>4.9727499999999996</v>
      </c>
      <c r="EU28">
        <v>1.8719300000000001</v>
      </c>
      <c r="EV28">
        <v>1.87218</v>
      </c>
      <c r="EW28">
        <v>1.8772200000000001</v>
      </c>
      <c r="EX28">
        <v>1.87134</v>
      </c>
      <c r="EY28">
        <v>1.8721000000000001</v>
      </c>
      <c r="EZ28">
        <v>1.8717999999999999</v>
      </c>
      <c r="FA28">
        <v>1.86879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13.17</v>
      </c>
      <c r="FP28">
        <v>0.26240000000000002</v>
      </c>
      <c r="FQ28">
        <v>-1.6285688398225131</v>
      </c>
      <c r="FR28">
        <v>7.6898218637449396E-3</v>
      </c>
      <c r="FS28">
        <v>1.5097418776848419E-6</v>
      </c>
      <c r="FT28">
        <v>-9.8458676114205118E-11</v>
      </c>
      <c r="FU28">
        <v>0.26247500000000562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37.1</v>
      </c>
      <c r="GD28">
        <v>37.1</v>
      </c>
      <c r="GE28">
        <v>3.10303</v>
      </c>
      <c r="GF28">
        <v>2.6196299999999999</v>
      </c>
      <c r="GG28">
        <v>1.79932</v>
      </c>
      <c r="GH28">
        <v>2.3803700000000001</v>
      </c>
      <c r="GI28">
        <v>1.5979000000000001</v>
      </c>
      <c r="GJ28">
        <v>2.51953</v>
      </c>
      <c r="GK28">
        <v>37.050899999999999</v>
      </c>
      <c r="GL28">
        <v>24.157499999999999</v>
      </c>
      <c r="GM28">
        <v>18</v>
      </c>
      <c r="GN28">
        <v>355.6</v>
      </c>
      <c r="GO28">
        <v>662.71</v>
      </c>
      <c r="GP28">
        <v>25.829699999999999</v>
      </c>
      <c r="GQ28">
        <v>28.139800000000001</v>
      </c>
      <c r="GR28">
        <v>30.0001</v>
      </c>
      <c r="GS28">
        <v>28.084700000000002</v>
      </c>
      <c r="GT28">
        <v>28.114999999999998</v>
      </c>
      <c r="GU28">
        <v>62.010100000000001</v>
      </c>
      <c r="GV28">
        <v>42.033700000000003</v>
      </c>
      <c r="GW28">
        <v>0</v>
      </c>
      <c r="GX28">
        <v>25.83</v>
      </c>
      <c r="GY28">
        <v>1600</v>
      </c>
      <c r="GZ28">
        <v>19.5</v>
      </c>
      <c r="HA28">
        <v>100.395</v>
      </c>
      <c r="HB28">
        <v>69.366699999999994</v>
      </c>
    </row>
    <row r="29" spans="1:210" x14ac:dyDescent="0.3">
      <c r="A29">
        <v>13</v>
      </c>
      <c r="B29">
        <v>1751972127.5999999</v>
      </c>
      <c r="C29">
        <v>2166.099999904633</v>
      </c>
      <c r="D29" t="s">
        <v>366</v>
      </c>
      <c r="E29" t="s">
        <v>367</v>
      </c>
      <c r="F29">
        <v>15</v>
      </c>
      <c r="G29">
        <v>1751972119.849999</v>
      </c>
      <c r="H29">
        <f t="shared" si="0"/>
        <v>3.1031727185791185E-3</v>
      </c>
      <c r="I29">
        <f t="shared" si="1"/>
        <v>3.1031727185791187</v>
      </c>
      <c r="J29">
        <f t="shared" si="2"/>
        <v>20.102062601846139</v>
      </c>
      <c r="K29">
        <f t="shared" si="3"/>
        <v>401.62590276881537</v>
      </c>
      <c r="L29">
        <f t="shared" si="4"/>
        <v>320.10886898233696</v>
      </c>
      <c r="M29">
        <f t="shared" si="5"/>
        <v>32.456844272808794</v>
      </c>
      <c r="N29">
        <f t="shared" si="6"/>
        <v>40.722112522327414</v>
      </c>
      <c r="O29">
        <f t="shared" si="7"/>
        <v>0.47786976450715951</v>
      </c>
      <c r="P29">
        <f t="shared" si="8"/>
        <v>2.415808408687214</v>
      </c>
      <c r="Q29">
        <f t="shared" si="9"/>
        <v>0.40784030148881589</v>
      </c>
      <c r="R29">
        <f t="shared" si="10"/>
        <v>0.26033695588467726</v>
      </c>
      <c r="S29">
        <f t="shared" si="11"/>
        <v>180.70283766666668</v>
      </c>
      <c r="T29">
        <f t="shared" si="12"/>
        <v>27.204530014073445</v>
      </c>
      <c r="U29">
        <f t="shared" si="13"/>
        <v>26.212706666666669</v>
      </c>
      <c r="V29">
        <f t="shared" si="14"/>
        <v>3.4169628872180167</v>
      </c>
      <c r="W29">
        <f t="shared" si="15"/>
        <v>75.019990933525989</v>
      </c>
      <c r="X29">
        <f t="shared" si="16"/>
        <v>2.6686354113693027</v>
      </c>
      <c r="Y29">
        <f t="shared" si="17"/>
        <v>3.5572323832109465</v>
      </c>
      <c r="Z29">
        <f t="shared" si="18"/>
        <v>0.74832747584871395</v>
      </c>
      <c r="AA29">
        <f t="shared" si="19"/>
        <v>-136.84991688933911</v>
      </c>
      <c r="AB29">
        <f t="shared" si="20"/>
        <v>88.916007798602308</v>
      </c>
      <c r="AC29">
        <f t="shared" si="21"/>
        <v>7.9077851577716913</v>
      </c>
      <c r="AD29">
        <f t="shared" si="22"/>
        <v>140.67671373370155</v>
      </c>
      <c r="AE29">
        <f t="shared" si="23"/>
        <v>20.102062601846139</v>
      </c>
      <c r="AF29">
        <f t="shared" si="24"/>
        <v>3.1031727185791187</v>
      </c>
      <c r="AG29">
        <f t="shared" si="25"/>
        <v>20.322053995847625</v>
      </c>
      <c r="AH29">
        <v>458.94436825925362</v>
      </c>
      <c r="AI29">
        <v>412.63352121212142</v>
      </c>
      <c r="AJ29">
        <v>-3.8160957920034953E-2</v>
      </c>
      <c r="AK29">
        <v>84.021061901322526</v>
      </c>
      <c r="AL29">
        <f t="shared" si="26"/>
        <v>3.1022424430952911</v>
      </c>
      <c r="AM29">
        <v>19.523701049925041</v>
      </c>
      <c r="AN29">
        <v>26.320224060150359</v>
      </c>
      <c r="AO29">
        <v>-6.9687624227314552E-7</v>
      </c>
      <c r="AP29">
        <v>90.524948977533185</v>
      </c>
      <c r="AQ29">
        <v>7</v>
      </c>
      <c r="AR29">
        <v>2</v>
      </c>
      <c r="AS29">
        <f t="shared" si="27"/>
        <v>1.0001960283091875</v>
      </c>
      <c r="AT29">
        <f t="shared" si="28"/>
        <v>1.9602830918752367E-2</v>
      </c>
      <c r="AU29">
        <f t="shared" si="29"/>
        <v>53574.192119360443</v>
      </c>
      <c r="AV29">
        <f t="shared" si="30"/>
        <v>951.06756666666672</v>
      </c>
      <c r="AW29">
        <f t="shared" si="31"/>
        <v>760.85405333333347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336</v>
      </c>
      <c r="BC29">
        <v>2</v>
      </c>
      <c r="BD29" t="b">
        <v>0</v>
      </c>
      <c r="BE29">
        <v>1751972119.849999</v>
      </c>
      <c r="BF29">
        <v>401.96359999999999</v>
      </c>
      <c r="BG29">
        <v>449.99226666666658</v>
      </c>
      <c r="BH29">
        <v>26.31968333333333</v>
      </c>
      <c r="BI29">
        <v>19.52249333333333</v>
      </c>
      <c r="BJ29">
        <v>400.27850000000001</v>
      </c>
      <c r="BK29">
        <v>26.057206666666669</v>
      </c>
      <c r="BL29">
        <v>399.98896666666661</v>
      </c>
      <c r="BM29">
        <v>101.2930666666666</v>
      </c>
      <c r="BN29">
        <v>0.10007616</v>
      </c>
      <c r="BO29">
        <v>26.895409999999991</v>
      </c>
      <c r="BP29">
        <v>26.212706666666669</v>
      </c>
      <c r="BQ29">
        <v>999.9000000000002</v>
      </c>
      <c r="BR29">
        <v>0</v>
      </c>
      <c r="BS29">
        <v>0</v>
      </c>
      <c r="BT29">
        <v>9998.9500000000007</v>
      </c>
      <c r="BU29">
        <v>951.06756666666672</v>
      </c>
      <c r="BV29">
        <v>16.534100000000009</v>
      </c>
      <c r="BW29">
        <v>-48.028613333333318</v>
      </c>
      <c r="BX29">
        <v>412.82923333333332</v>
      </c>
      <c r="BY29">
        <v>458.95203333333319</v>
      </c>
      <c r="BZ29">
        <v>6.7971903333333321</v>
      </c>
      <c r="CA29">
        <v>449.99226666666658</v>
      </c>
      <c r="CB29">
        <v>19.52249333333333</v>
      </c>
      <c r="CC29">
        <v>2.6659980000000001</v>
      </c>
      <c r="CD29">
        <v>1.977492</v>
      </c>
      <c r="CE29">
        <v>22.07703333333334</v>
      </c>
      <c r="CF29">
        <v>17.265239999999999</v>
      </c>
      <c r="CG29">
        <v>1751969722</v>
      </c>
      <c r="CH29" t="s">
        <v>337</v>
      </c>
      <c r="CI29">
        <v>1751969722</v>
      </c>
      <c r="CJ29">
        <v>1751969721</v>
      </c>
      <c r="CK29">
        <v>3</v>
      </c>
      <c r="CL29">
        <v>-0.245</v>
      </c>
      <c r="CM29">
        <v>0.03</v>
      </c>
      <c r="CN29">
        <v>2.109</v>
      </c>
      <c r="CO29">
        <v>0.26200000000000001</v>
      </c>
      <c r="CP29">
        <v>450</v>
      </c>
      <c r="CQ29">
        <v>20</v>
      </c>
      <c r="CR29">
        <v>0.03</v>
      </c>
      <c r="CS29">
        <v>0.01</v>
      </c>
      <c r="CT29">
        <v>-47.935117499999997</v>
      </c>
      <c r="CU29">
        <v>-1.5162945590993171</v>
      </c>
      <c r="CV29">
        <v>0.1484085036099683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6.796754</v>
      </c>
      <c r="DC29">
        <v>7.6493808630381114E-3</v>
      </c>
      <c r="DD29">
        <v>1.2704975403361031E-3</v>
      </c>
      <c r="DE29">
        <v>1</v>
      </c>
      <c r="DF29">
        <v>1</v>
      </c>
      <c r="DG29">
        <v>2</v>
      </c>
      <c r="DH29" t="s">
        <v>338</v>
      </c>
      <c r="DI29">
        <v>3.02495</v>
      </c>
      <c r="DJ29">
        <v>2.6913</v>
      </c>
      <c r="DK29">
        <v>9.3224899999999999E-2</v>
      </c>
      <c r="DL29">
        <v>0.10234799999999999</v>
      </c>
      <c r="DM29">
        <v>0.127335</v>
      </c>
      <c r="DN29">
        <v>0.104375</v>
      </c>
      <c r="DO29">
        <v>25246.7</v>
      </c>
      <c r="DP29">
        <v>16557.2</v>
      </c>
      <c r="DQ29">
        <v>26419.8</v>
      </c>
      <c r="DR29">
        <v>16765.3</v>
      </c>
      <c r="DS29">
        <v>32789</v>
      </c>
      <c r="DT29">
        <v>19624.099999999999</v>
      </c>
      <c r="DU29">
        <v>38488.5</v>
      </c>
      <c r="DV29">
        <v>22228.6</v>
      </c>
      <c r="DW29">
        <v>1.77372</v>
      </c>
      <c r="DX29">
        <v>2.1686399999999999</v>
      </c>
      <c r="DY29">
        <v>6.90162E-2</v>
      </c>
      <c r="DZ29">
        <v>0</v>
      </c>
      <c r="EA29">
        <v>25.0762</v>
      </c>
      <c r="EB29">
        <v>999.9</v>
      </c>
      <c r="EC29">
        <v>57.5</v>
      </c>
      <c r="ED29">
        <v>33.700000000000003</v>
      </c>
      <c r="EE29">
        <v>29.827200000000001</v>
      </c>
      <c r="EF29">
        <v>62.627699999999997</v>
      </c>
      <c r="EG29">
        <v>35.252400000000002</v>
      </c>
      <c r="EH29">
        <v>1</v>
      </c>
      <c r="EI29">
        <v>7.9776399999999997E-2</v>
      </c>
      <c r="EJ29">
        <v>0.113638</v>
      </c>
      <c r="EK29">
        <v>20.3264</v>
      </c>
      <c r="EL29">
        <v>5.2516699999999998</v>
      </c>
      <c r="EM29">
        <v>11.962</v>
      </c>
      <c r="EN29">
        <v>4.9896399999999996</v>
      </c>
      <c r="EO29">
        <v>3.2911999999999999</v>
      </c>
      <c r="EP29">
        <v>9999</v>
      </c>
      <c r="EQ29">
        <v>9999</v>
      </c>
      <c r="ER29">
        <v>9999</v>
      </c>
      <c r="ES29">
        <v>999.9</v>
      </c>
      <c r="ET29">
        <v>4.9727600000000001</v>
      </c>
      <c r="EU29">
        <v>1.8719399999999999</v>
      </c>
      <c r="EV29">
        <v>1.87218</v>
      </c>
      <c r="EW29">
        <v>1.8772200000000001</v>
      </c>
      <c r="EX29">
        <v>1.8713500000000001</v>
      </c>
      <c r="EY29">
        <v>1.8721000000000001</v>
      </c>
      <c r="EZ29">
        <v>1.8717999999999999</v>
      </c>
      <c r="FA29">
        <v>1.86883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1.6830000000000001</v>
      </c>
      <c r="FP29">
        <v>0.26250000000000001</v>
      </c>
      <c r="FQ29">
        <v>-1.6285688398225131</v>
      </c>
      <c r="FR29">
        <v>7.6898218637449396E-3</v>
      </c>
      <c r="FS29">
        <v>1.5097418776848419E-6</v>
      </c>
      <c r="FT29">
        <v>-9.8458676114205118E-11</v>
      </c>
      <c r="FU29">
        <v>0.26247500000000562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40.1</v>
      </c>
      <c r="GD29">
        <v>40.1</v>
      </c>
      <c r="GE29">
        <v>1.1059600000000001</v>
      </c>
      <c r="GF29">
        <v>2.6159699999999999</v>
      </c>
      <c r="GG29">
        <v>1.7981</v>
      </c>
      <c r="GH29">
        <v>2.3803700000000001</v>
      </c>
      <c r="GI29">
        <v>1.5979000000000001</v>
      </c>
      <c r="GJ29">
        <v>2.5781200000000002</v>
      </c>
      <c r="GK29">
        <v>37.050899999999999</v>
      </c>
      <c r="GL29">
        <v>24.1663</v>
      </c>
      <c r="GM29">
        <v>18</v>
      </c>
      <c r="GN29">
        <v>355.67700000000002</v>
      </c>
      <c r="GO29">
        <v>659.91</v>
      </c>
      <c r="GP29">
        <v>25.829899999999999</v>
      </c>
      <c r="GQ29">
        <v>28.125499999999999</v>
      </c>
      <c r="GR29">
        <v>30</v>
      </c>
      <c r="GS29">
        <v>28.072800000000001</v>
      </c>
      <c r="GT29">
        <v>28.103100000000001</v>
      </c>
      <c r="GU29">
        <v>22.1126</v>
      </c>
      <c r="GV29">
        <v>42.033700000000003</v>
      </c>
      <c r="GW29">
        <v>0</v>
      </c>
      <c r="GX29">
        <v>25.83</v>
      </c>
      <c r="GY29">
        <v>450</v>
      </c>
      <c r="GZ29">
        <v>19.5</v>
      </c>
      <c r="HA29">
        <v>100.395</v>
      </c>
      <c r="HB29">
        <v>69.367800000000003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2025-07-08T10:55:54Z</dcterms:created>
  <dcterms:modified xsi:type="dcterms:W3CDTF">2025-12-01T11:35:00Z</dcterms:modified>
</cp:coreProperties>
</file>