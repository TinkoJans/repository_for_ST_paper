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084B9EE33DAD71C2012C6F5126C4FF1C" xr6:coauthVersionLast="47" xr6:coauthVersionMax="47" xr10:uidLastSave="{F3ACC73C-4898-4611-A6D1-195A17B965A0}"/>
  <bookViews>
    <workbookView xWindow="2964" yWindow="2964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/>
  <c r="AF29" i="1" s="1"/>
  <c r="I29" i="1" s="1"/>
  <c r="H29" i="1" s="1"/>
  <c r="AL29" i="1"/>
  <c r="AG29" i="1"/>
  <c r="Y29" i="1"/>
  <c r="X29" i="1"/>
  <c r="W29" i="1" s="1"/>
  <c r="S29" i="1"/>
  <c r="P29" i="1"/>
  <c r="K29" i="1"/>
  <c r="AY28" i="1"/>
  <c r="AX28" i="1"/>
  <c r="AV28" i="1"/>
  <c r="S28" i="1" s="1"/>
  <c r="AU28" i="1"/>
  <c r="AS28" i="1" s="1"/>
  <c r="AL28" i="1"/>
  <c r="AG28" i="1"/>
  <c r="Y28" i="1"/>
  <c r="X28" i="1"/>
  <c r="W28" i="1"/>
  <c r="P28" i="1"/>
  <c r="AY27" i="1"/>
  <c r="AX27" i="1"/>
  <c r="AV27" i="1"/>
  <c r="S27" i="1" s="1"/>
  <c r="AU27" i="1"/>
  <c r="AS27" i="1" s="1"/>
  <c r="AL27" i="1"/>
  <c r="AG27" i="1"/>
  <c r="Y27" i="1"/>
  <c r="X27" i="1"/>
  <c r="W27" i="1"/>
  <c r="P27" i="1"/>
  <c r="AY26" i="1"/>
  <c r="AX26" i="1"/>
  <c r="AV26" i="1"/>
  <c r="AW26" i="1" s="1"/>
  <c r="AU26" i="1"/>
  <c r="AT26" i="1"/>
  <c r="AS26" i="1"/>
  <c r="AE26" i="1" s="1"/>
  <c r="J26" i="1" s="1"/>
  <c r="AL26" i="1"/>
  <c r="AG26" i="1"/>
  <c r="AF26" i="1"/>
  <c r="I26" i="1" s="1"/>
  <c r="H26" i="1" s="1"/>
  <c r="Y26" i="1"/>
  <c r="X26" i="1"/>
  <c r="W26" i="1" s="1"/>
  <c r="P26" i="1"/>
  <c r="N26" i="1"/>
  <c r="K26" i="1"/>
  <c r="AY25" i="1"/>
  <c r="AX25" i="1"/>
  <c r="AV25" i="1"/>
  <c r="AW25" i="1" s="1"/>
  <c r="AU25" i="1"/>
  <c r="AT25" i="1"/>
  <c r="AS25" i="1"/>
  <c r="AE25" i="1" s="1"/>
  <c r="J25" i="1" s="1"/>
  <c r="AL25" i="1"/>
  <c r="AG25" i="1"/>
  <c r="AF25" i="1"/>
  <c r="I25" i="1" s="1"/>
  <c r="H25" i="1" s="1"/>
  <c r="Y25" i="1"/>
  <c r="X25" i="1"/>
  <c r="W25" i="1" s="1"/>
  <c r="P25" i="1"/>
  <c r="N25" i="1"/>
  <c r="K25" i="1"/>
  <c r="AY24" i="1"/>
  <c r="AX24" i="1"/>
  <c r="AV24" i="1"/>
  <c r="S24" i="1" s="1"/>
  <c r="AU24" i="1"/>
  <c r="AS24" i="1" s="1"/>
  <c r="AL24" i="1"/>
  <c r="AG24" i="1"/>
  <c r="Y24" i="1"/>
  <c r="X24" i="1"/>
  <c r="W24" i="1" s="1"/>
  <c r="P24" i="1"/>
  <c r="AY23" i="1"/>
  <c r="AX23" i="1"/>
  <c r="AV23" i="1"/>
  <c r="S23" i="1" s="1"/>
  <c r="AU23" i="1"/>
  <c r="AS23" i="1" s="1"/>
  <c r="AL23" i="1"/>
  <c r="AG23" i="1"/>
  <c r="Y23" i="1"/>
  <c r="X23" i="1"/>
  <c r="W23" i="1" s="1"/>
  <c r="P23" i="1"/>
  <c r="AY22" i="1"/>
  <c r="AX22" i="1"/>
  <c r="AV22" i="1"/>
  <c r="AW22" i="1" s="1"/>
  <c r="AU22" i="1"/>
  <c r="AT22" i="1"/>
  <c r="AS22" i="1"/>
  <c r="AE22" i="1" s="1"/>
  <c r="J22" i="1" s="1"/>
  <c r="AL22" i="1"/>
  <c r="AG22" i="1"/>
  <c r="AF22" i="1"/>
  <c r="I22" i="1" s="1"/>
  <c r="H22" i="1" s="1"/>
  <c r="Y22" i="1"/>
  <c r="X22" i="1"/>
  <c r="W22" i="1" s="1"/>
  <c r="P22" i="1"/>
  <c r="N22" i="1"/>
  <c r="K22" i="1"/>
  <c r="AY21" i="1"/>
  <c r="AX21" i="1"/>
  <c r="AV21" i="1"/>
  <c r="AW21" i="1" s="1"/>
  <c r="AU21" i="1"/>
  <c r="AT21" i="1"/>
  <c r="AS21" i="1"/>
  <c r="AE21" i="1" s="1"/>
  <c r="J21" i="1" s="1"/>
  <c r="AL21" i="1"/>
  <c r="AG21" i="1"/>
  <c r="AF21" i="1"/>
  <c r="I21" i="1" s="1"/>
  <c r="H21" i="1" s="1"/>
  <c r="Y21" i="1"/>
  <c r="X21" i="1"/>
  <c r="W21" i="1" s="1"/>
  <c r="P21" i="1"/>
  <c r="N21" i="1"/>
  <c r="K21" i="1"/>
  <c r="AY20" i="1"/>
  <c r="AX20" i="1"/>
  <c r="AV20" i="1"/>
  <c r="S20" i="1" s="1"/>
  <c r="AU20" i="1"/>
  <c r="AS20" i="1" s="1"/>
  <c r="AL20" i="1"/>
  <c r="AG20" i="1"/>
  <c r="Y20" i="1"/>
  <c r="X20" i="1"/>
  <c r="W20" i="1" s="1"/>
  <c r="P20" i="1"/>
  <c r="AY19" i="1"/>
  <c r="AX19" i="1"/>
  <c r="AV19" i="1"/>
  <c r="S19" i="1" s="1"/>
  <c r="AU19" i="1"/>
  <c r="AS19" i="1" s="1"/>
  <c r="AL19" i="1"/>
  <c r="AG19" i="1"/>
  <c r="Y19" i="1"/>
  <c r="X19" i="1"/>
  <c r="W19" i="1" s="1"/>
  <c r="P19" i="1"/>
  <c r="AY18" i="1"/>
  <c r="AX18" i="1"/>
  <c r="AV18" i="1"/>
  <c r="AW18" i="1" s="1"/>
  <c r="AU18" i="1"/>
  <c r="AT18" i="1"/>
  <c r="AS18" i="1"/>
  <c r="AE18" i="1" s="1"/>
  <c r="J18" i="1" s="1"/>
  <c r="AL18" i="1"/>
  <c r="AG18" i="1"/>
  <c r="AF18" i="1"/>
  <c r="I18" i="1" s="1"/>
  <c r="H18" i="1" s="1"/>
  <c r="Y18" i="1"/>
  <c r="X18" i="1"/>
  <c r="W18" i="1" s="1"/>
  <c r="P18" i="1"/>
  <c r="N18" i="1"/>
  <c r="K18" i="1"/>
  <c r="AY17" i="1"/>
  <c r="AX17" i="1"/>
  <c r="AV17" i="1"/>
  <c r="AW17" i="1" s="1"/>
  <c r="AU17" i="1"/>
  <c r="AT17" i="1"/>
  <c r="AS17" i="1"/>
  <c r="AE17" i="1" s="1"/>
  <c r="J17" i="1" s="1"/>
  <c r="AL17" i="1"/>
  <c r="AG17" i="1"/>
  <c r="AF17" i="1"/>
  <c r="I17" i="1" s="1"/>
  <c r="H17" i="1" s="1"/>
  <c r="Y17" i="1"/>
  <c r="X17" i="1"/>
  <c r="W17" i="1" s="1"/>
  <c r="P17" i="1"/>
  <c r="N17" i="1"/>
  <c r="K17" i="1"/>
  <c r="AT19" i="1" l="1"/>
  <c r="K19" i="1"/>
  <c r="AF19" i="1"/>
  <c r="I19" i="1" s="1"/>
  <c r="H19" i="1" s="1"/>
  <c r="N19" i="1"/>
  <c r="AE19" i="1"/>
  <c r="J19" i="1" s="1"/>
  <c r="AA22" i="1"/>
  <c r="AA25" i="1"/>
  <c r="K28" i="1"/>
  <c r="AF28" i="1"/>
  <c r="I28" i="1" s="1"/>
  <c r="H28" i="1" s="1"/>
  <c r="AE28" i="1"/>
  <c r="J28" i="1" s="1"/>
  <c r="N28" i="1"/>
  <c r="AT28" i="1"/>
  <c r="T19" i="1"/>
  <c r="U19" i="1" s="1"/>
  <c r="K20" i="1"/>
  <c r="AF20" i="1"/>
  <c r="I20" i="1" s="1"/>
  <c r="H20" i="1" s="1"/>
  <c r="AE20" i="1"/>
  <c r="J20" i="1" s="1"/>
  <c r="N20" i="1"/>
  <c r="AT20" i="1"/>
  <c r="T23" i="1"/>
  <c r="U23" i="1" s="1"/>
  <c r="AA18" i="1"/>
  <c r="AA21" i="1"/>
  <c r="AA29" i="1"/>
  <c r="K24" i="1"/>
  <c r="AF24" i="1"/>
  <c r="I24" i="1" s="1"/>
  <c r="H24" i="1" s="1"/>
  <c r="AE24" i="1"/>
  <c r="J24" i="1" s="1"/>
  <c r="AT24" i="1"/>
  <c r="N24" i="1"/>
  <c r="AA17" i="1"/>
  <c r="AT27" i="1"/>
  <c r="K27" i="1"/>
  <c r="N27" i="1"/>
  <c r="AF27" i="1"/>
  <c r="I27" i="1" s="1"/>
  <c r="H27" i="1" s="1"/>
  <c r="AE27" i="1"/>
  <c r="J27" i="1" s="1"/>
  <c r="AT23" i="1"/>
  <c r="K23" i="1"/>
  <c r="N23" i="1"/>
  <c r="AF23" i="1"/>
  <c r="I23" i="1" s="1"/>
  <c r="H23" i="1" s="1"/>
  <c r="AE23" i="1"/>
  <c r="J23" i="1" s="1"/>
  <c r="AA26" i="1"/>
  <c r="T27" i="1"/>
  <c r="U27" i="1" s="1"/>
  <c r="S17" i="1"/>
  <c r="AW19" i="1"/>
  <c r="S21" i="1"/>
  <c r="AW23" i="1"/>
  <c r="S25" i="1"/>
  <c r="AW27" i="1"/>
  <c r="T29" i="1"/>
  <c r="U29" i="1" s="1"/>
  <c r="AT29" i="1"/>
  <c r="S18" i="1"/>
  <c r="AW20" i="1"/>
  <c r="S22" i="1"/>
  <c r="AW24" i="1"/>
  <c r="S26" i="1"/>
  <c r="AW28" i="1"/>
  <c r="N29" i="1"/>
  <c r="AE29" i="1"/>
  <c r="J29" i="1" s="1"/>
  <c r="V29" i="1" l="1"/>
  <c r="Z29" i="1" s="1"/>
  <c r="AC29" i="1"/>
  <c r="AD29" i="1" s="1"/>
  <c r="AC27" i="1"/>
  <c r="AB27" i="1"/>
  <c r="V27" i="1"/>
  <c r="Z27" i="1" s="1"/>
  <c r="AA28" i="1"/>
  <c r="T28" i="1"/>
  <c r="U28" i="1" s="1"/>
  <c r="AA20" i="1"/>
  <c r="T26" i="1"/>
  <c r="U26" i="1" s="1"/>
  <c r="T25" i="1"/>
  <c r="U25" i="1" s="1"/>
  <c r="AA27" i="1"/>
  <c r="Q27" i="1"/>
  <c r="O27" i="1" s="1"/>
  <c r="R27" i="1" s="1"/>
  <c r="L27" i="1" s="1"/>
  <c r="M27" i="1" s="1"/>
  <c r="AB29" i="1"/>
  <c r="Q29" i="1"/>
  <c r="O29" i="1" s="1"/>
  <c r="R29" i="1" s="1"/>
  <c r="L29" i="1" s="1"/>
  <c r="M29" i="1" s="1"/>
  <c r="AC23" i="1"/>
  <c r="AB23" i="1"/>
  <c r="V23" i="1"/>
  <c r="Z23" i="1" s="1"/>
  <c r="AC19" i="1"/>
  <c r="AD19" i="1" s="1"/>
  <c r="AB19" i="1"/>
  <c r="V19" i="1"/>
  <c r="Z19" i="1" s="1"/>
  <c r="AA19" i="1"/>
  <c r="Q19" i="1"/>
  <c r="O19" i="1" s="1"/>
  <c r="R19" i="1" s="1"/>
  <c r="L19" i="1" s="1"/>
  <c r="M19" i="1" s="1"/>
  <c r="T22" i="1"/>
  <c r="U22" i="1" s="1"/>
  <c r="T21" i="1"/>
  <c r="U21" i="1" s="1"/>
  <c r="AA23" i="1"/>
  <c r="Q23" i="1"/>
  <c r="O23" i="1" s="1"/>
  <c r="R23" i="1" s="1"/>
  <c r="L23" i="1" s="1"/>
  <c r="M23" i="1" s="1"/>
  <c r="AA24" i="1"/>
  <c r="T20" i="1"/>
  <c r="U20" i="1" s="1"/>
  <c r="T18" i="1"/>
  <c r="U18" i="1" s="1"/>
  <c r="T17" i="1"/>
  <c r="U17" i="1" s="1"/>
  <c r="T24" i="1"/>
  <c r="U24" i="1" s="1"/>
  <c r="V28" i="1" l="1"/>
  <c r="Z28" i="1" s="1"/>
  <c r="AB28" i="1"/>
  <c r="AC28" i="1"/>
  <c r="AD28" i="1" s="1"/>
  <c r="V17" i="1"/>
  <c r="Z17" i="1" s="1"/>
  <c r="AC17" i="1"/>
  <c r="AB17" i="1"/>
  <c r="Q17" i="1"/>
  <c r="O17" i="1" s="1"/>
  <c r="R17" i="1" s="1"/>
  <c r="L17" i="1" s="1"/>
  <c r="M17" i="1" s="1"/>
  <c r="Q28" i="1"/>
  <c r="O28" i="1" s="1"/>
  <c r="R28" i="1" s="1"/>
  <c r="L28" i="1" s="1"/>
  <c r="M28" i="1" s="1"/>
  <c r="V18" i="1"/>
  <c r="Z18" i="1" s="1"/>
  <c r="AC18" i="1"/>
  <c r="Q18" i="1"/>
  <c r="O18" i="1" s="1"/>
  <c r="R18" i="1" s="1"/>
  <c r="L18" i="1" s="1"/>
  <c r="M18" i="1" s="1"/>
  <c r="AB18" i="1"/>
  <c r="V25" i="1"/>
  <c r="Z25" i="1" s="1"/>
  <c r="AC25" i="1"/>
  <c r="AB25" i="1"/>
  <c r="Q25" i="1"/>
  <c r="O25" i="1" s="1"/>
  <c r="R25" i="1" s="1"/>
  <c r="L25" i="1" s="1"/>
  <c r="M25" i="1" s="1"/>
  <c r="V22" i="1"/>
  <c r="Z22" i="1" s="1"/>
  <c r="AC22" i="1"/>
  <c r="Q22" i="1"/>
  <c r="O22" i="1" s="1"/>
  <c r="R22" i="1" s="1"/>
  <c r="L22" i="1" s="1"/>
  <c r="M22" i="1" s="1"/>
  <c r="AB22" i="1"/>
  <c r="V26" i="1"/>
  <c r="Z26" i="1" s="1"/>
  <c r="AC26" i="1"/>
  <c r="AB26" i="1"/>
  <c r="Q26" i="1"/>
  <c r="O26" i="1" s="1"/>
  <c r="R26" i="1" s="1"/>
  <c r="L26" i="1" s="1"/>
  <c r="M26" i="1" s="1"/>
  <c r="V20" i="1"/>
  <c r="Z20" i="1" s="1"/>
  <c r="AB20" i="1"/>
  <c r="AC20" i="1"/>
  <c r="AD20" i="1" s="1"/>
  <c r="AD23" i="1"/>
  <c r="AD27" i="1"/>
  <c r="V24" i="1"/>
  <c r="Z24" i="1" s="1"/>
  <c r="AB24" i="1"/>
  <c r="AC24" i="1"/>
  <c r="AD24" i="1" s="1"/>
  <c r="Q24" i="1"/>
  <c r="O24" i="1" s="1"/>
  <c r="R24" i="1" s="1"/>
  <c r="L24" i="1" s="1"/>
  <c r="M24" i="1" s="1"/>
  <c r="Q20" i="1"/>
  <c r="O20" i="1" s="1"/>
  <c r="R20" i="1" s="1"/>
  <c r="L20" i="1" s="1"/>
  <c r="M20" i="1" s="1"/>
  <c r="V21" i="1"/>
  <c r="Z21" i="1" s="1"/>
  <c r="AC21" i="1"/>
  <c r="AD21" i="1" s="1"/>
  <c r="AB21" i="1"/>
  <c r="Q21" i="1"/>
  <c r="O21" i="1" s="1"/>
  <c r="R21" i="1" s="1"/>
  <c r="L21" i="1" s="1"/>
  <c r="M21" i="1" s="1"/>
  <c r="AD26" i="1" l="1"/>
  <c r="AD25" i="1"/>
  <c r="AD17" i="1"/>
  <c r="AD22" i="1"/>
  <c r="AD18" i="1"/>
</calcChain>
</file>

<file path=xl/sharedStrings.xml><?xml version="1.0" encoding="utf-8"?>
<sst xmlns="http://schemas.openxmlformats.org/spreadsheetml/2006/main" count="818" uniqueCount="369">
  <si>
    <t>File opened</t>
  </si>
  <si>
    <t>2025-06-24 12:51:04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</si>
  <si>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</si>
  <si>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</si>
  <si>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</si>
  <si>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</si>
  <si>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</si>
  <si>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</si>
  <si>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</si>
  <si>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</si>
  <si>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</si>
  <si>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</si>
  <si>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</si>
  <si>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</si>
  <si>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</si>
  <si>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</si>
  <si>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</si>
  <si>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</si>
  <si>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</si>
  <si>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</si>
  <si>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</si>
  <si>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</si>
  <si>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</si>
  <si>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</si>
  <si>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</si>
  <si>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</si>
  <si>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</si>
  <si>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</si>
  <si>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12:51:04</t>
  </si>
  <si>
    <t>Stability Definition:	F (FlrLS): Per=20	ΔH2O (Meas2): Slp&lt;0.1 Per=20	ΔCO2 (Meas2): Slp&lt;0.5 Per=20</t>
  </si>
  <si>
    <t>12:52:15</t>
  </si>
  <si>
    <t>Config file loaded: 18 topics from file /home/licor/configs/Tinko/configs aci curve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</si>
  <si>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</si>
  <si>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</si>
  <si>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</si>
  <si>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</si>
  <si>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</si>
  <si>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</si>
  <si>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</si>
  <si>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</si>
  <si>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</si>
  <si>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</si>
  <si>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</si>
  <si>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</si>
  <si>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</si>
  <si>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</si>
  <si>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</si>
  <si>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</si>
  <si>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</si>
  <si>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</si>
  <si>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</si>
  <si>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</si>
  <si>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</si>
  <si>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</si>
  <si>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</si>
  <si>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</si>
  <si>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</si>
  <si>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</si>
  <si>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</si>
  <si>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</si>
  <si>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</si>
  <si>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</si>
  <si>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</si>
  <si>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</si>
  <si>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</si>
  <si>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</si>
  <si>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</si>
  <si>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</si>
  <si>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</si>
  <si>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</si>
  <si>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</si>
  <si>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</si>
  <si>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</si>
  <si>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</si>
  <si>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</si>
  <si>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</si>
  <si>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</si>
  <si>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</si>
  <si>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</si>
  <si>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</si>
  <si>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</si>
  <si>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</si>
  <si>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3.57376 161.959 349.898 592.997 858.478 1065.42 1290.77 1492.25</t>
  </si>
  <si>
    <t>Fs_true</t>
  </si>
  <si>
    <t>0.456171 201.791 388.73 595.403 807.037 1005.36 1200.88 1400.77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</si>
  <si>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</si>
  <si>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</si>
  <si>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</si>
  <si>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</si>
  <si>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</si>
  <si>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</si>
  <si>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</si>
  <si>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</si>
  <si>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</si>
  <si>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</si>
  <si>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</si>
  <si>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</si>
  <si>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</si>
  <si>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</si>
  <si>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</si>
  <si>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</si>
  <si>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</si>
  <si>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</si>
  <si>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</si>
  <si>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</si>
  <si>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</si>
  <si>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</si>
  <si>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</si>
  <si>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</si>
  <si>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</si>
  <si>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</si>
  <si>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</si>
  <si>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</si>
  <si>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</si>
  <si>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</si>
  <si>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</si>
  <si>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</si>
  <si>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</si>
  <si>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</si>
  <si>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</si>
  <si>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</si>
  <si>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</si>
  <si>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</si>
  <si>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</si>
  <si>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</si>
  <si>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</si>
  <si>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</si>
  <si>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</si>
  <si>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</si>
  <si>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</si>
  <si>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</si>
  <si>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</si>
  <si>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</si>
  <si>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</si>
  <si>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</si>
  <si>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</si>
  <si>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</si>
  <si>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</si>
  <si>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</si>
  <si>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</si>
  <si>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</si>
  <si>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</si>
  <si>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</si>
  <si>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</si>
  <si>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</si>
  <si>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</si>
  <si>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</si>
  <si>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</si>
  <si>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</si>
  <si>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</si>
  <si>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</si>
  <si>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</si>
  <si>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</si>
  <si>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</si>
  <si>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</si>
  <si>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</si>
  <si>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</si>
  <si>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</si>
  <si>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</si>
  <si>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</si>
  <si>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</si>
  <si>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</si>
  <si>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</si>
  <si>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</si>
  <si>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</si>
  <si>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</si>
  <si>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</si>
  <si>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</si>
  <si>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</si>
  <si>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</si>
  <si>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</si>
  <si>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</si>
  <si>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</si>
  <si>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</si>
  <si>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</si>
  <si>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</si>
  <si>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</si>
  <si>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</si>
  <si>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</si>
  <si>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</si>
  <si>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</si>
  <si>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</si>
  <si>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</si>
  <si>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</si>
  <si>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</si>
  <si>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</si>
  <si>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</si>
  <si>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</si>
  <si>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</si>
  <si>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</si>
  <si>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</si>
  <si>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</si>
  <si>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</si>
  <si>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</si>
  <si>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</si>
  <si>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</si>
  <si>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</si>
  <si>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</si>
  <si>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</si>
  <si>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</si>
  <si>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</si>
  <si>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</si>
  <si>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</si>
  <si>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</si>
  <si>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</si>
  <si>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</si>
  <si>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</si>
  <si>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</si>
  <si>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</si>
  <si>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</si>
  <si>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</si>
  <si>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</si>
  <si>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</si>
  <si>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</si>
  <si>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</si>
  <si>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</si>
  <si>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</si>
  <si>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</si>
  <si>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</si>
  <si>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</si>
  <si>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</si>
  <si>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</si>
  <si>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</si>
  <si>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</si>
  <si>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</si>
  <si>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</si>
  <si>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</si>
  <si>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</si>
  <si>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</si>
  <si>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</si>
  <si>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</si>
  <si>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</si>
  <si>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</si>
  <si>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</si>
  <si>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</si>
  <si>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</si>
  <si>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</si>
  <si>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</si>
  <si>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</si>
  <si>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</si>
  <si>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</si>
  <si>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</si>
  <si>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</si>
  <si>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</si>
  <si>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</si>
  <si>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</si>
  <si>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</si>
  <si>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</si>
  <si>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</si>
  <si>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</si>
  <si>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</si>
  <si>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</si>
  <si>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</si>
  <si>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</si>
  <si>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</si>
  <si>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</si>
  <si>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</si>
  <si>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</si>
  <si>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</si>
  <si>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</si>
  <si>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</si>
  <si>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</si>
  <si>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</si>
  <si>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</si>
  <si>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</si>
  <si>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</si>
  <si>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</si>
  <si>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</si>
  <si>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</si>
  <si>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</si>
  <si>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</si>
  <si>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</si>
  <si>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</si>
  <si>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</si>
  <si>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</si>
  <si>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</si>
  <si>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</si>
  <si>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</si>
  <si>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</si>
  <si>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</si>
  <si>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</si>
  <si>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</si>
  <si>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</si>
  <si>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</si>
  <si>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</si>
  <si>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</si>
  <si>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</si>
  <si>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</si>
  <si>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</si>
  <si>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</si>
  <si>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</si>
  <si>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</si>
  <si>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</si>
  <si>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</si>
  <si>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</si>
  <si>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</si>
  <si>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</si>
  <si>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</si>
  <si>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</si>
  <si>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</si>
  <si>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</si>
  <si>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</si>
  <si>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</si>
  <si>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</si>
  <si>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</si>
  <si>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</si>
  <si>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</si>
  <si>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</si>
  <si>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</si>
  <si>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</si>
  <si>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</si>
  <si>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</si>
  <si>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</si>
  <si>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</si>
  <si>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</si>
  <si>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</si>
  <si>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</si>
  <si>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</si>
  <si>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</si>
  <si>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</si>
  <si>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</si>
  <si>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</si>
  <si>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</si>
  <si>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</si>
  <si>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</si>
  <si>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</si>
  <si>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</si>
  <si>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</si>
  <si>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</si>
  <si>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</si>
  <si>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</si>
  <si>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</si>
  <si>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</si>
  <si>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</si>
  <si>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</si>
  <si>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</si>
  <si>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20250624 13:31:09</t>
  </si>
  <si>
    <t>13:31:09</t>
  </si>
  <si>
    <t>0: Broadleaf</t>
  </si>
  <si>
    <t>10:27:57</t>
  </si>
  <si>
    <t>2/2</t>
  </si>
  <si>
    <t>11111111</t>
  </si>
  <si>
    <t>oooooooo</t>
  </si>
  <si>
    <t>on</t>
  </si>
  <si>
    <t>20250624 13:34:10</t>
  </si>
  <si>
    <t>13:34:10</t>
  </si>
  <si>
    <t>20250624 13:37:10</t>
  </si>
  <si>
    <t>13:37:10</t>
  </si>
  <si>
    <t>20250624 13:40:11</t>
  </si>
  <si>
    <t>13:40:11</t>
  </si>
  <si>
    <t>20250624 13:43:11</t>
  </si>
  <si>
    <t>13:43:11</t>
  </si>
  <si>
    <t>20250624 13:46:12</t>
  </si>
  <si>
    <t>13:46:12</t>
  </si>
  <si>
    <t>20250624 13:49:12</t>
  </si>
  <si>
    <t>13:49:12</t>
  </si>
  <si>
    <t>20250624 13:52:13</t>
  </si>
  <si>
    <t>13:52:13</t>
  </si>
  <si>
    <t>20250624 13:55:13</t>
  </si>
  <si>
    <t>13:55:13</t>
  </si>
  <si>
    <t>20250624 13:58:14</t>
  </si>
  <si>
    <t>13:58:14</t>
  </si>
  <si>
    <t>1/2</t>
  </si>
  <si>
    <t>20250624 14:01:14</t>
  </si>
  <si>
    <t>14:01:14</t>
  </si>
  <si>
    <t>20250624 14:04:15</t>
  </si>
  <si>
    <t>14:04:15</t>
  </si>
  <si>
    <t>20250624 14:07:15</t>
  </si>
  <si>
    <t>14:07:15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</si>
</sst>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W10" workbookViewId="0">
      <selection activeCell="BJ15" sqref="BJ15"/>
    </sheetView>
  </sheetViews>
  <sheetFormatPr defaultRowHeight="14.4" x14ac:dyDescent="0.3"/>
  <sheetData>
    <row r="2" spans="1:210" x14ac:dyDescent="0.3">
      <c r="A2" t="s">
        <v>32</v>
      </c>
      <c r="B2" t="s">
        <v>33</v>
      </c>
      <c r="C2" t="s">
        <v>34</v>
      </c>
    </row>
    <row r="3" spans="1:210" x14ac:dyDescent="0.3">
      <c r="B3">
        <v>5</v>
      </c>
      <c r="C3">
        <v>21</v>
      </c>
    </row>
    <row r="4" spans="1:210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0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1.5</v>
      </c>
    </row>
    <row r="14" spans="1:210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90</v>
      </c>
      <c r="AW14" t="s">
        <v>90</v>
      </c>
      <c r="AX14" t="s">
        <v>90</v>
      </c>
      <c r="AY14" t="s">
        <v>90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96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</row>
    <row r="15" spans="1:210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132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89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108</v>
      </c>
      <c r="BF15" t="s">
        <v>157</v>
      </c>
      <c r="BG15" t="s">
        <v>158</v>
      </c>
      <c r="BH15" t="s">
        <v>159</v>
      </c>
      <c r="BI15" t="s">
        <v>160</v>
      </c>
      <c r="BJ15" t="s">
        <v>161</v>
      </c>
      <c r="BK15" t="s">
        <v>162</v>
      </c>
      <c r="BL15" t="s">
        <v>163</v>
      </c>
      <c r="BM15" t="s">
        <v>164</v>
      </c>
      <c r="BN15" t="s">
        <v>165</v>
      </c>
      <c r="BO15" t="s">
        <v>166</v>
      </c>
      <c r="BP15" t="s">
        <v>167</v>
      </c>
      <c r="BQ15" t="s">
        <v>168</v>
      </c>
      <c r="BR15" t="s">
        <v>169</v>
      </c>
      <c r="BS15" t="s">
        <v>170</v>
      </c>
      <c r="BT15" t="s">
        <v>171</v>
      </c>
      <c r="BU15" t="s">
        <v>172</v>
      </c>
      <c r="BV15" t="s">
        <v>173</v>
      </c>
      <c r="BW15" t="s">
        <v>174</v>
      </c>
      <c r="BX15" t="s">
        <v>175</v>
      </c>
      <c r="BY15" t="s">
        <v>176</v>
      </c>
      <c r="BZ15" t="s">
        <v>177</v>
      </c>
      <c r="CA15" t="s">
        <v>178</v>
      </c>
      <c r="CB15" t="s">
        <v>179</v>
      </c>
      <c r="CC15" t="s">
        <v>180</v>
      </c>
      <c r="CD15" t="s">
        <v>181</v>
      </c>
      <c r="CE15" t="s">
        <v>182</v>
      </c>
      <c r="CF15" t="s">
        <v>183</v>
      </c>
      <c r="CG15" t="s">
        <v>103</v>
      </c>
      <c r="CH15" t="s">
        <v>106</v>
      </c>
      <c r="CI15" t="s">
        <v>184</v>
      </c>
      <c r="CJ15" t="s">
        <v>185</v>
      </c>
      <c r="CK15" t="s">
        <v>186</v>
      </c>
      <c r="CL15" t="s">
        <v>187</v>
      </c>
      <c r="CM15" t="s">
        <v>188</v>
      </c>
      <c r="CN15" t="s">
        <v>189</v>
      </c>
      <c r="CO15" t="s">
        <v>190</v>
      </c>
      <c r="CP15" t="s">
        <v>191</v>
      </c>
      <c r="CQ15" t="s">
        <v>192</v>
      </c>
      <c r="CR15" t="s">
        <v>193</v>
      </c>
      <c r="CS15" t="s">
        <v>194</v>
      </c>
      <c r="CT15" t="s">
        <v>195</v>
      </c>
      <c r="CU15" t="s">
        <v>196</v>
      </c>
      <c r="CV15" t="s">
        <v>197</v>
      </c>
      <c r="CW15" t="s">
        <v>198</v>
      </c>
      <c r="CX15" t="s">
        <v>199</v>
      </c>
      <c r="CY15" t="s">
        <v>200</v>
      </c>
      <c r="CZ15" t="s">
        <v>201</v>
      </c>
      <c r="DA15" t="s">
        <v>202</v>
      </c>
      <c r="DB15" t="s">
        <v>203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244</v>
      </c>
      <c r="ER15" t="s">
        <v>245</v>
      </c>
      <c r="ES15" t="s">
        <v>246</v>
      </c>
      <c r="ET15" t="s">
        <v>247</v>
      </c>
      <c r="EU15" t="s">
        <v>248</v>
      </c>
      <c r="EV15" t="s">
        <v>249</v>
      </c>
      <c r="EW15" t="s">
        <v>250</v>
      </c>
      <c r="EX15" t="s">
        <v>251</v>
      </c>
      <c r="EY15" t="s">
        <v>252</v>
      </c>
      <c r="EZ15" t="s">
        <v>253</v>
      </c>
      <c r="FA15" t="s">
        <v>254</v>
      </c>
      <c r="FB15" t="s">
        <v>255</v>
      </c>
      <c r="FC15" t="s">
        <v>256</v>
      </c>
      <c r="FD15" t="s">
        <v>257</v>
      </c>
      <c r="FE15" t="s">
        <v>258</v>
      </c>
      <c r="FF15" t="s">
        <v>259</v>
      </c>
      <c r="FG15" t="s">
        <v>260</v>
      </c>
      <c r="FH15" t="s">
        <v>261</v>
      </c>
      <c r="FI15" t="s">
        <v>262</v>
      </c>
      <c r="FJ15" t="s">
        <v>263</v>
      </c>
      <c r="FK15" t="s">
        <v>264</v>
      </c>
      <c r="FL15" t="s">
        <v>265</v>
      </c>
      <c r="FM15" t="s">
        <v>266</v>
      </c>
      <c r="FN15" t="s">
        <v>267</v>
      </c>
      <c r="FO15" t="s">
        <v>268</v>
      </c>
      <c r="FP15" t="s">
        <v>269</v>
      </c>
      <c r="FQ15" t="s">
        <v>270</v>
      </c>
      <c r="FR15" t="s">
        <v>271</v>
      </c>
      <c r="FS15" t="s">
        <v>272</v>
      </c>
      <c r="FT15" t="s">
        <v>273</v>
      </c>
      <c r="FU15" t="s">
        <v>274</v>
      </c>
      <c r="FV15" t="s">
        <v>275</v>
      </c>
      <c r="FW15" t="s">
        <v>276</v>
      </c>
      <c r="FX15" t="s">
        <v>277</v>
      </c>
      <c r="FY15" t="s">
        <v>278</v>
      </c>
      <c r="FZ15" t="s">
        <v>279</v>
      </c>
      <c r="GA15" t="s">
        <v>280</v>
      </c>
      <c r="GB15" t="s">
        <v>281</v>
      </c>
      <c r="GC15" t="s">
        <v>282</v>
      </c>
      <c r="GD15" t="s">
        <v>283</v>
      </c>
      <c r="GE15" t="s">
        <v>284</v>
      </c>
      <c r="GF15" t="s">
        <v>285</v>
      </c>
      <c r="GG15" t="s">
        <v>286</v>
      </c>
      <c r="GH15" t="s">
        <v>287</v>
      </c>
      <c r="GI15" t="s">
        <v>288</v>
      </c>
      <c r="GJ15" t="s">
        <v>289</v>
      </c>
      <c r="GK15" t="s">
        <v>290</v>
      </c>
      <c r="GL15" t="s">
        <v>291</v>
      </c>
      <c r="GM15" t="s">
        <v>292</v>
      </c>
      <c r="GN15" t="s">
        <v>293</v>
      </c>
      <c r="GO15" t="s">
        <v>294</v>
      </c>
      <c r="GP15" t="s">
        <v>295</v>
      </c>
      <c r="GQ15" t="s">
        <v>296</v>
      </c>
      <c r="GR15" t="s">
        <v>297</v>
      </c>
      <c r="GS15" t="s">
        <v>298</v>
      </c>
      <c r="GT15" t="s">
        <v>299</v>
      </c>
      <c r="GU15" t="s">
        <v>300</v>
      </c>
      <c r="GV15" t="s">
        <v>301</v>
      </c>
      <c r="GW15" t="s">
        <v>302</v>
      </c>
      <c r="GX15" t="s">
        <v>303</v>
      </c>
      <c r="GY15" t="s">
        <v>304</v>
      </c>
      <c r="GZ15" t="s">
        <v>305</v>
      </c>
      <c r="HA15" t="s">
        <v>306</v>
      </c>
      <c r="HB15" t="s">
        <v>307</v>
      </c>
    </row>
    <row r="16" spans="1:210" x14ac:dyDescent="0.3">
      <c r="B16" t="s">
        <v>308</v>
      </c>
      <c r="C16" t="s">
        <v>308</v>
      </c>
      <c r="F16" t="s">
        <v>308</v>
      </c>
      <c r="G16" t="s">
        <v>308</v>
      </c>
      <c r="H16" t="s">
        <v>309</v>
      </c>
      <c r="I16" t="s">
        <v>310</v>
      </c>
      <c r="J16" t="s">
        <v>311</v>
      </c>
      <c r="K16" t="s">
        <v>312</v>
      </c>
      <c r="L16" t="s">
        <v>312</v>
      </c>
      <c r="M16" t="s">
        <v>164</v>
      </c>
      <c r="N16" t="s">
        <v>164</v>
      </c>
      <c r="O16" t="s">
        <v>309</v>
      </c>
      <c r="P16" t="s">
        <v>309</v>
      </c>
      <c r="Q16" t="s">
        <v>309</v>
      </c>
      <c r="R16" t="s">
        <v>309</v>
      </c>
      <c r="S16" t="s">
        <v>313</v>
      </c>
      <c r="T16" t="s">
        <v>314</v>
      </c>
      <c r="U16" t="s">
        <v>314</v>
      </c>
      <c r="V16" t="s">
        <v>315</v>
      </c>
      <c r="W16" t="s">
        <v>316</v>
      </c>
      <c r="X16" t="s">
        <v>315</v>
      </c>
      <c r="Y16" t="s">
        <v>315</v>
      </c>
      <c r="Z16" t="s">
        <v>315</v>
      </c>
      <c r="AA16" t="s">
        <v>313</v>
      </c>
      <c r="AB16" t="s">
        <v>313</v>
      </c>
      <c r="AC16" t="s">
        <v>313</v>
      </c>
      <c r="AD16" t="s">
        <v>313</v>
      </c>
      <c r="AE16" t="s">
        <v>311</v>
      </c>
      <c r="AF16" t="s">
        <v>310</v>
      </c>
      <c r="AG16" t="s">
        <v>311</v>
      </c>
      <c r="AH16" t="s">
        <v>312</v>
      </c>
      <c r="AI16" t="s">
        <v>312</v>
      </c>
      <c r="AJ16" t="s">
        <v>317</v>
      </c>
      <c r="AK16" t="s">
        <v>318</v>
      </c>
      <c r="AL16" t="s">
        <v>310</v>
      </c>
      <c r="AM16" t="s">
        <v>319</v>
      </c>
      <c r="AN16" t="s">
        <v>319</v>
      </c>
      <c r="AO16" t="s">
        <v>320</v>
      </c>
      <c r="AP16" t="s">
        <v>318</v>
      </c>
      <c r="AQ16" t="s">
        <v>321</v>
      </c>
      <c r="AR16" t="s">
        <v>316</v>
      </c>
      <c r="AT16" t="s">
        <v>316</v>
      </c>
      <c r="AU16" t="s">
        <v>321</v>
      </c>
      <c r="AV16" t="s">
        <v>311</v>
      </c>
      <c r="AW16" t="s">
        <v>311</v>
      </c>
      <c r="AY16" t="s">
        <v>322</v>
      </c>
      <c r="AZ16" t="s">
        <v>323</v>
      </c>
      <c r="BC16" t="s">
        <v>309</v>
      </c>
      <c r="BE16" t="s">
        <v>308</v>
      </c>
      <c r="BF16" t="s">
        <v>312</v>
      </c>
      <c r="BG16" t="s">
        <v>312</v>
      </c>
      <c r="BH16" t="s">
        <v>319</v>
      </c>
      <c r="BI16" t="s">
        <v>319</v>
      </c>
      <c r="BJ16" t="s">
        <v>312</v>
      </c>
      <c r="BK16" t="s">
        <v>319</v>
      </c>
      <c r="BL16" t="s">
        <v>321</v>
      </c>
      <c r="BM16" t="s">
        <v>315</v>
      </c>
      <c r="BN16" t="s">
        <v>315</v>
      </c>
      <c r="BO16" t="s">
        <v>314</v>
      </c>
      <c r="BP16" t="s">
        <v>314</v>
      </c>
      <c r="BQ16" t="s">
        <v>314</v>
      </c>
      <c r="BR16" t="s">
        <v>314</v>
      </c>
      <c r="BS16" t="s">
        <v>314</v>
      </c>
      <c r="BT16" t="s">
        <v>324</v>
      </c>
      <c r="BU16" t="s">
        <v>311</v>
      </c>
      <c r="BV16" t="s">
        <v>311</v>
      </c>
      <c r="BW16" t="s">
        <v>312</v>
      </c>
      <c r="BX16" t="s">
        <v>312</v>
      </c>
      <c r="BY16" t="s">
        <v>312</v>
      </c>
      <c r="BZ16" t="s">
        <v>319</v>
      </c>
      <c r="CA16" t="s">
        <v>312</v>
      </c>
      <c r="CB16" t="s">
        <v>319</v>
      </c>
      <c r="CC16" t="s">
        <v>315</v>
      </c>
      <c r="CD16" t="s">
        <v>315</v>
      </c>
      <c r="CE16" t="s">
        <v>314</v>
      </c>
      <c r="CF16" t="s">
        <v>314</v>
      </c>
      <c r="CG16" t="s">
        <v>325</v>
      </c>
      <c r="CI16" t="s">
        <v>308</v>
      </c>
      <c r="CJ16" t="s">
        <v>308</v>
      </c>
      <c r="CL16" t="s">
        <v>326</v>
      </c>
      <c r="CM16" t="s">
        <v>327</v>
      </c>
      <c r="CN16" t="s">
        <v>326</v>
      </c>
      <c r="CO16" t="s">
        <v>327</v>
      </c>
      <c r="CP16" t="s">
        <v>326</v>
      </c>
      <c r="CQ16" t="s">
        <v>327</v>
      </c>
      <c r="CR16" t="s">
        <v>316</v>
      </c>
      <c r="CS16" t="s">
        <v>316</v>
      </c>
      <c r="CT16" t="s">
        <v>312</v>
      </c>
      <c r="CU16" t="s">
        <v>328</v>
      </c>
      <c r="CV16" t="s">
        <v>312</v>
      </c>
      <c r="CY16" t="s">
        <v>329</v>
      </c>
      <c r="DB16" t="s">
        <v>319</v>
      </c>
      <c r="DC16" t="s">
        <v>330</v>
      </c>
      <c r="DD16" t="s">
        <v>319</v>
      </c>
      <c r="DI16" t="s">
        <v>331</v>
      </c>
      <c r="DJ16" t="s">
        <v>331</v>
      </c>
      <c r="DW16" t="s">
        <v>331</v>
      </c>
      <c r="DX16" t="s">
        <v>331</v>
      </c>
      <c r="DY16" t="s">
        <v>332</v>
      </c>
      <c r="DZ16" t="s">
        <v>332</v>
      </c>
      <c r="EA16" t="s">
        <v>314</v>
      </c>
      <c r="EB16" t="s">
        <v>314</v>
      </c>
      <c r="EC16" t="s">
        <v>316</v>
      </c>
      <c r="ED16" t="s">
        <v>314</v>
      </c>
      <c r="EE16" t="s">
        <v>319</v>
      </c>
      <c r="EF16" t="s">
        <v>316</v>
      </c>
      <c r="EG16" t="s">
        <v>316</v>
      </c>
      <c r="EI16" t="s">
        <v>331</v>
      </c>
      <c r="EJ16" t="s">
        <v>331</v>
      </c>
      <c r="EK16" t="s">
        <v>331</v>
      </c>
      <c r="EL16" t="s">
        <v>331</v>
      </c>
      <c r="EM16" t="s">
        <v>331</v>
      </c>
      <c r="EN16" t="s">
        <v>331</v>
      </c>
      <c r="EO16" t="s">
        <v>331</v>
      </c>
      <c r="EP16" t="s">
        <v>333</v>
      </c>
      <c r="EQ16" t="s">
        <v>333</v>
      </c>
      <c r="ER16" t="s">
        <v>333</v>
      </c>
      <c r="ES16" t="s">
        <v>334</v>
      </c>
      <c r="ET16" t="s">
        <v>331</v>
      </c>
      <c r="EU16" t="s">
        <v>331</v>
      </c>
      <c r="EV16" t="s">
        <v>331</v>
      </c>
      <c r="EW16" t="s">
        <v>331</v>
      </c>
      <c r="EX16" t="s">
        <v>331</v>
      </c>
      <c r="EY16" t="s">
        <v>331</v>
      </c>
      <c r="EZ16" t="s">
        <v>331</v>
      </c>
      <c r="FA16" t="s">
        <v>331</v>
      </c>
      <c r="FB16" t="s">
        <v>331</v>
      </c>
      <c r="FC16" t="s">
        <v>331</v>
      </c>
      <c r="FD16" t="s">
        <v>331</v>
      </c>
      <c r="FE16" t="s">
        <v>331</v>
      </c>
      <c r="FL16" t="s">
        <v>331</v>
      </c>
      <c r="FM16" t="s">
        <v>316</v>
      </c>
      <c r="FN16" t="s">
        <v>316</v>
      </c>
      <c r="FO16" t="s">
        <v>326</v>
      </c>
      <c r="FP16" t="s">
        <v>327</v>
      </c>
      <c r="FQ16" t="s">
        <v>326</v>
      </c>
      <c r="FU16" t="s">
        <v>327</v>
      </c>
      <c r="FY16" t="s">
        <v>312</v>
      </c>
      <c r="FZ16" t="s">
        <v>312</v>
      </c>
      <c r="GA16" t="s">
        <v>319</v>
      </c>
      <c r="GB16" t="s">
        <v>319</v>
      </c>
      <c r="GC16" t="s">
        <v>335</v>
      </c>
      <c r="GD16" t="s">
        <v>335</v>
      </c>
      <c r="GE16" t="s">
        <v>331</v>
      </c>
      <c r="GF16" t="s">
        <v>331</v>
      </c>
      <c r="GG16" t="s">
        <v>331</v>
      </c>
      <c r="GH16" t="s">
        <v>331</v>
      </c>
      <c r="GI16" t="s">
        <v>331</v>
      </c>
      <c r="GJ16" t="s">
        <v>331</v>
      </c>
      <c r="GK16" t="s">
        <v>314</v>
      </c>
      <c r="GL16" t="s">
        <v>331</v>
      </c>
      <c r="GN16" t="s">
        <v>321</v>
      </c>
      <c r="GO16" t="s">
        <v>321</v>
      </c>
      <c r="GP16" t="s">
        <v>314</v>
      </c>
      <c r="GQ16" t="s">
        <v>314</v>
      </c>
      <c r="GR16" t="s">
        <v>314</v>
      </c>
      <c r="GS16" t="s">
        <v>314</v>
      </c>
      <c r="GT16" t="s">
        <v>314</v>
      </c>
      <c r="GU16" t="s">
        <v>316</v>
      </c>
      <c r="GV16" t="s">
        <v>316</v>
      </c>
      <c r="GW16" t="s">
        <v>316</v>
      </c>
      <c r="GX16" t="s">
        <v>314</v>
      </c>
      <c r="GY16" t="s">
        <v>312</v>
      </c>
      <c r="GZ16" t="s">
        <v>319</v>
      </c>
      <c r="HA16" t="s">
        <v>316</v>
      </c>
      <c r="HB16" t="s">
        <v>316</v>
      </c>
    </row>
    <row r="17" spans="1:210" x14ac:dyDescent="0.3">
      <c r="A17">
        <v>1</v>
      </c>
      <c r="B17">
        <v>1750764669.5</v>
      </c>
      <c r="C17">
        <v>0</v>
      </c>
      <c r="D17" t="s">
        <v>336</v>
      </c>
      <c r="E17" t="s">
        <v>337</v>
      </c>
      <c r="F17">
        <v>15</v>
      </c>
      <c r="G17">
        <v>1750764661.5</v>
      </c>
      <c r="H17">
        <f t="shared" ref="H17:H29" si="0">(I17)/1000</f>
        <v>2.3341656340258661E-3</v>
      </c>
      <c r="I17">
        <f t="shared" ref="I17:I29" si="1">IF(BD17, AL17, AF17)</f>
        <v>2.3341656340258661</v>
      </c>
      <c r="J17">
        <f t="shared" ref="J17:J29" si="2">IF(BD17, AG17, AE17)</f>
        <v>19.182964125399785</v>
      </c>
      <c r="K17">
        <f t="shared" ref="K17:K29" si="3">BF17 - IF(AS17&gt;1, J17*AZ17*100/(AU17), 0)</f>
        <v>404.7335161290323</v>
      </c>
      <c r="L17">
        <f t="shared" ref="L17:L29" si="4">((R17-H17/2)*K17-J17)/(R17+H17/2)</f>
        <v>289.83538591701694</v>
      </c>
      <c r="M17">
        <f t="shared" ref="M17:M29" si="5">L17*(BM17+BN17)/1000</f>
        <v>29.352690213394595</v>
      </c>
      <c r="N17">
        <f t="shared" ref="N17:N29" si="6">(BF17 - IF(AS17&gt;1, J17*AZ17*100/(AU17), 0))*(BM17+BN17)/1000</f>
        <v>40.988844341162711</v>
      </c>
      <c r="O17">
        <f t="shared" ref="O17:O29" si="7">2/((1/Q17-1/P17)+SIGN(Q17)*SQRT((1/Q17-1/P17)*(1/Q17-1/P17) + 4*BA17/((BA17+1)*(BA17+1))*(2*1/Q17*1/P17-1/P17*1/P17)))</f>
        <v>0.29424112881398273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2.4141926812324477</v>
      </c>
      <c r="Q17">
        <f t="shared" ref="Q17:Q29" si="9">H17*(1000-(1000*0.61365*EXP(17.502*U17/(240.97+U17))/(BM17+BN17)+BH17)/2)/(1000*0.61365*EXP(17.502*U17/(240.97+U17))/(BM17+BN17)-BH17)</f>
        <v>0.2759377454725172</v>
      </c>
      <c r="R17">
        <f t="shared" ref="R17:R29" si="10">1/((BA17+1)/(O17/1.6)+1/(P17/1.37)) + BA17/((BA17+1)/(O17/1.6) + BA17/(P17/1.37))</f>
        <v>0.17401139182435948</v>
      </c>
      <c r="S17">
        <f t="shared" ref="S17:S29" si="11">(AV17*AY17)</f>
        <v>171.98166258064521</v>
      </c>
      <c r="T17">
        <f t="shared" ref="T17:T29" si="12">(BO17+(S17+2*0.95*0.0000000567*(((BO17+$B$7)+273)^4-(BO17+273)^4)-44100*H17)/(1.84*29.3*P17+8*0.95*0.0000000567*(BO17+273)^3))</f>
        <v>26.879743895801575</v>
      </c>
      <c r="U17">
        <f t="shared" ref="U17:U29" si="13">($C$7*BP17+$D$7*BQ17+$E$7*T17)</f>
        <v>25.758958064516129</v>
      </c>
      <c r="V17">
        <f t="shared" ref="V17:V29" si="14">0.61365*EXP(17.502*U17/(240.97+U17))</f>
        <v>3.3264292912475324</v>
      </c>
      <c r="W17">
        <f t="shared" ref="W17:W29" si="15">(X17/Y17*100)</f>
        <v>72.22868980869994</v>
      </c>
      <c r="X17">
        <f t="shared" ref="X17:X29" si="16">BH17*(BM17+BN17)/1000</f>
        <v>2.4943715427048976</v>
      </c>
      <c r="Y17">
        <f t="shared" ref="Y17:Y29" si="17">0.61365*EXP(17.502*BO17/(240.97+BO17))</f>
        <v>3.4534359536512742</v>
      </c>
      <c r="Z17">
        <f t="shared" ref="Z17:Z29" si="18">(V17-BH17*(BM17+BN17)/1000)</f>
        <v>0.83205774854263481</v>
      </c>
      <c r="AA17">
        <f t="shared" ref="AA17:AA29" si="19">(-H17*44100)</f>
        <v>-102.9367044605407</v>
      </c>
      <c r="AB17">
        <f t="shared" ref="AB17:AB29" si="20">2*29.3*P17*0.92*(BO17-U17)</f>
        <v>82.463867008389641</v>
      </c>
      <c r="AC17">
        <f t="shared" ref="AC17:AC29" si="21">2*0.95*0.0000000567*(((BO17+$B$7)+273)^4-(U17+273)^4)</f>
        <v>7.3037697062276683</v>
      </c>
      <c r="AD17">
        <f t="shared" ref="AD17:AD29" si="22">S17+AC17+AA17+AB17</f>
        <v>158.81259483472181</v>
      </c>
      <c r="AE17">
        <f t="shared" ref="AE17:AE29" si="23">BL17*AS17*(BG17-BF17*(1000-AS17*BI17)/(1000-AS17*BH17))/(100*AZ17)</f>
        <v>19.182964125399785</v>
      </c>
      <c r="AF17">
        <f t="shared" ref="AF17:AF29" si="24">1000*BL17*AS17*(BH17-BI17)/(100*AZ17*(1000-AS17*BH17))</f>
        <v>2.3341656340258661</v>
      </c>
      <c r="AG17">
        <f t="shared" ref="AG17:AG29" si="25">(AH17 - AI17 - BM17*1000/(8.314*(BO17+273.15)) * AK17/BL17 * AJ17) * BL17/(100*AZ17) * (1000 - BI17)/1000</f>
        <v>19.179451074251695</v>
      </c>
      <c r="AH17">
        <v>458.95462733717528</v>
      </c>
      <c r="AI17">
        <v>414.94419999999991</v>
      </c>
      <c r="AJ17">
        <v>-1.8853289992216179E-4</v>
      </c>
      <c r="AK17">
        <v>83.968266766758106</v>
      </c>
      <c r="AL17">
        <f t="shared" ref="AL17:AL29" si="26">(AN17 - AM17 + BM17*1000/(8.314*(BO17+273.15)) * AP17/BL17 * AO17) * BL17/(100*AZ17) * 1000/(1000 - AN17)</f>
        <v>2.3350875264208466</v>
      </c>
      <c r="AM17">
        <v>19.50708277317478</v>
      </c>
      <c r="AN17">
        <v>24.631568421052631</v>
      </c>
      <c r="AO17">
        <v>1.436113517399921E-6</v>
      </c>
      <c r="AP17">
        <v>90.538231227470618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53607.484549382789</v>
      </c>
      <c r="AV17">
        <f t="shared" ref="AV17:AV29" si="30">$B$11*BU17+$C$11*BV17</f>
        <v>905.16664516129049</v>
      </c>
      <c r="AW17">
        <f t="shared" ref="AW17:AW29" si="31">AV17*AX17</f>
        <v>724.13331612903244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1.88</v>
      </c>
      <c r="BB17" t="s">
        <v>338</v>
      </c>
      <c r="BC17">
        <v>2</v>
      </c>
      <c r="BD17" t="b">
        <v>0</v>
      </c>
      <c r="BE17">
        <v>1750764661.5</v>
      </c>
      <c r="BF17">
        <v>404.7335161290323</v>
      </c>
      <c r="BG17">
        <v>450.02048387096772</v>
      </c>
      <c r="BH17">
        <v>24.630012903225811</v>
      </c>
      <c r="BI17">
        <v>19.50752903225807</v>
      </c>
      <c r="BJ17">
        <v>402.11590322580639</v>
      </c>
      <c r="BK17">
        <v>24.409993548387099</v>
      </c>
      <c r="BL17">
        <v>400.00274193548393</v>
      </c>
      <c r="BM17">
        <v>101.1736774193548</v>
      </c>
      <c r="BN17">
        <v>9.9982180645161303E-2</v>
      </c>
      <c r="BO17">
        <v>26.392545161290329</v>
      </c>
      <c r="BP17">
        <v>25.758958064516129</v>
      </c>
      <c r="BQ17">
        <v>999.90000000000032</v>
      </c>
      <c r="BR17">
        <v>0</v>
      </c>
      <c r="BS17">
        <v>0</v>
      </c>
      <c r="BT17">
        <v>10000.22580645161</v>
      </c>
      <c r="BU17">
        <v>905.16664516129049</v>
      </c>
      <c r="BV17">
        <v>18.58516451612903</v>
      </c>
      <c r="BW17">
        <v>-45.287067741935488</v>
      </c>
      <c r="BX17">
        <v>414.9537096774194</v>
      </c>
      <c r="BY17">
        <v>458.97406451612898</v>
      </c>
      <c r="BZ17">
        <v>5.1224883870967748</v>
      </c>
      <c r="CA17">
        <v>450.02048387096772</v>
      </c>
      <c r="CB17">
        <v>19.50752903225807</v>
      </c>
      <c r="CC17">
        <v>2.4919099999999998</v>
      </c>
      <c r="CD17">
        <v>1.9736487096774189</v>
      </c>
      <c r="CE17">
        <v>20.973754838709681</v>
      </c>
      <c r="CF17">
        <v>17.234506451612901</v>
      </c>
      <c r="CG17">
        <v>1750753677</v>
      </c>
      <c r="CH17" t="s">
        <v>339</v>
      </c>
      <c r="CI17">
        <v>1750753677</v>
      </c>
      <c r="CJ17">
        <v>1750753673.5</v>
      </c>
      <c r="CK17">
        <v>5</v>
      </c>
      <c r="CL17">
        <v>2.1520000000000001</v>
      </c>
      <c r="CM17">
        <v>-0.52400000000000002</v>
      </c>
      <c r="CN17">
        <v>3.0179999999999998</v>
      </c>
      <c r="CO17">
        <v>0.22</v>
      </c>
      <c r="CP17">
        <v>450</v>
      </c>
      <c r="CQ17">
        <v>19</v>
      </c>
      <c r="CR17">
        <v>0.26</v>
      </c>
      <c r="CS17">
        <v>0.17</v>
      </c>
      <c r="CT17">
        <v>-45.278836585365852</v>
      </c>
      <c r="CU17">
        <v>-5.9040418118546177E-2</v>
      </c>
      <c r="CV17">
        <v>5.1517805380927463E-2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5.1225541463414634</v>
      </c>
      <c r="DC17">
        <v>2.4472891986060612E-2</v>
      </c>
      <c r="DD17">
        <v>4.4674644828373621E-3</v>
      </c>
      <c r="DE17">
        <v>1</v>
      </c>
      <c r="DF17">
        <v>2</v>
      </c>
      <c r="DG17">
        <v>2</v>
      </c>
      <c r="DH17" t="s">
        <v>340</v>
      </c>
      <c r="DI17">
        <v>3.0248400000000002</v>
      </c>
      <c r="DJ17">
        <v>2.6913299999999998</v>
      </c>
      <c r="DK17">
        <v>9.4029399999999999E-2</v>
      </c>
      <c r="DL17">
        <v>0.10284500000000001</v>
      </c>
      <c r="DM17">
        <v>0.122225</v>
      </c>
      <c r="DN17">
        <v>0.10475</v>
      </c>
      <c r="DO17">
        <v>25332.5</v>
      </c>
      <c r="DP17">
        <v>16819.099999999999</v>
      </c>
      <c r="DQ17">
        <v>26521.599999999999</v>
      </c>
      <c r="DR17">
        <v>17034.5</v>
      </c>
      <c r="DS17">
        <v>33092.1</v>
      </c>
      <c r="DT17">
        <v>19914.5</v>
      </c>
      <c r="DU17">
        <v>38634.1</v>
      </c>
      <c r="DV17">
        <v>22573.8</v>
      </c>
      <c r="DW17">
        <v>1.82406</v>
      </c>
      <c r="DX17">
        <v>2.2261199999999999</v>
      </c>
      <c r="DY17">
        <v>8.2540500000000003E-2</v>
      </c>
      <c r="DZ17">
        <v>0</v>
      </c>
      <c r="EA17">
        <v>24.407800000000002</v>
      </c>
      <c r="EB17">
        <v>999.9</v>
      </c>
      <c r="EC17">
        <v>60.7</v>
      </c>
      <c r="ED17">
        <v>30.8</v>
      </c>
      <c r="EE17">
        <v>26.759599999999999</v>
      </c>
      <c r="EF17">
        <v>62.32</v>
      </c>
      <c r="EG17">
        <v>34.927900000000001</v>
      </c>
      <c r="EH17">
        <v>1</v>
      </c>
      <c r="EI17">
        <v>-0.105183</v>
      </c>
      <c r="EJ17">
        <v>-0.64995899999999995</v>
      </c>
      <c r="EK17">
        <v>20.328900000000001</v>
      </c>
      <c r="EL17">
        <v>5.2532300000000003</v>
      </c>
      <c r="EM17">
        <v>11.962</v>
      </c>
      <c r="EN17">
        <v>4.9897200000000002</v>
      </c>
      <c r="EO17">
        <v>3.2919</v>
      </c>
      <c r="EP17">
        <v>9999</v>
      </c>
      <c r="EQ17">
        <v>9999</v>
      </c>
      <c r="ER17">
        <v>9999</v>
      </c>
      <c r="ES17">
        <v>999.9</v>
      </c>
      <c r="ET17">
        <v>4.9726699999999999</v>
      </c>
      <c r="EU17">
        <v>1.8719399999999999</v>
      </c>
      <c r="EV17">
        <v>1.87219</v>
      </c>
      <c r="EW17">
        <v>1.8772</v>
      </c>
      <c r="EX17">
        <v>1.8713500000000001</v>
      </c>
      <c r="EY17">
        <v>1.8721000000000001</v>
      </c>
      <c r="EZ17">
        <v>1.8717999999999999</v>
      </c>
      <c r="FA17">
        <v>1.8686400000000001</v>
      </c>
      <c r="FB17">
        <v>0</v>
      </c>
      <c r="FC17">
        <v>0</v>
      </c>
      <c r="FD17">
        <v>0</v>
      </c>
      <c r="FE17">
        <v>0</v>
      </c>
      <c r="FF17" t="s">
        <v>341</v>
      </c>
      <c r="FG17" t="s">
        <v>342</v>
      </c>
      <c r="FH17" t="s">
        <v>343</v>
      </c>
      <c r="FI17" t="s">
        <v>343</v>
      </c>
      <c r="FJ17" t="s">
        <v>343</v>
      </c>
      <c r="FK17" t="s">
        <v>343</v>
      </c>
      <c r="FL17">
        <v>0</v>
      </c>
      <c r="FM17">
        <v>100</v>
      </c>
      <c r="FN17">
        <v>100</v>
      </c>
      <c r="FO17">
        <v>2.6179999999999999</v>
      </c>
      <c r="FP17">
        <v>0.22009999999999999</v>
      </c>
      <c r="FQ17">
        <v>-0.71234261683338174</v>
      </c>
      <c r="FR17">
        <v>7.6898218637449396E-3</v>
      </c>
      <c r="FS17">
        <v>1.5097418776848419E-6</v>
      </c>
      <c r="FT17">
        <v>-9.8458676114205118E-11</v>
      </c>
      <c r="FU17">
        <v>0.22001999999999461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183.2</v>
      </c>
      <c r="GD17">
        <v>183.3</v>
      </c>
      <c r="GE17">
        <v>1.1035200000000001</v>
      </c>
      <c r="GF17">
        <v>2.65503</v>
      </c>
      <c r="GG17">
        <v>1.7981</v>
      </c>
      <c r="GH17">
        <v>2.3791500000000001</v>
      </c>
      <c r="GI17">
        <v>1.5979000000000001</v>
      </c>
      <c r="GJ17">
        <v>2.4365199999999998</v>
      </c>
      <c r="GK17">
        <v>34.054499999999997</v>
      </c>
      <c r="GL17">
        <v>24.157499999999999</v>
      </c>
      <c r="GM17">
        <v>18</v>
      </c>
      <c r="GN17">
        <v>365.41699999999997</v>
      </c>
      <c r="GO17">
        <v>679.02499999999998</v>
      </c>
      <c r="GP17">
        <v>25.829599999999999</v>
      </c>
      <c r="GQ17">
        <v>25.775099999999998</v>
      </c>
      <c r="GR17">
        <v>30.0001</v>
      </c>
      <c r="GS17">
        <v>25.6797</v>
      </c>
      <c r="GT17">
        <v>25.691299999999998</v>
      </c>
      <c r="GU17">
        <v>22.034500000000001</v>
      </c>
      <c r="GV17">
        <v>33.066699999999997</v>
      </c>
      <c r="GW17">
        <v>0</v>
      </c>
      <c r="GX17">
        <v>25.83</v>
      </c>
      <c r="GY17">
        <v>450</v>
      </c>
      <c r="GZ17">
        <v>19.5</v>
      </c>
      <c r="HA17">
        <v>100.777</v>
      </c>
      <c r="HB17">
        <v>70.460899999999995</v>
      </c>
    </row>
    <row r="18" spans="1:210" x14ac:dyDescent="0.3">
      <c r="A18">
        <v>2</v>
      </c>
      <c r="B18">
        <v>1750764850</v>
      </c>
      <c r="C18">
        <v>180.5</v>
      </c>
      <c r="D18" t="s">
        <v>344</v>
      </c>
      <c r="E18" t="s">
        <v>345</v>
      </c>
      <c r="F18">
        <v>15</v>
      </c>
      <c r="G18">
        <v>1750764842.25</v>
      </c>
      <c r="H18">
        <f t="shared" si="0"/>
        <v>2.3638811908353952E-3</v>
      </c>
      <c r="I18">
        <f t="shared" si="1"/>
        <v>2.3638811908353952</v>
      </c>
      <c r="J18">
        <f t="shared" si="2"/>
        <v>12.242148689008383</v>
      </c>
      <c r="K18">
        <f t="shared" si="3"/>
        <v>271.01283333333328</v>
      </c>
      <c r="L18">
        <f t="shared" si="4"/>
        <v>198.63339614261008</v>
      </c>
      <c r="M18">
        <f t="shared" si="5"/>
        <v>20.116470627129139</v>
      </c>
      <c r="N18">
        <f t="shared" si="6"/>
        <v>27.446652009166044</v>
      </c>
      <c r="O18">
        <f t="shared" si="7"/>
        <v>0.29924064713030635</v>
      </c>
      <c r="P18">
        <f t="shared" si="8"/>
        <v>2.4143420102625295</v>
      </c>
      <c r="Q18">
        <f t="shared" si="9"/>
        <v>0.28033234402538215</v>
      </c>
      <c r="R18">
        <f t="shared" si="10"/>
        <v>0.1768077112756421</v>
      </c>
      <c r="S18">
        <f t="shared" si="11"/>
        <v>171.96721399999998</v>
      </c>
      <c r="T18">
        <f t="shared" si="12"/>
        <v>26.861999331530907</v>
      </c>
      <c r="U18">
        <f t="shared" si="13"/>
        <v>25.752716666666679</v>
      </c>
      <c r="V18">
        <f t="shared" si="14"/>
        <v>3.3251987383033419</v>
      </c>
      <c r="W18">
        <f t="shared" si="15"/>
        <v>72.30439048896028</v>
      </c>
      <c r="X18">
        <f t="shared" si="16"/>
        <v>2.4957527344209778</v>
      </c>
      <c r="Y18">
        <f t="shared" si="17"/>
        <v>3.4517305485094147</v>
      </c>
      <c r="Z18">
        <f t="shared" si="18"/>
        <v>0.82944600388236411</v>
      </c>
      <c r="AA18">
        <f t="shared" si="19"/>
        <v>-104.24716051584093</v>
      </c>
      <c r="AB18">
        <f t="shared" si="20"/>
        <v>82.191666724153009</v>
      </c>
      <c r="AC18">
        <f t="shared" si="21"/>
        <v>7.2786773067795512</v>
      </c>
      <c r="AD18">
        <f t="shared" si="22"/>
        <v>157.1903975150916</v>
      </c>
      <c r="AE18">
        <f t="shared" si="23"/>
        <v>12.242148689008383</v>
      </c>
      <c r="AF18">
        <f t="shared" si="24"/>
        <v>2.3638811908353952</v>
      </c>
      <c r="AG18">
        <f t="shared" si="25"/>
        <v>12.263323987936763</v>
      </c>
      <c r="AH18">
        <v>305.97134389324577</v>
      </c>
      <c r="AI18">
        <v>277.83530909090888</v>
      </c>
      <c r="AJ18">
        <v>-5.5559142543478277E-5</v>
      </c>
      <c r="AK18">
        <v>83.968266766758106</v>
      </c>
      <c r="AL18">
        <f t="shared" si="26"/>
        <v>2.3639800940097633</v>
      </c>
      <c r="AM18">
        <v>19.456434803018649</v>
      </c>
      <c r="AN18">
        <v>24.643663609022539</v>
      </c>
      <c r="AO18">
        <v>7.8729805927487777E-7</v>
      </c>
      <c r="AP18">
        <v>90.538231227470618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53613.997295445384</v>
      </c>
      <c r="AV18">
        <f t="shared" si="30"/>
        <v>905.09059999999988</v>
      </c>
      <c r="AW18">
        <f t="shared" si="31"/>
        <v>724.07247999999993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338</v>
      </c>
      <c r="BC18">
        <v>2</v>
      </c>
      <c r="BD18" t="b">
        <v>0</v>
      </c>
      <c r="BE18">
        <v>1750764842.25</v>
      </c>
      <c r="BF18">
        <v>271.01283333333328</v>
      </c>
      <c r="BG18">
        <v>299.99553333333341</v>
      </c>
      <c r="BH18">
        <v>24.64348</v>
      </c>
      <c r="BI18">
        <v>19.45646</v>
      </c>
      <c r="BJ18">
        <v>269.54463333333331</v>
      </c>
      <c r="BK18">
        <v>24.423459999999999</v>
      </c>
      <c r="BL18">
        <v>400.04939999999999</v>
      </c>
      <c r="BM18">
        <v>101.17433333333329</v>
      </c>
      <c r="BN18">
        <v>0.1000294766666667</v>
      </c>
      <c r="BO18">
        <v>26.384173333333329</v>
      </c>
      <c r="BP18">
        <v>25.752716666666679</v>
      </c>
      <c r="BQ18">
        <v>999.9000000000002</v>
      </c>
      <c r="BR18">
        <v>0</v>
      </c>
      <c r="BS18">
        <v>0</v>
      </c>
      <c r="BT18">
        <v>10001.13333333333</v>
      </c>
      <c r="BU18">
        <v>905.09059999999988</v>
      </c>
      <c r="BV18">
        <v>18.582799999999999</v>
      </c>
      <c r="BW18">
        <v>-28.982716666666668</v>
      </c>
      <c r="BX18">
        <v>277.86013333333341</v>
      </c>
      <c r="BY18">
        <v>305.94819999999999</v>
      </c>
      <c r="BZ18">
        <v>5.1870133333333337</v>
      </c>
      <c r="CA18">
        <v>299.99553333333341</v>
      </c>
      <c r="CB18">
        <v>19.45646</v>
      </c>
      <c r="CC18">
        <v>2.4932866666666671</v>
      </c>
      <c r="CD18">
        <v>1.9684936666666659</v>
      </c>
      <c r="CE18">
        <v>20.982746666666671</v>
      </c>
      <c r="CF18">
        <v>17.193163333333331</v>
      </c>
      <c r="CG18">
        <v>1750753677</v>
      </c>
      <c r="CH18" t="s">
        <v>339</v>
      </c>
      <c r="CI18">
        <v>1750753677</v>
      </c>
      <c r="CJ18">
        <v>1750753673.5</v>
      </c>
      <c r="CK18">
        <v>5</v>
      </c>
      <c r="CL18">
        <v>2.1520000000000001</v>
      </c>
      <c r="CM18">
        <v>-0.52400000000000002</v>
      </c>
      <c r="CN18">
        <v>3.0179999999999998</v>
      </c>
      <c r="CO18">
        <v>0.22</v>
      </c>
      <c r="CP18">
        <v>450</v>
      </c>
      <c r="CQ18">
        <v>19</v>
      </c>
      <c r="CR18">
        <v>0.26</v>
      </c>
      <c r="CS18">
        <v>0.17</v>
      </c>
      <c r="CT18">
        <v>-28.966259999999998</v>
      </c>
      <c r="CU18">
        <v>-0.34555722326444988</v>
      </c>
      <c r="CV18">
        <v>4.0073836851491768E-2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5.1844504999999996</v>
      </c>
      <c r="DC18">
        <v>4.2849906191377123E-2</v>
      </c>
      <c r="DD18">
        <v>5.0080140524963032E-3</v>
      </c>
      <c r="DE18">
        <v>1</v>
      </c>
      <c r="DF18">
        <v>2</v>
      </c>
      <c r="DG18">
        <v>2</v>
      </c>
      <c r="DH18" t="s">
        <v>340</v>
      </c>
      <c r="DI18">
        <v>3.0249100000000002</v>
      </c>
      <c r="DJ18">
        <v>2.6913</v>
      </c>
      <c r="DK18">
        <v>6.8386199999999994E-2</v>
      </c>
      <c r="DL18">
        <v>7.5052099999999997E-2</v>
      </c>
      <c r="DM18">
        <v>0.122266</v>
      </c>
      <c r="DN18">
        <v>0.104591</v>
      </c>
      <c r="DO18">
        <v>26049.5</v>
      </c>
      <c r="DP18">
        <v>17340.7</v>
      </c>
      <c r="DQ18">
        <v>26521.5</v>
      </c>
      <c r="DR18">
        <v>17035.2</v>
      </c>
      <c r="DS18">
        <v>33089.800000000003</v>
      </c>
      <c r="DT18">
        <v>19918.5</v>
      </c>
      <c r="DU18">
        <v>38634</v>
      </c>
      <c r="DV18">
        <v>22574.799999999999</v>
      </c>
      <c r="DW18">
        <v>1.82406</v>
      </c>
      <c r="DX18">
        <v>2.2261000000000002</v>
      </c>
      <c r="DY18">
        <v>8.3291500000000004E-2</v>
      </c>
      <c r="DZ18">
        <v>0</v>
      </c>
      <c r="EA18">
        <v>24.380700000000001</v>
      </c>
      <c r="EB18">
        <v>999.9</v>
      </c>
      <c r="EC18">
        <v>60.6</v>
      </c>
      <c r="ED18">
        <v>30.8</v>
      </c>
      <c r="EE18">
        <v>26.715</v>
      </c>
      <c r="EF18">
        <v>62.52</v>
      </c>
      <c r="EG18">
        <v>35.020000000000003</v>
      </c>
      <c r="EH18">
        <v>1</v>
      </c>
      <c r="EI18">
        <v>-0.106071</v>
      </c>
      <c r="EJ18">
        <v>-0.67760100000000001</v>
      </c>
      <c r="EK18">
        <v>20.328600000000002</v>
      </c>
      <c r="EL18">
        <v>5.25251</v>
      </c>
      <c r="EM18">
        <v>11.962</v>
      </c>
      <c r="EN18">
        <v>4.9897600000000004</v>
      </c>
      <c r="EO18">
        <v>3.2918400000000001</v>
      </c>
      <c r="EP18">
        <v>9999</v>
      </c>
      <c r="EQ18">
        <v>9999</v>
      </c>
      <c r="ER18">
        <v>9999</v>
      </c>
      <c r="ES18">
        <v>999.9</v>
      </c>
      <c r="ET18">
        <v>4.9726600000000003</v>
      </c>
      <c r="EU18">
        <v>1.87195</v>
      </c>
      <c r="EV18">
        <v>1.8721399999999999</v>
      </c>
      <c r="EW18">
        <v>1.8771599999999999</v>
      </c>
      <c r="EX18">
        <v>1.8713500000000001</v>
      </c>
      <c r="EY18">
        <v>1.87212</v>
      </c>
      <c r="EZ18">
        <v>1.8717999999999999</v>
      </c>
      <c r="FA18">
        <v>1.8686100000000001</v>
      </c>
      <c r="FB18">
        <v>0</v>
      </c>
      <c r="FC18">
        <v>0</v>
      </c>
      <c r="FD18">
        <v>0</v>
      </c>
      <c r="FE18">
        <v>0</v>
      </c>
      <c r="FF18" t="s">
        <v>341</v>
      </c>
      <c r="FG18" t="s">
        <v>342</v>
      </c>
      <c r="FH18" t="s">
        <v>343</v>
      </c>
      <c r="FI18" t="s">
        <v>343</v>
      </c>
      <c r="FJ18" t="s">
        <v>343</v>
      </c>
      <c r="FK18" t="s">
        <v>343</v>
      </c>
      <c r="FL18">
        <v>0</v>
      </c>
      <c r="FM18">
        <v>100</v>
      </c>
      <c r="FN18">
        <v>100</v>
      </c>
      <c r="FO18">
        <v>1.468</v>
      </c>
      <c r="FP18">
        <v>0.22</v>
      </c>
      <c r="FQ18">
        <v>-0.71234261683338174</v>
      </c>
      <c r="FR18">
        <v>7.6898218637449396E-3</v>
      </c>
      <c r="FS18">
        <v>1.5097418776848419E-6</v>
      </c>
      <c r="FT18">
        <v>-9.8458676114205118E-11</v>
      </c>
      <c r="FU18">
        <v>0.22001999999999461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186.2</v>
      </c>
      <c r="GD18">
        <v>186.3</v>
      </c>
      <c r="GE18">
        <v>0.80078099999999997</v>
      </c>
      <c r="GF18">
        <v>2.6269499999999999</v>
      </c>
      <c r="GG18">
        <v>1.7981</v>
      </c>
      <c r="GH18">
        <v>2.3803700000000001</v>
      </c>
      <c r="GI18">
        <v>1.5979000000000001</v>
      </c>
      <c r="GJ18">
        <v>2.50122</v>
      </c>
      <c r="GK18">
        <v>34.031799999999997</v>
      </c>
      <c r="GL18">
        <v>24.1663</v>
      </c>
      <c r="GM18">
        <v>18</v>
      </c>
      <c r="GN18">
        <v>365.50400000000002</v>
      </c>
      <c r="GO18">
        <v>679.20399999999995</v>
      </c>
      <c r="GP18">
        <v>25.830200000000001</v>
      </c>
      <c r="GQ18">
        <v>25.7684</v>
      </c>
      <c r="GR18">
        <v>29.9999</v>
      </c>
      <c r="GS18">
        <v>25.692399999999999</v>
      </c>
      <c r="GT18">
        <v>25.706199999999999</v>
      </c>
      <c r="GU18">
        <v>15.984299999999999</v>
      </c>
      <c r="GV18">
        <v>32.792099999999998</v>
      </c>
      <c r="GW18">
        <v>0</v>
      </c>
      <c r="GX18">
        <v>25.83</v>
      </c>
      <c r="GY18">
        <v>300</v>
      </c>
      <c r="GZ18">
        <v>19.5</v>
      </c>
      <c r="HA18">
        <v>100.777</v>
      </c>
      <c r="HB18">
        <v>70.463800000000006</v>
      </c>
    </row>
    <row r="19" spans="1:210" x14ac:dyDescent="0.3">
      <c r="A19">
        <v>3</v>
      </c>
      <c r="B19">
        <v>1750765030.5</v>
      </c>
      <c r="C19">
        <v>361</v>
      </c>
      <c r="D19" t="s">
        <v>346</v>
      </c>
      <c r="E19" t="s">
        <v>347</v>
      </c>
      <c r="F19">
        <v>15</v>
      </c>
      <c r="G19">
        <v>1750765022.75</v>
      </c>
      <c r="H19">
        <f t="shared" si="0"/>
        <v>2.3895297512977437E-3</v>
      </c>
      <c r="I19">
        <f t="shared" si="1"/>
        <v>2.3895297512977436</v>
      </c>
      <c r="J19">
        <f t="shared" si="2"/>
        <v>7.2955595683639691</v>
      </c>
      <c r="K19">
        <f t="shared" si="3"/>
        <v>182.60249999999999</v>
      </c>
      <c r="L19">
        <f t="shared" si="4"/>
        <v>140.04571573694369</v>
      </c>
      <c r="M19">
        <f t="shared" si="5"/>
        <v>14.18249195349061</v>
      </c>
      <c r="N19">
        <f t="shared" si="6"/>
        <v>18.492236433721175</v>
      </c>
      <c r="O19">
        <f t="shared" si="7"/>
        <v>0.305837141382447</v>
      </c>
      <c r="P19">
        <f t="shared" si="8"/>
        <v>2.4144988047542624</v>
      </c>
      <c r="Q19">
        <f t="shared" si="9"/>
        <v>0.28611643798300834</v>
      </c>
      <c r="R19">
        <f t="shared" si="10"/>
        <v>0.18048939685476179</v>
      </c>
      <c r="S19">
        <f t="shared" si="11"/>
        <v>171.90949200000003</v>
      </c>
      <c r="T19">
        <f t="shared" si="12"/>
        <v>26.85753492900551</v>
      </c>
      <c r="U19">
        <f t="shared" si="13"/>
        <v>25.754850000000001</v>
      </c>
      <c r="V19">
        <f t="shared" si="14"/>
        <v>3.3256193012053195</v>
      </c>
      <c r="W19">
        <f t="shared" si="15"/>
        <v>72.532000923767512</v>
      </c>
      <c r="X19">
        <f t="shared" si="16"/>
        <v>2.5041932845445256</v>
      </c>
      <c r="Y19">
        <f t="shared" si="17"/>
        <v>3.4525357809671893</v>
      </c>
      <c r="Z19">
        <f t="shared" si="18"/>
        <v>0.82142601666079385</v>
      </c>
      <c r="AA19">
        <f t="shared" si="19"/>
        <v>-105.3782620322305</v>
      </c>
      <c r="AB19">
        <f t="shared" si="20"/>
        <v>82.433914729835692</v>
      </c>
      <c r="AC19">
        <f t="shared" si="21"/>
        <v>7.2998789841866039</v>
      </c>
      <c r="AD19">
        <f t="shared" si="22"/>
        <v>156.26502368179183</v>
      </c>
      <c r="AE19">
        <f t="shared" si="23"/>
        <v>7.2955595683639691</v>
      </c>
      <c r="AF19">
        <f t="shared" si="24"/>
        <v>2.3895297512977436</v>
      </c>
      <c r="AG19">
        <f t="shared" si="25"/>
        <v>7.3073791048323855</v>
      </c>
      <c r="AH19">
        <v>203.9720399514168</v>
      </c>
      <c r="AI19">
        <v>187.20391515151519</v>
      </c>
      <c r="AJ19">
        <v>-5.7483346737667162E-5</v>
      </c>
      <c r="AK19">
        <v>83.968266766758106</v>
      </c>
      <c r="AL19">
        <f t="shared" si="26"/>
        <v>2.3891187560065177</v>
      </c>
      <c r="AM19">
        <v>19.483337971448819</v>
      </c>
      <c r="AN19">
        <v>24.72600180451127</v>
      </c>
      <c r="AO19">
        <v>3.3173028053476379E-6</v>
      </c>
      <c r="AP19">
        <v>90.538231227470618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53618.455651764758</v>
      </c>
      <c r="AV19">
        <f t="shared" si="30"/>
        <v>904.78680000000008</v>
      </c>
      <c r="AW19">
        <f t="shared" si="31"/>
        <v>723.82944000000009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338</v>
      </c>
      <c r="BC19">
        <v>2</v>
      </c>
      <c r="BD19" t="b">
        <v>0</v>
      </c>
      <c r="BE19">
        <v>1750765022.75</v>
      </c>
      <c r="BF19">
        <v>182.60249999999999</v>
      </c>
      <c r="BG19">
        <v>199.99956666666671</v>
      </c>
      <c r="BH19">
        <v>24.727779999999999</v>
      </c>
      <c r="BI19">
        <v>19.48419333333333</v>
      </c>
      <c r="BJ19">
        <v>181.86696666666671</v>
      </c>
      <c r="BK19">
        <v>24.507756666666669</v>
      </c>
      <c r="BL19">
        <v>399.99296666666658</v>
      </c>
      <c r="BM19">
        <v>101.1705</v>
      </c>
      <c r="BN19">
        <v>9.9945003333333324E-2</v>
      </c>
      <c r="BO19">
        <v>26.388126666666668</v>
      </c>
      <c r="BP19">
        <v>25.754850000000001</v>
      </c>
      <c r="BQ19">
        <v>999.9000000000002</v>
      </c>
      <c r="BR19">
        <v>0</v>
      </c>
      <c r="BS19">
        <v>0</v>
      </c>
      <c r="BT19">
        <v>10002.533333333329</v>
      </c>
      <c r="BU19">
        <v>904.78680000000008</v>
      </c>
      <c r="BV19">
        <v>18.56876333333333</v>
      </c>
      <c r="BW19">
        <v>-17.397133333333329</v>
      </c>
      <c r="BX19">
        <v>187.23233333333329</v>
      </c>
      <c r="BY19">
        <v>203.97386666666671</v>
      </c>
      <c r="BZ19">
        <v>5.2435906666666661</v>
      </c>
      <c r="CA19">
        <v>199.99956666666671</v>
      </c>
      <c r="CB19">
        <v>19.48419333333333</v>
      </c>
      <c r="CC19">
        <v>2.5017213333333341</v>
      </c>
      <c r="CD19">
        <v>1.971225666666667</v>
      </c>
      <c r="CE19">
        <v>21.037710000000001</v>
      </c>
      <c r="CF19">
        <v>17.21508</v>
      </c>
      <c r="CG19">
        <v>1750753677</v>
      </c>
      <c r="CH19" t="s">
        <v>339</v>
      </c>
      <c r="CI19">
        <v>1750753677</v>
      </c>
      <c r="CJ19">
        <v>1750753673.5</v>
      </c>
      <c r="CK19">
        <v>5</v>
      </c>
      <c r="CL19">
        <v>2.1520000000000001</v>
      </c>
      <c r="CM19">
        <v>-0.52400000000000002</v>
      </c>
      <c r="CN19">
        <v>3.0179999999999998</v>
      </c>
      <c r="CO19">
        <v>0.22</v>
      </c>
      <c r="CP19">
        <v>450</v>
      </c>
      <c r="CQ19">
        <v>19</v>
      </c>
      <c r="CR19">
        <v>0.26</v>
      </c>
      <c r="CS19">
        <v>0.17</v>
      </c>
      <c r="CT19">
        <v>-17.391651219512191</v>
      </c>
      <c r="CU19">
        <v>-4.7326829268322448E-2</v>
      </c>
      <c r="CV19">
        <v>2.3434934543313239E-2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5.2407368292682923</v>
      </c>
      <c r="DC19">
        <v>5.3118606271783997E-2</v>
      </c>
      <c r="DD19">
        <v>5.4994006054870179E-3</v>
      </c>
      <c r="DE19">
        <v>1</v>
      </c>
      <c r="DF19">
        <v>2</v>
      </c>
      <c r="DG19">
        <v>2</v>
      </c>
      <c r="DH19" t="s">
        <v>340</v>
      </c>
      <c r="DI19">
        <v>3.0247199999999999</v>
      </c>
      <c r="DJ19">
        <v>2.69136</v>
      </c>
      <c r="DK19">
        <v>4.8628600000000001E-2</v>
      </c>
      <c r="DL19">
        <v>5.3172900000000002E-2</v>
      </c>
      <c r="DM19">
        <v>0.122543</v>
      </c>
      <c r="DN19">
        <v>0.104673</v>
      </c>
      <c r="DO19">
        <v>26600.400000000001</v>
      </c>
      <c r="DP19">
        <v>17750.099999999999</v>
      </c>
      <c r="DQ19">
        <v>26520</v>
      </c>
      <c r="DR19">
        <v>17034.400000000001</v>
      </c>
      <c r="DS19">
        <v>33076.9</v>
      </c>
      <c r="DT19">
        <v>19915.3</v>
      </c>
      <c r="DU19">
        <v>38632.199999999997</v>
      </c>
      <c r="DV19">
        <v>22573.599999999999</v>
      </c>
      <c r="DW19">
        <v>1.8233200000000001</v>
      </c>
      <c r="DX19">
        <v>2.2262</v>
      </c>
      <c r="DY19">
        <v>8.2153100000000007E-2</v>
      </c>
      <c r="DZ19">
        <v>0</v>
      </c>
      <c r="EA19">
        <v>24.4057</v>
      </c>
      <c r="EB19">
        <v>999.9</v>
      </c>
      <c r="EC19">
        <v>60.5</v>
      </c>
      <c r="ED19">
        <v>30.8</v>
      </c>
      <c r="EE19">
        <v>26.669599999999999</v>
      </c>
      <c r="EF19">
        <v>62.58</v>
      </c>
      <c r="EG19">
        <v>35.052100000000003</v>
      </c>
      <c r="EH19">
        <v>1</v>
      </c>
      <c r="EI19">
        <v>-0.104951</v>
      </c>
      <c r="EJ19">
        <v>-0.64971900000000005</v>
      </c>
      <c r="EK19">
        <v>20.328499999999998</v>
      </c>
      <c r="EL19">
        <v>5.2528699999999997</v>
      </c>
      <c r="EM19">
        <v>11.962</v>
      </c>
      <c r="EN19">
        <v>4.9903599999999999</v>
      </c>
      <c r="EO19">
        <v>3.2918799999999999</v>
      </c>
      <c r="EP19">
        <v>9999</v>
      </c>
      <c r="EQ19">
        <v>9999</v>
      </c>
      <c r="ER19">
        <v>9999</v>
      </c>
      <c r="ES19">
        <v>999.9</v>
      </c>
      <c r="ET19">
        <v>4.9726600000000003</v>
      </c>
      <c r="EU19">
        <v>1.8719399999999999</v>
      </c>
      <c r="EV19">
        <v>1.87216</v>
      </c>
      <c r="EW19">
        <v>1.8771599999999999</v>
      </c>
      <c r="EX19">
        <v>1.87134</v>
      </c>
      <c r="EY19">
        <v>1.8721099999999999</v>
      </c>
      <c r="EZ19">
        <v>1.8717900000000001</v>
      </c>
      <c r="FA19">
        <v>1.8686</v>
      </c>
      <c r="FB19">
        <v>0</v>
      </c>
      <c r="FC19">
        <v>0</v>
      </c>
      <c r="FD19">
        <v>0</v>
      </c>
      <c r="FE19">
        <v>0</v>
      </c>
      <c r="FF19" t="s">
        <v>341</v>
      </c>
      <c r="FG19" t="s">
        <v>342</v>
      </c>
      <c r="FH19" t="s">
        <v>343</v>
      </c>
      <c r="FI19" t="s">
        <v>343</v>
      </c>
      <c r="FJ19" t="s">
        <v>343</v>
      </c>
      <c r="FK19" t="s">
        <v>343</v>
      </c>
      <c r="FL19">
        <v>0</v>
      </c>
      <c r="FM19">
        <v>100</v>
      </c>
      <c r="FN19">
        <v>100</v>
      </c>
      <c r="FO19">
        <v>0.73499999999999999</v>
      </c>
      <c r="FP19">
        <v>0.22009999999999999</v>
      </c>
      <c r="FQ19">
        <v>-0.71234261683338174</v>
      </c>
      <c r="FR19">
        <v>7.6898218637449396E-3</v>
      </c>
      <c r="FS19">
        <v>1.5097418776848419E-6</v>
      </c>
      <c r="FT19">
        <v>-9.8458676114205118E-11</v>
      </c>
      <c r="FU19">
        <v>0.22001999999999461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189.2</v>
      </c>
      <c r="GD19">
        <v>189.3</v>
      </c>
      <c r="GE19">
        <v>0.58715799999999996</v>
      </c>
      <c r="GF19">
        <v>2.6452599999999999</v>
      </c>
      <c r="GG19">
        <v>1.7981</v>
      </c>
      <c r="GH19">
        <v>2.3791500000000001</v>
      </c>
      <c r="GI19">
        <v>1.5979000000000001</v>
      </c>
      <c r="GJ19">
        <v>2.4890099999999999</v>
      </c>
      <c r="GK19">
        <v>34.031799999999997</v>
      </c>
      <c r="GL19">
        <v>24.1663</v>
      </c>
      <c r="GM19">
        <v>18</v>
      </c>
      <c r="GN19">
        <v>365.23099999999999</v>
      </c>
      <c r="GO19">
        <v>679.52</v>
      </c>
      <c r="GP19">
        <v>25.830200000000001</v>
      </c>
      <c r="GQ19">
        <v>25.778099999999998</v>
      </c>
      <c r="GR19">
        <v>30.0001</v>
      </c>
      <c r="GS19">
        <v>25.7074</v>
      </c>
      <c r="GT19">
        <v>25.723500000000001</v>
      </c>
      <c r="GU19">
        <v>11.7249</v>
      </c>
      <c r="GV19">
        <v>32.516300000000001</v>
      </c>
      <c r="GW19">
        <v>0</v>
      </c>
      <c r="GX19">
        <v>25.83</v>
      </c>
      <c r="GY19">
        <v>200</v>
      </c>
      <c r="GZ19">
        <v>19.5</v>
      </c>
      <c r="HA19">
        <v>100.77200000000001</v>
      </c>
      <c r="HB19">
        <v>70.4602</v>
      </c>
    </row>
    <row r="20" spans="1:210" x14ac:dyDescent="0.3">
      <c r="A20">
        <v>4</v>
      </c>
      <c r="B20">
        <v>1750765211</v>
      </c>
      <c r="C20">
        <v>541.5</v>
      </c>
      <c r="D20" t="s">
        <v>348</v>
      </c>
      <c r="E20" t="s">
        <v>349</v>
      </c>
      <c r="F20">
        <v>15</v>
      </c>
      <c r="G20">
        <v>1750765203.25</v>
      </c>
      <c r="H20">
        <f t="shared" si="0"/>
        <v>2.4178673371938637E-3</v>
      </c>
      <c r="I20">
        <f t="shared" si="1"/>
        <v>2.4178673371938637</v>
      </c>
      <c r="J20">
        <f t="shared" si="2"/>
        <v>3.4576701226636688</v>
      </c>
      <c r="K20">
        <f t="shared" si="3"/>
        <v>116.60046666666661</v>
      </c>
      <c r="L20">
        <f t="shared" si="4"/>
        <v>96.343022422914686</v>
      </c>
      <c r="M20">
        <f t="shared" si="5"/>
        <v>9.7562687757079072</v>
      </c>
      <c r="N20">
        <f t="shared" si="6"/>
        <v>11.807658339587249</v>
      </c>
      <c r="O20">
        <f t="shared" si="7"/>
        <v>0.31105769651320547</v>
      </c>
      <c r="P20">
        <f t="shared" si="8"/>
        <v>2.4140614296961931</v>
      </c>
      <c r="Q20">
        <f t="shared" si="9"/>
        <v>0.2906784181996272</v>
      </c>
      <c r="R20">
        <f t="shared" si="10"/>
        <v>0.18339454036895242</v>
      </c>
      <c r="S20">
        <f t="shared" si="11"/>
        <v>171.88242333333335</v>
      </c>
      <c r="T20">
        <f t="shared" si="12"/>
        <v>26.852775199572523</v>
      </c>
      <c r="U20">
        <f t="shared" si="13"/>
        <v>25.768763333333329</v>
      </c>
      <c r="V20">
        <f t="shared" si="14"/>
        <v>3.3283632997386663</v>
      </c>
      <c r="W20">
        <f t="shared" si="15"/>
        <v>72.691400692988964</v>
      </c>
      <c r="X20">
        <f t="shared" si="16"/>
        <v>2.5103146561696859</v>
      </c>
      <c r="Y20">
        <f t="shared" si="17"/>
        <v>3.4533860019728637</v>
      </c>
      <c r="Z20">
        <f t="shared" si="18"/>
        <v>0.81804864356898044</v>
      </c>
      <c r="AA20">
        <f t="shared" si="19"/>
        <v>-106.62794957024938</v>
      </c>
      <c r="AB20">
        <f t="shared" si="20"/>
        <v>81.151351606176235</v>
      </c>
      <c r="AC20">
        <f t="shared" si="21"/>
        <v>7.1882562742256226</v>
      </c>
      <c r="AD20">
        <f t="shared" si="22"/>
        <v>153.59408164348582</v>
      </c>
      <c r="AE20">
        <f t="shared" si="23"/>
        <v>3.4576701226636688</v>
      </c>
      <c r="AF20">
        <f t="shared" si="24"/>
        <v>2.4178673371938637</v>
      </c>
      <c r="AG20">
        <f t="shared" si="25"/>
        <v>3.4604071831414109</v>
      </c>
      <c r="AH20">
        <v>127.5336073740346</v>
      </c>
      <c r="AI20">
        <v>119.5916606060606</v>
      </c>
      <c r="AJ20">
        <v>1.4191500760382119E-4</v>
      </c>
      <c r="AK20">
        <v>83.968266766758106</v>
      </c>
      <c r="AL20">
        <f t="shared" si="26"/>
        <v>2.418434273442875</v>
      </c>
      <c r="AM20">
        <v>19.482594902830449</v>
      </c>
      <c r="AN20">
        <v>24.78925383458645</v>
      </c>
      <c r="AO20">
        <v>-1.325220037060817E-7</v>
      </c>
      <c r="AP20">
        <v>90.538231227470618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53602.967439447297</v>
      </c>
      <c r="AV20">
        <f t="shared" si="30"/>
        <v>904.64433333333341</v>
      </c>
      <c r="AW20">
        <f t="shared" si="31"/>
        <v>723.71546666666677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338</v>
      </c>
      <c r="BC20">
        <v>2</v>
      </c>
      <c r="BD20" t="b">
        <v>0</v>
      </c>
      <c r="BE20">
        <v>1750765203.25</v>
      </c>
      <c r="BF20">
        <v>116.60046666666661</v>
      </c>
      <c r="BG20">
        <v>125.0146666666667</v>
      </c>
      <c r="BH20">
        <v>24.789323333333328</v>
      </c>
      <c r="BI20">
        <v>19.483910000000002</v>
      </c>
      <c r="BJ20">
        <v>116.3974</v>
      </c>
      <c r="BK20">
        <v>24.56930333333333</v>
      </c>
      <c r="BL20">
        <v>399.99466666666672</v>
      </c>
      <c r="BM20">
        <v>101.16596666666671</v>
      </c>
      <c r="BN20">
        <v>9.9994586666666663E-2</v>
      </c>
      <c r="BO20">
        <v>26.392299999999999</v>
      </c>
      <c r="BP20">
        <v>25.768763333333329</v>
      </c>
      <c r="BQ20">
        <v>999.9000000000002</v>
      </c>
      <c r="BR20">
        <v>0</v>
      </c>
      <c r="BS20">
        <v>0</v>
      </c>
      <c r="BT20">
        <v>10000.13333333333</v>
      </c>
      <c r="BU20">
        <v>904.64433333333341</v>
      </c>
      <c r="BV20">
        <v>18.557516666666661</v>
      </c>
      <c r="BW20">
        <v>-8.4143509999999999</v>
      </c>
      <c r="BX20">
        <v>119.5643666666667</v>
      </c>
      <c r="BY20">
        <v>127.4989666666667</v>
      </c>
      <c r="BZ20">
        <v>5.3054009999999998</v>
      </c>
      <c r="CA20">
        <v>125.0146666666667</v>
      </c>
      <c r="CB20">
        <v>19.483910000000002</v>
      </c>
      <c r="CC20">
        <v>2.5078343333333328</v>
      </c>
      <c r="CD20">
        <v>1.971108333333333</v>
      </c>
      <c r="CE20">
        <v>21.077443333333338</v>
      </c>
      <c r="CF20">
        <v>17.21414</v>
      </c>
      <c r="CG20">
        <v>1750753677</v>
      </c>
      <c r="CH20" t="s">
        <v>339</v>
      </c>
      <c r="CI20">
        <v>1750753677</v>
      </c>
      <c r="CJ20">
        <v>1750753673.5</v>
      </c>
      <c r="CK20">
        <v>5</v>
      </c>
      <c r="CL20">
        <v>2.1520000000000001</v>
      </c>
      <c r="CM20">
        <v>-0.52400000000000002</v>
      </c>
      <c r="CN20">
        <v>3.0179999999999998</v>
      </c>
      <c r="CO20">
        <v>0.22</v>
      </c>
      <c r="CP20">
        <v>450</v>
      </c>
      <c r="CQ20">
        <v>19</v>
      </c>
      <c r="CR20">
        <v>0.26</v>
      </c>
      <c r="CS20">
        <v>0.17</v>
      </c>
      <c r="CT20">
        <v>-8.4097104999999992</v>
      </c>
      <c r="CU20">
        <v>-7.3196397748574782E-2</v>
      </c>
      <c r="CV20">
        <v>2.173782566748585E-2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5.3054494999999999</v>
      </c>
      <c r="DC20">
        <v>3.3165478424011441E-3</v>
      </c>
      <c r="DD20">
        <v>1.076064472975513E-3</v>
      </c>
      <c r="DE20">
        <v>1</v>
      </c>
      <c r="DF20">
        <v>2</v>
      </c>
      <c r="DG20">
        <v>2</v>
      </c>
      <c r="DH20" t="s">
        <v>340</v>
      </c>
      <c r="DI20">
        <v>3.02502</v>
      </c>
      <c r="DJ20">
        <v>2.69143</v>
      </c>
      <c r="DK20">
        <v>3.2151399999999997E-2</v>
      </c>
      <c r="DL20">
        <v>3.4549499999999997E-2</v>
      </c>
      <c r="DM20">
        <v>0.122747</v>
      </c>
      <c r="DN20">
        <v>0.104673</v>
      </c>
      <c r="DO20">
        <v>27060.7</v>
      </c>
      <c r="DP20">
        <v>18099.400000000001</v>
      </c>
      <c r="DQ20">
        <v>26519.5</v>
      </c>
      <c r="DR20">
        <v>17034.5</v>
      </c>
      <c r="DS20">
        <v>33068.1</v>
      </c>
      <c r="DT20">
        <v>19915.2</v>
      </c>
      <c r="DU20">
        <v>38631.5</v>
      </c>
      <c r="DV20">
        <v>22573.7</v>
      </c>
      <c r="DW20">
        <v>1.8240799999999999</v>
      </c>
      <c r="DX20">
        <v>2.2253599999999998</v>
      </c>
      <c r="DY20">
        <v>8.2844500000000001E-2</v>
      </c>
      <c r="DZ20">
        <v>0</v>
      </c>
      <c r="EA20">
        <v>24.407699999999998</v>
      </c>
      <c r="EB20">
        <v>999.9</v>
      </c>
      <c r="EC20">
        <v>60.4</v>
      </c>
      <c r="ED20">
        <v>30.7</v>
      </c>
      <c r="EE20">
        <v>26.478300000000001</v>
      </c>
      <c r="EF20">
        <v>62.6601</v>
      </c>
      <c r="EG20">
        <v>34.895800000000001</v>
      </c>
      <c r="EH20">
        <v>1</v>
      </c>
      <c r="EI20">
        <v>-0.104104</v>
      </c>
      <c r="EJ20">
        <v>-0.65829599999999999</v>
      </c>
      <c r="EK20">
        <v>20.328600000000002</v>
      </c>
      <c r="EL20">
        <v>5.25</v>
      </c>
      <c r="EM20">
        <v>11.962</v>
      </c>
      <c r="EN20">
        <v>4.9896799999999999</v>
      </c>
      <c r="EO20">
        <v>3.2919399999999999</v>
      </c>
      <c r="EP20">
        <v>9999</v>
      </c>
      <c r="EQ20">
        <v>9999</v>
      </c>
      <c r="ER20">
        <v>9999</v>
      </c>
      <c r="ES20">
        <v>999.9</v>
      </c>
      <c r="ET20">
        <v>4.9726699999999999</v>
      </c>
      <c r="EU20">
        <v>1.8719300000000001</v>
      </c>
      <c r="EV20">
        <v>1.87215</v>
      </c>
      <c r="EW20">
        <v>1.8771500000000001</v>
      </c>
      <c r="EX20">
        <v>1.8713500000000001</v>
      </c>
      <c r="EY20">
        <v>1.8721000000000001</v>
      </c>
      <c r="EZ20">
        <v>1.8717999999999999</v>
      </c>
      <c r="FA20">
        <v>1.8686499999999999</v>
      </c>
      <c r="FB20">
        <v>0</v>
      </c>
      <c r="FC20">
        <v>0</v>
      </c>
      <c r="FD20">
        <v>0</v>
      </c>
      <c r="FE20">
        <v>0</v>
      </c>
      <c r="FF20" t="s">
        <v>341</v>
      </c>
      <c r="FG20" t="s">
        <v>342</v>
      </c>
      <c r="FH20" t="s">
        <v>343</v>
      </c>
      <c r="FI20" t="s">
        <v>343</v>
      </c>
      <c r="FJ20" t="s">
        <v>343</v>
      </c>
      <c r="FK20" t="s">
        <v>343</v>
      </c>
      <c r="FL20">
        <v>0</v>
      </c>
      <c r="FM20">
        <v>100</v>
      </c>
      <c r="FN20">
        <v>100</v>
      </c>
      <c r="FO20">
        <v>0.20399999999999999</v>
      </c>
      <c r="FP20">
        <v>0.22</v>
      </c>
      <c r="FQ20">
        <v>-0.71234261683338174</v>
      </c>
      <c r="FR20">
        <v>7.6898218637449396E-3</v>
      </c>
      <c r="FS20">
        <v>1.5097418776848419E-6</v>
      </c>
      <c r="FT20">
        <v>-9.8458676114205118E-11</v>
      </c>
      <c r="FU20">
        <v>0.22001999999999461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192.2</v>
      </c>
      <c r="GD20">
        <v>192.3</v>
      </c>
      <c r="GE20">
        <v>0.42358400000000002</v>
      </c>
      <c r="GF20">
        <v>2.6684600000000001</v>
      </c>
      <c r="GG20">
        <v>1.79932</v>
      </c>
      <c r="GH20">
        <v>2.3803700000000001</v>
      </c>
      <c r="GI20">
        <v>1.5979000000000001</v>
      </c>
      <c r="GJ20">
        <v>2.4035600000000001</v>
      </c>
      <c r="GK20">
        <v>34.0092</v>
      </c>
      <c r="GL20">
        <v>24.157499999999999</v>
      </c>
      <c r="GM20">
        <v>18</v>
      </c>
      <c r="GN20">
        <v>365.71899999999999</v>
      </c>
      <c r="GO20">
        <v>678.98699999999997</v>
      </c>
      <c r="GP20">
        <v>25.829499999999999</v>
      </c>
      <c r="GQ20">
        <v>25.7925</v>
      </c>
      <c r="GR20">
        <v>30.0001</v>
      </c>
      <c r="GS20">
        <v>25.7225</v>
      </c>
      <c r="GT20">
        <v>25.738600000000002</v>
      </c>
      <c r="GU20">
        <v>8.43079</v>
      </c>
      <c r="GV20">
        <v>32.245100000000001</v>
      </c>
      <c r="GW20">
        <v>0</v>
      </c>
      <c r="GX20">
        <v>25.83</v>
      </c>
      <c r="GY20">
        <v>125</v>
      </c>
      <c r="GZ20">
        <v>19.5</v>
      </c>
      <c r="HA20">
        <v>100.77</v>
      </c>
      <c r="HB20">
        <v>70.460700000000003</v>
      </c>
    </row>
    <row r="21" spans="1:210" x14ac:dyDescent="0.3">
      <c r="A21">
        <v>5</v>
      </c>
      <c r="B21">
        <v>1750765391.5999999</v>
      </c>
      <c r="C21">
        <v>722.09999990463257</v>
      </c>
      <c r="D21" t="s">
        <v>350</v>
      </c>
      <c r="E21" t="s">
        <v>351</v>
      </c>
      <c r="F21">
        <v>15</v>
      </c>
      <c r="G21">
        <v>1750765383.849999</v>
      </c>
      <c r="H21">
        <f t="shared" si="0"/>
        <v>2.4289678066306167E-3</v>
      </c>
      <c r="I21">
        <f t="shared" si="1"/>
        <v>2.4289678066306166</v>
      </c>
      <c r="J21">
        <f t="shared" si="2"/>
        <v>0.79117694990521981</v>
      </c>
      <c r="K21">
        <f t="shared" si="3"/>
        <v>72.81832</v>
      </c>
      <c r="L21">
        <f t="shared" si="4"/>
        <v>67.647947726904789</v>
      </c>
      <c r="M21">
        <f t="shared" si="5"/>
        <v>6.8504661263748776</v>
      </c>
      <c r="N21">
        <f t="shared" si="6"/>
        <v>7.3740512654329784</v>
      </c>
      <c r="O21">
        <f t="shared" si="7"/>
        <v>0.31577822764016927</v>
      </c>
      <c r="P21">
        <f t="shared" si="8"/>
        <v>2.4134843802271897</v>
      </c>
      <c r="Q21">
        <f t="shared" si="9"/>
        <v>0.29479324272577812</v>
      </c>
      <c r="R21">
        <f t="shared" si="10"/>
        <v>0.18601580702864265</v>
      </c>
      <c r="S21">
        <f t="shared" si="11"/>
        <v>171.86118133333332</v>
      </c>
      <c r="T21">
        <f t="shared" si="12"/>
        <v>26.854495909365188</v>
      </c>
      <c r="U21">
        <f t="shared" si="13"/>
        <v>25.76701666666667</v>
      </c>
      <c r="V21">
        <f t="shared" si="14"/>
        <v>3.3280187122469176</v>
      </c>
      <c r="W21">
        <f t="shared" si="15"/>
        <v>72.883087853245854</v>
      </c>
      <c r="X21">
        <f t="shared" si="16"/>
        <v>2.5177106106494804</v>
      </c>
      <c r="Y21">
        <f t="shared" si="17"/>
        <v>3.4544510733670211</v>
      </c>
      <c r="Z21">
        <f t="shared" si="18"/>
        <v>0.81030810159743716</v>
      </c>
      <c r="AA21">
        <f t="shared" si="19"/>
        <v>-107.11748027241019</v>
      </c>
      <c r="AB21">
        <f t="shared" si="20"/>
        <v>82.039294083941797</v>
      </c>
      <c r="AC21">
        <f t="shared" si="21"/>
        <v>7.2687733068957989</v>
      </c>
      <c r="AD21">
        <f t="shared" si="22"/>
        <v>154.05176845176072</v>
      </c>
      <c r="AE21">
        <f t="shared" si="23"/>
        <v>0.79117694990521981</v>
      </c>
      <c r="AF21">
        <f t="shared" si="24"/>
        <v>2.4289678066306166</v>
      </c>
      <c r="AG21">
        <f t="shared" si="25"/>
        <v>0.78906192798926822</v>
      </c>
      <c r="AH21">
        <v>76.488456005841243</v>
      </c>
      <c r="AI21">
        <v>74.67796060606058</v>
      </c>
      <c r="AJ21">
        <v>-3.6394775507123583E-5</v>
      </c>
      <c r="AK21">
        <v>83.968266766758106</v>
      </c>
      <c r="AL21">
        <f t="shared" si="26"/>
        <v>2.4341488885358924</v>
      </c>
      <c r="AM21">
        <v>19.529667547027429</v>
      </c>
      <c r="AN21">
        <v>24.870413233082679</v>
      </c>
      <c r="AO21">
        <v>1.8998077593829721E-6</v>
      </c>
      <c r="AP21">
        <v>90.538231227470618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53582.724189477638</v>
      </c>
      <c r="AV21">
        <f t="shared" si="30"/>
        <v>904.53253333333328</v>
      </c>
      <c r="AW21">
        <f t="shared" si="31"/>
        <v>723.62602666666669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338</v>
      </c>
      <c r="BC21">
        <v>2</v>
      </c>
      <c r="BD21" t="b">
        <v>0</v>
      </c>
      <c r="BE21">
        <v>1750765383.849999</v>
      </c>
      <c r="BF21">
        <v>72.81832</v>
      </c>
      <c r="BG21">
        <v>74.996489999999994</v>
      </c>
      <c r="BH21">
        <v>24.862243333333328</v>
      </c>
      <c r="BI21">
        <v>19.53280333333333</v>
      </c>
      <c r="BJ21">
        <v>72.961606666666654</v>
      </c>
      <c r="BK21">
        <v>24.642230000000001</v>
      </c>
      <c r="BL21">
        <v>399.98956666666669</v>
      </c>
      <c r="BM21">
        <v>101.1664</v>
      </c>
      <c r="BN21">
        <v>0.1000294566666667</v>
      </c>
      <c r="BO21">
        <v>26.397526666666671</v>
      </c>
      <c r="BP21">
        <v>25.76701666666667</v>
      </c>
      <c r="BQ21">
        <v>999.9000000000002</v>
      </c>
      <c r="BR21">
        <v>0</v>
      </c>
      <c r="BS21">
        <v>0</v>
      </c>
      <c r="BT21">
        <v>9996.3333333333339</v>
      </c>
      <c r="BU21">
        <v>904.53253333333328</v>
      </c>
      <c r="BV21">
        <v>18.529599999999999</v>
      </c>
      <c r="BW21">
        <v>-2.1781683333333328</v>
      </c>
      <c r="BX21">
        <v>74.674916666666661</v>
      </c>
      <c r="BY21">
        <v>76.490569999999991</v>
      </c>
      <c r="BZ21">
        <v>5.3294473333333343</v>
      </c>
      <c r="CA21">
        <v>74.996489999999994</v>
      </c>
      <c r="CB21">
        <v>19.53280333333333</v>
      </c>
      <c r="CC21">
        <v>2.5152226666666668</v>
      </c>
      <c r="CD21">
        <v>1.9760629999999999</v>
      </c>
      <c r="CE21">
        <v>21.125353333333329</v>
      </c>
      <c r="CF21">
        <v>17.25382333333333</v>
      </c>
      <c r="CG21">
        <v>1750753677</v>
      </c>
      <c r="CH21" t="s">
        <v>339</v>
      </c>
      <c r="CI21">
        <v>1750753677</v>
      </c>
      <c r="CJ21">
        <v>1750753673.5</v>
      </c>
      <c r="CK21">
        <v>5</v>
      </c>
      <c r="CL21">
        <v>2.1520000000000001</v>
      </c>
      <c r="CM21">
        <v>-0.52400000000000002</v>
      </c>
      <c r="CN21">
        <v>3.0179999999999998</v>
      </c>
      <c r="CO21">
        <v>0.22</v>
      </c>
      <c r="CP21">
        <v>450</v>
      </c>
      <c r="CQ21">
        <v>19</v>
      </c>
      <c r="CR21">
        <v>0.26</v>
      </c>
      <c r="CS21">
        <v>0.17</v>
      </c>
      <c r="CT21">
        <v>-2.1738085365853661</v>
      </c>
      <c r="CU21">
        <v>-9.4062229965156202E-2</v>
      </c>
      <c r="CV21">
        <v>2.403304275783406E-2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5.3240529268292676</v>
      </c>
      <c r="DC21">
        <v>8.8225087108017783E-2</v>
      </c>
      <c r="DD21">
        <v>9.471818854332105E-3</v>
      </c>
      <c r="DE21">
        <v>1</v>
      </c>
      <c r="DF21">
        <v>2</v>
      </c>
      <c r="DG21">
        <v>2</v>
      </c>
      <c r="DH21" t="s">
        <v>340</v>
      </c>
      <c r="DI21">
        <v>3.0249799999999998</v>
      </c>
      <c r="DJ21">
        <v>2.6913900000000002</v>
      </c>
      <c r="DK21">
        <v>2.0440699999999999E-2</v>
      </c>
      <c r="DL21">
        <v>2.1082E-2</v>
      </c>
      <c r="DM21">
        <v>0.12303</v>
      </c>
      <c r="DN21">
        <v>0.10487200000000001</v>
      </c>
      <c r="DO21">
        <v>27386.400000000001</v>
      </c>
      <c r="DP21">
        <v>18350.7</v>
      </c>
      <c r="DQ21">
        <v>26517.9</v>
      </c>
      <c r="DR21">
        <v>17033.3</v>
      </c>
      <c r="DS21">
        <v>33055</v>
      </c>
      <c r="DT21">
        <v>19909.3</v>
      </c>
      <c r="DU21">
        <v>38629.199999999997</v>
      </c>
      <c r="DV21">
        <v>22572.3</v>
      </c>
      <c r="DW21">
        <v>1.8239000000000001</v>
      </c>
      <c r="DX21">
        <v>2.2251400000000001</v>
      </c>
      <c r="DY21">
        <v>8.2913000000000001E-2</v>
      </c>
      <c r="DZ21">
        <v>0</v>
      </c>
      <c r="EA21">
        <v>24.408000000000001</v>
      </c>
      <c r="EB21">
        <v>999.9</v>
      </c>
      <c r="EC21">
        <v>60.3</v>
      </c>
      <c r="ED21">
        <v>30.7</v>
      </c>
      <c r="EE21">
        <v>26.433700000000002</v>
      </c>
      <c r="EF21">
        <v>62.463700000000003</v>
      </c>
      <c r="EG21">
        <v>35.0321</v>
      </c>
      <c r="EH21">
        <v>1</v>
      </c>
      <c r="EI21">
        <v>-0.102591</v>
      </c>
      <c r="EJ21">
        <v>-0.63564299999999996</v>
      </c>
      <c r="EK21">
        <v>20.328900000000001</v>
      </c>
      <c r="EL21">
        <v>5.2515499999999999</v>
      </c>
      <c r="EM21">
        <v>11.962</v>
      </c>
      <c r="EN21">
        <v>4.98996</v>
      </c>
      <c r="EO21">
        <v>3.2919</v>
      </c>
      <c r="EP21">
        <v>9999</v>
      </c>
      <c r="EQ21">
        <v>9999</v>
      </c>
      <c r="ER21">
        <v>9999</v>
      </c>
      <c r="ES21">
        <v>999.9</v>
      </c>
      <c r="ET21">
        <v>4.9726800000000004</v>
      </c>
      <c r="EU21">
        <v>1.8719300000000001</v>
      </c>
      <c r="EV21">
        <v>1.8721699999999999</v>
      </c>
      <c r="EW21">
        <v>1.8771500000000001</v>
      </c>
      <c r="EX21">
        <v>1.87134</v>
      </c>
      <c r="EY21">
        <v>1.87212</v>
      </c>
      <c r="EZ21">
        <v>1.8717999999999999</v>
      </c>
      <c r="FA21">
        <v>1.8686400000000001</v>
      </c>
      <c r="FB21">
        <v>0</v>
      </c>
      <c r="FC21">
        <v>0</v>
      </c>
      <c r="FD21">
        <v>0</v>
      </c>
      <c r="FE21">
        <v>0</v>
      </c>
      <c r="FF21" t="s">
        <v>341</v>
      </c>
      <c r="FG21" t="s">
        <v>342</v>
      </c>
      <c r="FH21" t="s">
        <v>343</v>
      </c>
      <c r="FI21" t="s">
        <v>343</v>
      </c>
      <c r="FJ21" t="s">
        <v>343</v>
      </c>
      <c r="FK21" t="s">
        <v>343</v>
      </c>
      <c r="FL21">
        <v>0</v>
      </c>
      <c r="FM21">
        <v>100</v>
      </c>
      <c r="FN21">
        <v>100</v>
      </c>
      <c r="FO21">
        <v>-0.14299999999999999</v>
      </c>
      <c r="FP21">
        <v>0.22</v>
      </c>
      <c r="FQ21">
        <v>-0.71234261683338174</v>
      </c>
      <c r="FR21">
        <v>7.6898218637449396E-3</v>
      </c>
      <c r="FS21">
        <v>1.5097418776848419E-6</v>
      </c>
      <c r="FT21">
        <v>-9.8458676114205118E-11</v>
      </c>
      <c r="FU21">
        <v>0.22001999999999461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195.2</v>
      </c>
      <c r="GD21">
        <v>195.3</v>
      </c>
      <c r="GE21">
        <v>0.3125</v>
      </c>
      <c r="GF21">
        <v>2.6831100000000001</v>
      </c>
      <c r="GG21">
        <v>1.79932</v>
      </c>
      <c r="GH21">
        <v>2.3803700000000001</v>
      </c>
      <c r="GI21">
        <v>1.5979000000000001</v>
      </c>
      <c r="GJ21">
        <v>2.3974600000000001</v>
      </c>
      <c r="GK21">
        <v>34.0092</v>
      </c>
      <c r="GL21">
        <v>24.157499999999999</v>
      </c>
      <c r="GM21">
        <v>18</v>
      </c>
      <c r="GN21">
        <v>365.745</v>
      </c>
      <c r="GO21">
        <v>679.02499999999998</v>
      </c>
      <c r="GP21">
        <v>25.83</v>
      </c>
      <c r="GQ21">
        <v>25.809899999999999</v>
      </c>
      <c r="GR21">
        <v>30.0001</v>
      </c>
      <c r="GS21">
        <v>25.739599999999999</v>
      </c>
      <c r="GT21">
        <v>25.756</v>
      </c>
      <c r="GU21">
        <v>6.2170100000000001</v>
      </c>
      <c r="GV21">
        <v>31.972000000000001</v>
      </c>
      <c r="GW21">
        <v>0</v>
      </c>
      <c r="GX21">
        <v>25.83</v>
      </c>
      <c r="GY21">
        <v>75</v>
      </c>
      <c r="GZ21">
        <v>19.5</v>
      </c>
      <c r="HA21">
        <v>100.764</v>
      </c>
      <c r="HB21">
        <v>70.456000000000003</v>
      </c>
    </row>
    <row r="22" spans="1:210" x14ac:dyDescent="0.3">
      <c r="A22">
        <v>6</v>
      </c>
      <c r="B22">
        <v>1750765572.0999999</v>
      </c>
      <c r="C22">
        <v>902.59999990463257</v>
      </c>
      <c r="D22" t="s">
        <v>352</v>
      </c>
      <c r="E22" t="s">
        <v>353</v>
      </c>
      <c r="F22">
        <v>15</v>
      </c>
      <c r="G22">
        <v>1750765564.349999</v>
      </c>
      <c r="H22">
        <f t="shared" si="0"/>
        <v>2.446956203634412E-3</v>
      </c>
      <c r="I22">
        <f t="shared" si="1"/>
        <v>2.4469562036344121</v>
      </c>
      <c r="J22">
        <f t="shared" si="2"/>
        <v>19.61434705256309</v>
      </c>
      <c r="K22">
        <f t="shared" si="3"/>
        <v>403.6379</v>
      </c>
      <c r="L22">
        <f t="shared" si="4"/>
        <v>295.02185774481347</v>
      </c>
      <c r="M22">
        <f t="shared" si="5"/>
        <v>29.874223772641166</v>
      </c>
      <c r="N22">
        <f t="shared" si="6"/>
        <v>40.872798510234944</v>
      </c>
      <c r="O22">
        <f t="shared" si="7"/>
        <v>0.32016857961133327</v>
      </c>
      <c r="P22">
        <f t="shared" si="8"/>
        <v>2.4139512123808999</v>
      </c>
      <c r="Q22">
        <f t="shared" si="9"/>
        <v>0.29862106750090961</v>
      </c>
      <c r="R22">
        <f t="shared" si="10"/>
        <v>0.18845413202125166</v>
      </c>
      <c r="S22">
        <f t="shared" si="11"/>
        <v>171.83297266666665</v>
      </c>
      <c r="T22">
        <f t="shared" si="12"/>
        <v>26.84508551887264</v>
      </c>
      <c r="U22">
        <f t="shared" si="13"/>
        <v>25.749046666666668</v>
      </c>
      <c r="V22">
        <f t="shared" si="14"/>
        <v>3.3244753473919162</v>
      </c>
      <c r="W22">
        <f t="shared" si="15"/>
        <v>72.925871492348563</v>
      </c>
      <c r="X22">
        <f t="shared" si="16"/>
        <v>2.5186634540606319</v>
      </c>
      <c r="Y22">
        <f t="shared" si="17"/>
        <v>3.4537310319629051</v>
      </c>
      <c r="Z22">
        <f t="shared" si="18"/>
        <v>0.80581189333128433</v>
      </c>
      <c r="AA22">
        <f t="shared" si="19"/>
        <v>-107.91076858027756</v>
      </c>
      <c r="AB22">
        <f t="shared" si="20"/>
        <v>83.933964006397474</v>
      </c>
      <c r="AC22">
        <f t="shared" si="21"/>
        <v>7.4344035672445665</v>
      </c>
      <c r="AD22">
        <f t="shared" si="22"/>
        <v>155.29057166003113</v>
      </c>
      <c r="AE22">
        <f t="shared" si="23"/>
        <v>19.61434705256309</v>
      </c>
      <c r="AF22">
        <f t="shared" si="24"/>
        <v>2.4469562036344121</v>
      </c>
      <c r="AG22">
        <f t="shared" si="25"/>
        <v>19.605084929187178</v>
      </c>
      <c r="AH22">
        <v>458.94980538077749</v>
      </c>
      <c r="AI22">
        <v>413.95664242424232</v>
      </c>
      <c r="AJ22">
        <v>3.9651065763308268E-4</v>
      </c>
      <c r="AK22">
        <v>83.968266766758106</v>
      </c>
      <c r="AL22">
        <f t="shared" si="26"/>
        <v>2.4462017283436479</v>
      </c>
      <c r="AM22">
        <v>19.502673549334659</v>
      </c>
      <c r="AN22">
        <v>24.86984345864661</v>
      </c>
      <c r="AO22">
        <v>5.7352664351243881E-7</v>
      </c>
      <c r="AP22">
        <v>90.538231227470618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53598.868474910036</v>
      </c>
      <c r="AV22">
        <f t="shared" si="30"/>
        <v>904.38406666666663</v>
      </c>
      <c r="AW22">
        <f t="shared" si="31"/>
        <v>723.50725333333332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338</v>
      </c>
      <c r="BC22">
        <v>2</v>
      </c>
      <c r="BD22" t="b">
        <v>0</v>
      </c>
      <c r="BE22">
        <v>1750765564.349999</v>
      </c>
      <c r="BF22">
        <v>403.6379</v>
      </c>
      <c r="BG22">
        <v>449.99336666666659</v>
      </c>
      <c r="BH22">
        <v>24.872973333333331</v>
      </c>
      <c r="BI22">
        <v>19.504159999999999</v>
      </c>
      <c r="BJ22">
        <v>401.03</v>
      </c>
      <c r="BK22">
        <v>24.652950000000001</v>
      </c>
      <c r="BL22">
        <v>399.99226666666658</v>
      </c>
      <c r="BM22">
        <v>101.1610666666667</v>
      </c>
      <c r="BN22">
        <v>9.9985653333333355E-2</v>
      </c>
      <c r="BO22">
        <v>26.393993333333331</v>
      </c>
      <c r="BP22">
        <v>25.749046666666668</v>
      </c>
      <c r="BQ22">
        <v>999.9000000000002</v>
      </c>
      <c r="BR22">
        <v>0</v>
      </c>
      <c r="BS22">
        <v>0</v>
      </c>
      <c r="BT22">
        <v>9999.9</v>
      </c>
      <c r="BU22">
        <v>904.38406666666663</v>
      </c>
      <c r="BV22">
        <v>18.529599999999999</v>
      </c>
      <c r="BW22">
        <v>-46.355406666666681</v>
      </c>
      <c r="BX22">
        <v>413.93366666666668</v>
      </c>
      <c r="BY22">
        <v>458.9446333333334</v>
      </c>
      <c r="BZ22">
        <v>5.3688090000000006</v>
      </c>
      <c r="CA22">
        <v>449.99336666666659</v>
      </c>
      <c r="CB22">
        <v>19.504159999999999</v>
      </c>
      <c r="CC22">
        <v>2.516175333333333</v>
      </c>
      <c r="CD22">
        <v>1.973061333333334</v>
      </c>
      <c r="CE22">
        <v>21.131509999999999</v>
      </c>
      <c r="CF22">
        <v>17.229800000000001</v>
      </c>
      <c r="CG22">
        <v>1750753677</v>
      </c>
      <c r="CH22" t="s">
        <v>339</v>
      </c>
      <c r="CI22">
        <v>1750753677</v>
      </c>
      <c r="CJ22">
        <v>1750753673.5</v>
      </c>
      <c r="CK22">
        <v>5</v>
      </c>
      <c r="CL22">
        <v>2.1520000000000001</v>
      </c>
      <c r="CM22">
        <v>-0.52400000000000002</v>
      </c>
      <c r="CN22">
        <v>3.0179999999999998</v>
      </c>
      <c r="CO22">
        <v>0.22</v>
      </c>
      <c r="CP22">
        <v>450</v>
      </c>
      <c r="CQ22">
        <v>19</v>
      </c>
      <c r="CR22">
        <v>0.26</v>
      </c>
      <c r="CS22">
        <v>0.17</v>
      </c>
      <c r="CT22">
        <v>-46.368597560975608</v>
      </c>
      <c r="CU22">
        <v>9.1202090592367752E-2</v>
      </c>
      <c r="CV22">
        <v>3.8711808797738091E-2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5.3664575609756104</v>
      </c>
      <c r="DC22">
        <v>4.2722299651572947E-2</v>
      </c>
      <c r="DD22">
        <v>4.7084779688204084E-3</v>
      </c>
      <c r="DE22">
        <v>1</v>
      </c>
      <c r="DF22">
        <v>2</v>
      </c>
      <c r="DG22">
        <v>2</v>
      </c>
      <c r="DH22" t="s">
        <v>340</v>
      </c>
      <c r="DI22">
        <v>3.02474</v>
      </c>
      <c r="DJ22">
        <v>2.6912099999999999</v>
      </c>
      <c r="DK22">
        <v>9.3816899999999995E-2</v>
      </c>
      <c r="DL22">
        <v>0.102811</v>
      </c>
      <c r="DM22">
        <v>0.12300999999999999</v>
      </c>
      <c r="DN22">
        <v>0.104711</v>
      </c>
      <c r="DO22">
        <v>25335.599999999999</v>
      </c>
      <c r="DP22">
        <v>16819.2</v>
      </c>
      <c r="DQ22">
        <v>26518.799999999999</v>
      </c>
      <c r="DR22">
        <v>17034.099999999999</v>
      </c>
      <c r="DS22">
        <v>33058.699999999997</v>
      </c>
      <c r="DT22">
        <v>19915.099999999999</v>
      </c>
      <c r="DU22">
        <v>38630.400000000001</v>
      </c>
      <c r="DV22">
        <v>22573.3</v>
      </c>
      <c r="DW22">
        <v>1.8235399999999999</v>
      </c>
      <c r="DX22">
        <v>2.2263999999999999</v>
      </c>
      <c r="DY22">
        <v>8.2260399999999997E-2</v>
      </c>
      <c r="DZ22">
        <v>0</v>
      </c>
      <c r="EA22">
        <v>24.409800000000001</v>
      </c>
      <c r="EB22">
        <v>999.9</v>
      </c>
      <c r="EC22">
        <v>60.2</v>
      </c>
      <c r="ED22">
        <v>30.7</v>
      </c>
      <c r="EE22">
        <v>26.391200000000001</v>
      </c>
      <c r="EF22">
        <v>62.483699999999999</v>
      </c>
      <c r="EG22">
        <v>34.855800000000002</v>
      </c>
      <c r="EH22">
        <v>1</v>
      </c>
      <c r="EI22">
        <v>-0.102089</v>
      </c>
      <c r="EJ22">
        <v>-0.61755800000000005</v>
      </c>
      <c r="EK22">
        <v>20.328800000000001</v>
      </c>
      <c r="EL22">
        <v>5.2507099999999998</v>
      </c>
      <c r="EM22">
        <v>11.962</v>
      </c>
      <c r="EN22">
        <v>4.9905999999999997</v>
      </c>
      <c r="EO22">
        <v>3.2918599999999998</v>
      </c>
      <c r="EP22">
        <v>9999</v>
      </c>
      <c r="EQ22">
        <v>9999</v>
      </c>
      <c r="ER22">
        <v>9999</v>
      </c>
      <c r="ES22">
        <v>999.9</v>
      </c>
      <c r="ET22">
        <v>4.9726900000000001</v>
      </c>
      <c r="EU22">
        <v>1.8718999999999999</v>
      </c>
      <c r="EV22">
        <v>1.8721699999999999</v>
      </c>
      <c r="EW22">
        <v>1.8771599999999999</v>
      </c>
      <c r="EX22">
        <v>1.87134</v>
      </c>
      <c r="EY22">
        <v>1.8721300000000001</v>
      </c>
      <c r="EZ22">
        <v>1.8717999999999999</v>
      </c>
      <c r="FA22">
        <v>1.8686499999999999</v>
      </c>
      <c r="FB22">
        <v>0</v>
      </c>
      <c r="FC22">
        <v>0</v>
      </c>
      <c r="FD22">
        <v>0</v>
      </c>
      <c r="FE22">
        <v>0</v>
      </c>
      <c r="FF22" t="s">
        <v>341</v>
      </c>
      <c r="FG22" t="s">
        <v>342</v>
      </c>
      <c r="FH22" t="s">
        <v>343</v>
      </c>
      <c r="FI22" t="s">
        <v>343</v>
      </c>
      <c r="FJ22" t="s">
        <v>343</v>
      </c>
      <c r="FK22" t="s">
        <v>343</v>
      </c>
      <c r="FL22">
        <v>0</v>
      </c>
      <c r="FM22">
        <v>100</v>
      </c>
      <c r="FN22">
        <v>100</v>
      </c>
      <c r="FO22">
        <v>2.6080000000000001</v>
      </c>
      <c r="FP22">
        <v>0.22</v>
      </c>
      <c r="FQ22">
        <v>-0.71234261683338174</v>
      </c>
      <c r="FR22">
        <v>7.6898218637449396E-3</v>
      </c>
      <c r="FS22">
        <v>1.5097418776848419E-6</v>
      </c>
      <c r="FT22">
        <v>-9.8458676114205118E-11</v>
      </c>
      <c r="FU22">
        <v>0.22001999999999461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198.3</v>
      </c>
      <c r="GD22">
        <v>198.3</v>
      </c>
      <c r="GE22">
        <v>1.10229</v>
      </c>
      <c r="GF22">
        <v>2.6452599999999999</v>
      </c>
      <c r="GG22">
        <v>1.79932</v>
      </c>
      <c r="GH22">
        <v>2.3803700000000001</v>
      </c>
      <c r="GI22">
        <v>1.5979000000000001</v>
      </c>
      <c r="GJ22">
        <v>2.4316399999999998</v>
      </c>
      <c r="GK22">
        <v>33.986499999999999</v>
      </c>
      <c r="GL22">
        <v>24.157499999999999</v>
      </c>
      <c r="GM22">
        <v>18</v>
      </c>
      <c r="GN22">
        <v>365.64800000000002</v>
      </c>
      <c r="GO22">
        <v>680.26700000000005</v>
      </c>
      <c r="GP22">
        <v>25.829899999999999</v>
      </c>
      <c r="GQ22">
        <v>25.821400000000001</v>
      </c>
      <c r="GR22">
        <v>30.0001</v>
      </c>
      <c r="GS22">
        <v>25.752199999999998</v>
      </c>
      <c r="GT22">
        <v>25.7669</v>
      </c>
      <c r="GU22">
        <v>22.042300000000001</v>
      </c>
      <c r="GV22">
        <v>31.972000000000001</v>
      </c>
      <c r="GW22">
        <v>0</v>
      </c>
      <c r="GX22">
        <v>25.83</v>
      </c>
      <c r="GY22">
        <v>450</v>
      </c>
      <c r="GZ22">
        <v>19.5</v>
      </c>
      <c r="HA22">
        <v>100.767</v>
      </c>
      <c r="HB22">
        <v>70.459199999999996</v>
      </c>
    </row>
    <row r="23" spans="1:210" x14ac:dyDescent="0.3">
      <c r="A23">
        <v>7</v>
      </c>
      <c r="B23">
        <v>1750765752.5999999</v>
      </c>
      <c r="C23">
        <v>1083.099999904633</v>
      </c>
      <c r="D23" t="s">
        <v>354</v>
      </c>
      <c r="E23" t="s">
        <v>355</v>
      </c>
      <c r="F23">
        <v>15</v>
      </c>
      <c r="G23">
        <v>1750765744.849999</v>
      </c>
      <c r="H23">
        <f t="shared" si="0"/>
        <v>2.4367618212589345E-3</v>
      </c>
      <c r="I23">
        <f t="shared" si="1"/>
        <v>2.4367618212589344</v>
      </c>
      <c r="J23">
        <f t="shared" si="2"/>
        <v>19.517777916982791</v>
      </c>
      <c r="K23">
        <f t="shared" si="3"/>
        <v>403.86876666666672</v>
      </c>
      <c r="L23">
        <f t="shared" si="4"/>
        <v>294.63591804068119</v>
      </c>
      <c r="M23">
        <f t="shared" si="5"/>
        <v>29.833967591361027</v>
      </c>
      <c r="N23">
        <f t="shared" si="6"/>
        <v>40.894564980474122</v>
      </c>
      <c r="O23">
        <f t="shared" si="7"/>
        <v>0.31659418472698997</v>
      </c>
      <c r="P23">
        <f t="shared" si="8"/>
        <v>2.4140962502505414</v>
      </c>
      <c r="Q23">
        <f t="shared" si="9"/>
        <v>0.29550942995007501</v>
      </c>
      <c r="R23">
        <f t="shared" si="10"/>
        <v>0.18647158750348591</v>
      </c>
      <c r="S23">
        <f t="shared" si="11"/>
        <v>171.81167366666665</v>
      </c>
      <c r="T23">
        <f t="shared" si="12"/>
        <v>26.843820990752569</v>
      </c>
      <c r="U23">
        <f t="shared" si="13"/>
        <v>25.740559999999999</v>
      </c>
      <c r="V23">
        <f t="shared" si="14"/>
        <v>3.3228030734400678</v>
      </c>
      <c r="W23">
        <f t="shared" si="15"/>
        <v>72.748244356277098</v>
      </c>
      <c r="X23">
        <f t="shared" si="16"/>
        <v>2.5118967773166556</v>
      </c>
      <c r="Y23">
        <f t="shared" si="17"/>
        <v>3.4528624017576259</v>
      </c>
      <c r="Z23">
        <f t="shared" si="18"/>
        <v>0.81090629612341214</v>
      </c>
      <c r="AA23">
        <f t="shared" si="19"/>
        <v>-107.46119631751901</v>
      </c>
      <c r="AB23">
        <f t="shared" si="20"/>
        <v>84.488668609933782</v>
      </c>
      <c r="AC23">
        <f t="shared" si="21"/>
        <v>7.4826082043871853</v>
      </c>
      <c r="AD23">
        <f t="shared" si="22"/>
        <v>156.3217541634686</v>
      </c>
      <c r="AE23">
        <f t="shared" si="23"/>
        <v>19.517777916982791</v>
      </c>
      <c r="AF23">
        <f t="shared" si="24"/>
        <v>2.4367618212589344</v>
      </c>
      <c r="AG23">
        <f t="shared" si="25"/>
        <v>19.521999351126311</v>
      </c>
      <c r="AH23">
        <v>458.97076317874109</v>
      </c>
      <c r="AI23">
        <v>414.1684727272725</v>
      </c>
      <c r="AJ23">
        <v>2.4419316381702711E-5</v>
      </c>
      <c r="AK23">
        <v>83.968266766758106</v>
      </c>
      <c r="AL23">
        <f t="shared" si="26"/>
        <v>2.4340459366461848</v>
      </c>
      <c r="AM23">
        <v>19.46081514106487</v>
      </c>
      <c r="AN23">
        <v>24.802290526315769</v>
      </c>
      <c r="AO23">
        <v>-5.9738326761566999E-7</v>
      </c>
      <c r="AP23">
        <v>90.538231227470618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53604.401873824332</v>
      </c>
      <c r="AV23">
        <f t="shared" si="30"/>
        <v>904.27196666666657</v>
      </c>
      <c r="AW23">
        <f t="shared" si="31"/>
        <v>723.41757333333328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338</v>
      </c>
      <c r="BC23">
        <v>2</v>
      </c>
      <c r="BD23" t="b">
        <v>0</v>
      </c>
      <c r="BE23">
        <v>1750765744.849999</v>
      </c>
      <c r="BF23">
        <v>403.86876666666672</v>
      </c>
      <c r="BG23">
        <v>450.00409999999999</v>
      </c>
      <c r="BH23">
        <v>24.807126666666669</v>
      </c>
      <c r="BI23">
        <v>19.45972333333334</v>
      </c>
      <c r="BJ23">
        <v>401.25876666666682</v>
      </c>
      <c r="BK23">
        <v>24.58709666666666</v>
      </c>
      <c r="BL23">
        <v>399.94766666666658</v>
      </c>
      <c r="BM23">
        <v>101.15713333333341</v>
      </c>
      <c r="BN23">
        <v>9.9929246666666666E-2</v>
      </c>
      <c r="BO23">
        <v>26.38973</v>
      </c>
      <c r="BP23">
        <v>25.740559999999999</v>
      </c>
      <c r="BQ23">
        <v>999.9000000000002</v>
      </c>
      <c r="BR23">
        <v>0</v>
      </c>
      <c r="BS23">
        <v>0</v>
      </c>
      <c r="BT23">
        <v>10001.23333333333</v>
      </c>
      <c r="BU23">
        <v>904.27196666666657</v>
      </c>
      <c r="BV23">
        <v>18.529599999999999</v>
      </c>
      <c r="BW23">
        <v>-46.135316666666668</v>
      </c>
      <c r="BX23">
        <v>414.14243333333337</v>
      </c>
      <c r="BY23">
        <v>458.93483333333342</v>
      </c>
      <c r="BZ23">
        <v>5.3473989999999993</v>
      </c>
      <c r="CA23">
        <v>450.00409999999999</v>
      </c>
      <c r="CB23">
        <v>19.45972333333334</v>
      </c>
      <c r="CC23">
        <v>2.5094176666666659</v>
      </c>
      <c r="CD23">
        <v>1.9684893333333331</v>
      </c>
      <c r="CE23">
        <v>21.087716666666669</v>
      </c>
      <c r="CF23">
        <v>17.19313</v>
      </c>
      <c r="CG23">
        <v>1750753677</v>
      </c>
      <c r="CH23" t="s">
        <v>339</v>
      </c>
      <c r="CI23">
        <v>1750753677</v>
      </c>
      <c r="CJ23">
        <v>1750753673.5</v>
      </c>
      <c r="CK23">
        <v>5</v>
      </c>
      <c r="CL23">
        <v>2.1520000000000001</v>
      </c>
      <c r="CM23">
        <v>-0.52400000000000002</v>
      </c>
      <c r="CN23">
        <v>3.0179999999999998</v>
      </c>
      <c r="CO23">
        <v>0.22</v>
      </c>
      <c r="CP23">
        <v>450</v>
      </c>
      <c r="CQ23">
        <v>19</v>
      </c>
      <c r="CR23">
        <v>0.26</v>
      </c>
      <c r="CS23">
        <v>0.17</v>
      </c>
      <c r="CT23">
        <v>-46.154175000000002</v>
      </c>
      <c r="CU23">
        <v>0.2262934333959383</v>
      </c>
      <c r="CV23">
        <v>3.2224709075491208E-2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5.3481967499999996</v>
      </c>
      <c r="DC23">
        <v>-1.109437148218456E-2</v>
      </c>
      <c r="DD23">
        <v>1.752333283796206E-3</v>
      </c>
      <c r="DE23">
        <v>1</v>
      </c>
      <c r="DF23">
        <v>2</v>
      </c>
      <c r="DG23">
        <v>2</v>
      </c>
      <c r="DH23" t="s">
        <v>340</v>
      </c>
      <c r="DI23">
        <v>3.0248599999999999</v>
      </c>
      <c r="DJ23">
        <v>2.6913800000000001</v>
      </c>
      <c r="DK23">
        <v>9.3848399999999998E-2</v>
      </c>
      <c r="DL23">
        <v>0.10280599999999999</v>
      </c>
      <c r="DM23">
        <v>0.12277399999999999</v>
      </c>
      <c r="DN23">
        <v>0.10455399999999999</v>
      </c>
      <c r="DO23">
        <v>25333.4</v>
      </c>
      <c r="DP23">
        <v>16819.5</v>
      </c>
      <c r="DQ23">
        <v>26517.5</v>
      </c>
      <c r="DR23">
        <v>17034.400000000001</v>
      </c>
      <c r="DS23">
        <v>33066.699999999997</v>
      </c>
      <c r="DT23">
        <v>19919</v>
      </c>
      <c r="DU23">
        <v>38628.9</v>
      </c>
      <c r="DV23">
        <v>22573.7</v>
      </c>
      <c r="DW23">
        <v>1.8236600000000001</v>
      </c>
      <c r="DX23">
        <v>2.22614</v>
      </c>
      <c r="DY23">
        <v>8.2126299999999999E-2</v>
      </c>
      <c r="DZ23">
        <v>0</v>
      </c>
      <c r="EA23">
        <v>24.3934</v>
      </c>
      <c r="EB23">
        <v>999.9</v>
      </c>
      <c r="EC23">
        <v>60.1</v>
      </c>
      <c r="ED23">
        <v>30.7</v>
      </c>
      <c r="EE23">
        <v>26.35</v>
      </c>
      <c r="EF23">
        <v>62.633699999999997</v>
      </c>
      <c r="EG23">
        <v>34.935899999999997</v>
      </c>
      <c r="EH23">
        <v>1</v>
      </c>
      <c r="EI23">
        <v>-0.100939</v>
      </c>
      <c r="EJ23">
        <v>-0.62549699999999997</v>
      </c>
      <c r="EK23">
        <v>20.328800000000001</v>
      </c>
      <c r="EL23">
        <v>5.2520300000000004</v>
      </c>
      <c r="EM23">
        <v>11.962</v>
      </c>
      <c r="EN23">
        <v>4.9897999999999998</v>
      </c>
      <c r="EO23">
        <v>3.2918599999999998</v>
      </c>
      <c r="EP23">
        <v>9999</v>
      </c>
      <c r="EQ23">
        <v>9999</v>
      </c>
      <c r="ER23">
        <v>9999</v>
      </c>
      <c r="ES23">
        <v>999.9</v>
      </c>
      <c r="ET23">
        <v>4.9726600000000003</v>
      </c>
      <c r="EU23">
        <v>1.8719399999999999</v>
      </c>
      <c r="EV23">
        <v>1.8721699999999999</v>
      </c>
      <c r="EW23">
        <v>1.8771500000000001</v>
      </c>
      <c r="EX23">
        <v>1.8713500000000001</v>
      </c>
      <c r="EY23">
        <v>1.8721000000000001</v>
      </c>
      <c r="EZ23">
        <v>1.8717999999999999</v>
      </c>
      <c r="FA23">
        <v>1.8686100000000001</v>
      </c>
      <c r="FB23">
        <v>0</v>
      </c>
      <c r="FC23">
        <v>0</v>
      </c>
      <c r="FD23">
        <v>0</v>
      </c>
      <c r="FE23">
        <v>0</v>
      </c>
      <c r="FF23" t="s">
        <v>341</v>
      </c>
      <c r="FG23" t="s">
        <v>342</v>
      </c>
      <c r="FH23" t="s">
        <v>343</v>
      </c>
      <c r="FI23" t="s">
        <v>343</v>
      </c>
      <c r="FJ23" t="s">
        <v>343</v>
      </c>
      <c r="FK23" t="s">
        <v>343</v>
      </c>
      <c r="FL23">
        <v>0</v>
      </c>
      <c r="FM23">
        <v>100</v>
      </c>
      <c r="FN23">
        <v>100</v>
      </c>
      <c r="FO23">
        <v>2.61</v>
      </c>
      <c r="FP23">
        <v>0.22</v>
      </c>
      <c r="FQ23">
        <v>-0.71234261683338174</v>
      </c>
      <c r="FR23">
        <v>7.6898218637449396E-3</v>
      </c>
      <c r="FS23">
        <v>1.5097418776848419E-6</v>
      </c>
      <c r="FT23">
        <v>-9.8458676114205118E-11</v>
      </c>
      <c r="FU23">
        <v>0.22001999999999461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201.3</v>
      </c>
      <c r="GD23">
        <v>201.3</v>
      </c>
      <c r="GE23">
        <v>1.10229</v>
      </c>
      <c r="GF23">
        <v>2.63428</v>
      </c>
      <c r="GG23">
        <v>1.7981</v>
      </c>
      <c r="GH23">
        <v>2.3791500000000001</v>
      </c>
      <c r="GI23">
        <v>1.5979000000000001</v>
      </c>
      <c r="GJ23">
        <v>2.49878</v>
      </c>
      <c r="GK23">
        <v>34.0092</v>
      </c>
      <c r="GL23">
        <v>24.1663</v>
      </c>
      <c r="GM23">
        <v>18</v>
      </c>
      <c r="GN23">
        <v>365.798</v>
      </c>
      <c r="GO23">
        <v>680.21100000000001</v>
      </c>
      <c r="GP23">
        <v>25.830300000000001</v>
      </c>
      <c r="GQ23">
        <v>25.835999999999999</v>
      </c>
      <c r="GR23">
        <v>30.0001</v>
      </c>
      <c r="GS23">
        <v>25.7654</v>
      </c>
      <c r="GT23">
        <v>25.779900000000001</v>
      </c>
      <c r="GU23">
        <v>22.040099999999999</v>
      </c>
      <c r="GV23">
        <v>31.972000000000001</v>
      </c>
      <c r="GW23">
        <v>0</v>
      </c>
      <c r="GX23">
        <v>25.83</v>
      </c>
      <c r="GY23">
        <v>450</v>
      </c>
      <c r="GZ23">
        <v>19.5</v>
      </c>
      <c r="HA23">
        <v>100.76300000000001</v>
      </c>
      <c r="HB23">
        <v>70.460499999999996</v>
      </c>
    </row>
    <row r="24" spans="1:210" x14ac:dyDescent="0.3">
      <c r="A24">
        <v>8</v>
      </c>
      <c r="B24">
        <v>1750765933.0999999</v>
      </c>
      <c r="C24">
        <v>1263.599999904633</v>
      </c>
      <c r="D24" t="s">
        <v>356</v>
      </c>
      <c r="E24" t="s">
        <v>357</v>
      </c>
      <c r="F24">
        <v>15</v>
      </c>
      <c r="G24">
        <v>1750765925.349999</v>
      </c>
      <c r="H24">
        <f t="shared" si="0"/>
        <v>2.3874933887479532E-3</v>
      </c>
      <c r="I24">
        <f t="shared" si="1"/>
        <v>2.387493388747953</v>
      </c>
      <c r="J24">
        <f t="shared" si="2"/>
        <v>19.327887886457724</v>
      </c>
      <c r="K24">
        <f t="shared" si="3"/>
        <v>404.3537</v>
      </c>
      <c r="L24">
        <f t="shared" si="4"/>
        <v>292.16711758058443</v>
      </c>
      <c r="M24">
        <f t="shared" si="5"/>
        <v>29.58436944593905</v>
      </c>
      <c r="N24">
        <f t="shared" si="6"/>
        <v>40.944201204753789</v>
      </c>
      <c r="O24">
        <f t="shared" si="7"/>
        <v>0.30441879524092419</v>
      </c>
      <c r="P24">
        <f t="shared" si="8"/>
        <v>2.4135882223669518</v>
      </c>
      <c r="Q24">
        <f t="shared" si="9"/>
        <v>0.28486749273701845</v>
      </c>
      <c r="R24">
        <f t="shared" si="10"/>
        <v>0.1796949053554405</v>
      </c>
      <c r="S24">
        <f t="shared" si="11"/>
        <v>171.79219233333333</v>
      </c>
      <c r="T24">
        <f t="shared" si="12"/>
        <v>26.85860308349854</v>
      </c>
      <c r="U24">
        <f t="shared" si="13"/>
        <v>25.74778666666667</v>
      </c>
      <c r="V24">
        <f t="shared" si="14"/>
        <v>3.3242270214509788</v>
      </c>
      <c r="W24">
        <f t="shared" si="15"/>
        <v>72.405276659479185</v>
      </c>
      <c r="X24">
        <f t="shared" si="16"/>
        <v>2.4999803312009035</v>
      </c>
      <c r="Y24">
        <f t="shared" si="17"/>
        <v>3.4527598630114618</v>
      </c>
      <c r="Z24">
        <f t="shared" si="18"/>
        <v>0.82424669025007535</v>
      </c>
      <c r="AA24">
        <f t="shared" si="19"/>
        <v>-105.28845844378473</v>
      </c>
      <c r="AB24">
        <f t="shared" si="20"/>
        <v>83.465050446588378</v>
      </c>
      <c r="AC24">
        <f t="shared" si="21"/>
        <v>7.3937580708787438</v>
      </c>
      <c r="AD24">
        <f t="shared" si="22"/>
        <v>157.36254240701572</v>
      </c>
      <c r="AE24">
        <f t="shared" si="23"/>
        <v>19.327887886457724</v>
      </c>
      <c r="AF24">
        <f t="shared" si="24"/>
        <v>2.387493388747953</v>
      </c>
      <c r="AG24">
        <f t="shared" si="25"/>
        <v>19.333913463423968</v>
      </c>
      <c r="AH24">
        <v>458.95213526302712</v>
      </c>
      <c r="AI24">
        <v>414.58944242424252</v>
      </c>
      <c r="AJ24">
        <v>-1.054029802563843E-4</v>
      </c>
      <c r="AK24">
        <v>83.968266766758106</v>
      </c>
      <c r="AL24">
        <f t="shared" si="26"/>
        <v>2.3839388227040534</v>
      </c>
      <c r="AM24">
        <v>19.447870269918731</v>
      </c>
      <c r="AN24">
        <v>24.67928721804509</v>
      </c>
      <c r="AO24">
        <v>-1.179862676957477E-7</v>
      </c>
      <c r="AP24">
        <v>90.538231227470618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53587.51285575299</v>
      </c>
      <c r="AV24">
        <f t="shared" si="30"/>
        <v>904.16943333333325</v>
      </c>
      <c r="AW24">
        <f t="shared" si="31"/>
        <v>723.33554666666669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338</v>
      </c>
      <c r="BC24">
        <v>2</v>
      </c>
      <c r="BD24" t="b">
        <v>0</v>
      </c>
      <c r="BE24">
        <v>1750765925.349999</v>
      </c>
      <c r="BF24">
        <v>404.3537</v>
      </c>
      <c r="BG24">
        <v>450.01296666666678</v>
      </c>
      <c r="BH24">
        <v>24.689119999999999</v>
      </c>
      <c r="BI24">
        <v>19.449956666666669</v>
      </c>
      <c r="BJ24">
        <v>401.73939999999999</v>
      </c>
      <c r="BK24">
        <v>24.46910333333334</v>
      </c>
      <c r="BL24">
        <v>400.00536666666648</v>
      </c>
      <c r="BM24">
        <v>101.1584</v>
      </c>
      <c r="BN24">
        <v>9.9981473333333334E-2</v>
      </c>
      <c r="BO24">
        <v>26.389226666666659</v>
      </c>
      <c r="BP24">
        <v>25.74778666666667</v>
      </c>
      <c r="BQ24">
        <v>999.9000000000002</v>
      </c>
      <c r="BR24">
        <v>0</v>
      </c>
      <c r="BS24">
        <v>0</v>
      </c>
      <c r="BT24">
        <v>9997.7999999999993</v>
      </c>
      <c r="BU24">
        <v>904.16943333333325</v>
      </c>
      <c r="BV24">
        <v>18.529599999999999</v>
      </c>
      <c r="BW24">
        <v>-45.659280000000003</v>
      </c>
      <c r="BX24">
        <v>414.58953333333341</v>
      </c>
      <c r="BY24">
        <v>458.93933333333342</v>
      </c>
      <c r="BZ24">
        <v>5.2391680000000012</v>
      </c>
      <c r="CA24">
        <v>450.01296666666678</v>
      </c>
      <c r="CB24">
        <v>19.449956666666669</v>
      </c>
      <c r="CC24">
        <v>2.497511666666667</v>
      </c>
      <c r="CD24">
        <v>1.967526333333333</v>
      </c>
      <c r="CE24">
        <v>21.01029999999999</v>
      </c>
      <c r="CF24">
        <v>17.18540333333333</v>
      </c>
      <c r="CG24">
        <v>1750753677</v>
      </c>
      <c r="CH24" t="s">
        <v>339</v>
      </c>
      <c r="CI24">
        <v>1750753677</v>
      </c>
      <c r="CJ24">
        <v>1750753673.5</v>
      </c>
      <c r="CK24">
        <v>5</v>
      </c>
      <c r="CL24">
        <v>2.1520000000000001</v>
      </c>
      <c r="CM24">
        <v>-0.52400000000000002</v>
      </c>
      <c r="CN24">
        <v>3.0179999999999998</v>
      </c>
      <c r="CO24">
        <v>0.22</v>
      </c>
      <c r="CP24">
        <v>450</v>
      </c>
      <c r="CQ24">
        <v>19</v>
      </c>
      <c r="CR24">
        <v>0.26</v>
      </c>
      <c r="CS24">
        <v>0.17</v>
      </c>
      <c r="CT24">
        <v>-45.666795</v>
      </c>
      <c r="CU24">
        <v>0.28033170731717871</v>
      </c>
      <c r="CV24">
        <v>3.9560643005391687E-2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5.2405500000000007</v>
      </c>
      <c r="DC24">
        <v>-3.0676547842414439E-2</v>
      </c>
      <c r="DD24">
        <v>3.3620462519126479E-3</v>
      </c>
      <c r="DE24">
        <v>1</v>
      </c>
      <c r="DF24">
        <v>2</v>
      </c>
      <c r="DG24">
        <v>2</v>
      </c>
      <c r="DH24" t="s">
        <v>340</v>
      </c>
      <c r="DI24">
        <v>3.02475</v>
      </c>
      <c r="DJ24">
        <v>2.6912699999999998</v>
      </c>
      <c r="DK24">
        <v>9.3938400000000005E-2</v>
      </c>
      <c r="DL24">
        <v>0.102797</v>
      </c>
      <c r="DM24">
        <v>0.12235600000000001</v>
      </c>
      <c r="DN24">
        <v>0.10452500000000001</v>
      </c>
      <c r="DO24">
        <v>25333</v>
      </c>
      <c r="DP24">
        <v>16820.2</v>
      </c>
      <c r="DQ24">
        <v>26519.599999999999</v>
      </c>
      <c r="DR24">
        <v>17034.8</v>
      </c>
      <c r="DS24">
        <v>33085.5</v>
      </c>
      <c r="DT24">
        <v>19920.2</v>
      </c>
      <c r="DU24">
        <v>38632.1</v>
      </c>
      <c r="DV24">
        <v>22574.400000000001</v>
      </c>
      <c r="DW24">
        <v>1.82396</v>
      </c>
      <c r="DX24">
        <v>2.22648</v>
      </c>
      <c r="DY24">
        <v>8.3035200000000003E-2</v>
      </c>
      <c r="DZ24">
        <v>0</v>
      </c>
      <c r="EA24">
        <v>24.383600000000001</v>
      </c>
      <c r="EB24">
        <v>999.9</v>
      </c>
      <c r="EC24">
        <v>60</v>
      </c>
      <c r="ED24">
        <v>30.7</v>
      </c>
      <c r="EE24">
        <v>26.3035</v>
      </c>
      <c r="EF24">
        <v>62.623699999999999</v>
      </c>
      <c r="EG24">
        <v>35.020000000000003</v>
      </c>
      <c r="EH24">
        <v>1</v>
      </c>
      <c r="EI24">
        <v>-0.102884</v>
      </c>
      <c r="EJ24">
        <v>-0.63921600000000001</v>
      </c>
      <c r="EK24">
        <v>20.328600000000002</v>
      </c>
      <c r="EL24">
        <v>5.2529899999999996</v>
      </c>
      <c r="EM24">
        <v>11.962</v>
      </c>
      <c r="EN24">
        <v>4.9901200000000001</v>
      </c>
      <c r="EO24">
        <v>3.2919200000000002</v>
      </c>
      <c r="EP24">
        <v>9999</v>
      </c>
      <c r="EQ24">
        <v>9999</v>
      </c>
      <c r="ER24">
        <v>9999</v>
      </c>
      <c r="ES24">
        <v>999.9</v>
      </c>
      <c r="ET24">
        <v>4.9726800000000004</v>
      </c>
      <c r="EU24">
        <v>1.87191</v>
      </c>
      <c r="EV24">
        <v>1.8721699999999999</v>
      </c>
      <c r="EW24">
        <v>1.8771800000000001</v>
      </c>
      <c r="EX24">
        <v>1.87134</v>
      </c>
      <c r="EY24">
        <v>1.87212</v>
      </c>
      <c r="EZ24">
        <v>1.8717999999999999</v>
      </c>
      <c r="FA24">
        <v>1.86863</v>
      </c>
      <c r="FB24">
        <v>0</v>
      </c>
      <c r="FC24">
        <v>0</v>
      </c>
      <c r="FD24">
        <v>0</v>
      </c>
      <c r="FE24">
        <v>0</v>
      </c>
      <c r="FF24" t="s">
        <v>341</v>
      </c>
      <c r="FG24" t="s">
        <v>342</v>
      </c>
      <c r="FH24" t="s">
        <v>343</v>
      </c>
      <c r="FI24" t="s">
        <v>343</v>
      </c>
      <c r="FJ24" t="s">
        <v>343</v>
      </c>
      <c r="FK24" t="s">
        <v>343</v>
      </c>
      <c r="FL24">
        <v>0</v>
      </c>
      <c r="FM24">
        <v>100</v>
      </c>
      <c r="FN24">
        <v>100</v>
      </c>
      <c r="FO24">
        <v>2.6139999999999999</v>
      </c>
      <c r="FP24">
        <v>0.22</v>
      </c>
      <c r="FQ24">
        <v>-0.71234261683338174</v>
      </c>
      <c r="FR24">
        <v>7.6898218637449396E-3</v>
      </c>
      <c r="FS24">
        <v>1.5097418776848419E-6</v>
      </c>
      <c r="FT24">
        <v>-9.8458676114205118E-11</v>
      </c>
      <c r="FU24">
        <v>0.22001999999999461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204.3</v>
      </c>
      <c r="GD24">
        <v>204.3</v>
      </c>
      <c r="GE24">
        <v>1.1035200000000001</v>
      </c>
      <c r="GF24">
        <v>2.6428199999999999</v>
      </c>
      <c r="GG24">
        <v>1.7981</v>
      </c>
      <c r="GH24">
        <v>2.3791500000000001</v>
      </c>
      <c r="GI24">
        <v>1.5979000000000001</v>
      </c>
      <c r="GJ24">
        <v>2.52441</v>
      </c>
      <c r="GK24">
        <v>33.986499999999999</v>
      </c>
      <c r="GL24">
        <v>24.1663</v>
      </c>
      <c r="GM24">
        <v>18</v>
      </c>
      <c r="GN24">
        <v>365.863</v>
      </c>
      <c r="GO24">
        <v>680.36500000000001</v>
      </c>
      <c r="GP24">
        <v>25.83</v>
      </c>
      <c r="GQ24">
        <v>25.816400000000002</v>
      </c>
      <c r="GR24">
        <v>30</v>
      </c>
      <c r="GS24">
        <v>25.752500000000001</v>
      </c>
      <c r="GT24">
        <v>25.768999999999998</v>
      </c>
      <c r="GU24">
        <v>22.0411</v>
      </c>
      <c r="GV24">
        <v>31.696200000000001</v>
      </c>
      <c r="GW24">
        <v>0</v>
      </c>
      <c r="GX24">
        <v>25.83</v>
      </c>
      <c r="GY24">
        <v>450</v>
      </c>
      <c r="GZ24">
        <v>19.5</v>
      </c>
      <c r="HA24">
        <v>100.771</v>
      </c>
      <c r="HB24">
        <v>70.462500000000006</v>
      </c>
    </row>
    <row r="25" spans="1:210" x14ac:dyDescent="0.3">
      <c r="A25">
        <v>9</v>
      </c>
      <c r="B25">
        <v>1750766113.5999999</v>
      </c>
      <c r="C25">
        <v>1444.099999904633</v>
      </c>
      <c r="D25" t="s">
        <v>358</v>
      </c>
      <c r="E25" t="s">
        <v>359</v>
      </c>
      <c r="F25">
        <v>15</v>
      </c>
      <c r="G25">
        <v>1750766105.849999</v>
      </c>
      <c r="H25">
        <f t="shared" si="0"/>
        <v>2.3248578448200486E-3</v>
      </c>
      <c r="I25">
        <f t="shared" si="1"/>
        <v>2.3248578448200488</v>
      </c>
      <c r="J25">
        <f t="shared" si="2"/>
        <v>24.678448483647465</v>
      </c>
      <c r="K25">
        <f t="shared" si="3"/>
        <v>541.65446666666662</v>
      </c>
      <c r="L25">
        <f t="shared" si="4"/>
        <v>391.18970323019522</v>
      </c>
      <c r="M25">
        <f t="shared" si="5"/>
        <v>39.610928548285024</v>
      </c>
      <c r="N25">
        <f t="shared" si="6"/>
        <v>54.846628630118445</v>
      </c>
      <c r="O25">
        <f t="shared" si="7"/>
        <v>0.28926438571973273</v>
      </c>
      <c r="P25">
        <f t="shared" si="8"/>
        <v>2.4137143004260677</v>
      </c>
      <c r="Q25">
        <f t="shared" si="9"/>
        <v>0.27155181660495953</v>
      </c>
      <c r="R25">
        <f t="shared" si="10"/>
        <v>0.17122157333344445</v>
      </c>
      <c r="S25">
        <f t="shared" si="11"/>
        <v>171.75352733333332</v>
      </c>
      <c r="T25">
        <f t="shared" si="12"/>
        <v>26.903711907685199</v>
      </c>
      <c r="U25">
        <f t="shared" si="13"/>
        <v>25.788519999999998</v>
      </c>
      <c r="V25">
        <f t="shared" si="14"/>
        <v>3.3322631230205828</v>
      </c>
      <c r="W25">
        <f t="shared" si="15"/>
        <v>72.014215185506103</v>
      </c>
      <c r="X25">
        <f t="shared" si="16"/>
        <v>2.4902830511174439</v>
      </c>
      <c r="Y25">
        <f t="shared" si="17"/>
        <v>3.4580437274815279</v>
      </c>
      <c r="Z25">
        <f t="shared" si="18"/>
        <v>0.84198007190313895</v>
      </c>
      <c r="AA25">
        <f t="shared" si="19"/>
        <v>-102.52623095656415</v>
      </c>
      <c r="AB25">
        <f t="shared" si="20"/>
        <v>81.541778501848938</v>
      </c>
      <c r="AC25">
        <f t="shared" si="21"/>
        <v>7.2254221406538957</v>
      </c>
      <c r="AD25">
        <f t="shared" si="22"/>
        <v>157.99449701927202</v>
      </c>
      <c r="AE25">
        <f t="shared" si="23"/>
        <v>24.678448483647465</v>
      </c>
      <c r="AF25">
        <f t="shared" si="24"/>
        <v>2.3248578448200488</v>
      </c>
      <c r="AG25">
        <f t="shared" si="25"/>
        <v>24.668178608342345</v>
      </c>
      <c r="AH25">
        <v>611.93784694669409</v>
      </c>
      <c r="AI25">
        <v>555.33106666666674</v>
      </c>
      <c r="AJ25">
        <v>3.3677913061778817E-4</v>
      </c>
      <c r="AK25">
        <v>83.968266766758106</v>
      </c>
      <c r="AL25">
        <f t="shared" si="26"/>
        <v>2.3236336529685118</v>
      </c>
      <c r="AM25">
        <v>19.490421109154489</v>
      </c>
      <c r="AN25">
        <v>24.589786165413521</v>
      </c>
      <c r="AO25">
        <v>-5.768516963243207E-7</v>
      </c>
      <c r="AP25">
        <v>90.538231227470618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53587.076624258618</v>
      </c>
      <c r="AV25">
        <f t="shared" si="30"/>
        <v>903.96593333333328</v>
      </c>
      <c r="AW25">
        <f t="shared" si="31"/>
        <v>723.17274666666663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338</v>
      </c>
      <c r="BC25">
        <v>2</v>
      </c>
      <c r="BD25" t="b">
        <v>0</v>
      </c>
      <c r="BE25">
        <v>1750766105.849999</v>
      </c>
      <c r="BF25">
        <v>541.65446666666662</v>
      </c>
      <c r="BG25">
        <v>600.01139999999998</v>
      </c>
      <c r="BH25">
        <v>24.593543333333329</v>
      </c>
      <c r="BI25">
        <v>19.491516666666669</v>
      </c>
      <c r="BJ25">
        <v>537.80983333333336</v>
      </c>
      <c r="BK25">
        <v>24.373519999999999</v>
      </c>
      <c r="BL25">
        <v>400.02010000000001</v>
      </c>
      <c r="BM25">
        <v>101.1576</v>
      </c>
      <c r="BN25">
        <v>9.9995026666666667E-2</v>
      </c>
      <c r="BO25">
        <v>26.415146666666661</v>
      </c>
      <c r="BP25">
        <v>25.788519999999998</v>
      </c>
      <c r="BQ25">
        <v>999.9000000000002</v>
      </c>
      <c r="BR25">
        <v>0</v>
      </c>
      <c r="BS25">
        <v>0</v>
      </c>
      <c r="BT25">
        <v>9998.7000000000007</v>
      </c>
      <c r="BU25">
        <v>903.96593333333328</v>
      </c>
      <c r="BV25">
        <v>18.529599999999999</v>
      </c>
      <c r="BW25">
        <v>-58.356833333333327</v>
      </c>
      <c r="BX25">
        <v>555.31143333333318</v>
      </c>
      <c r="BY25">
        <v>611.93886666666663</v>
      </c>
      <c r="BZ25">
        <v>5.1020260000000004</v>
      </c>
      <c r="CA25">
        <v>600.01139999999998</v>
      </c>
      <c r="CB25">
        <v>19.491516666666669</v>
      </c>
      <c r="CC25">
        <v>2.487824666666667</v>
      </c>
      <c r="CD25">
        <v>1.971715333333333</v>
      </c>
      <c r="CE25">
        <v>20.947066666666672</v>
      </c>
      <c r="CF25">
        <v>17.219006666666669</v>
      </c>
      <c r="CG25">
        <v>1750753677</v>
      </c>
      <c r="CH25" t="s">
        <v>339</v>
      </c>
      <c r="CI25">
        <v>1750753677</v>
      </c>
      <c r="CJ25">
        <v>1750753673.5</v>
      </c>
      <c r="CK25">
        <v>5</v>
      </c>
      <c r="CL25">
        <v>2.1520000000000001</v>
      </c>
      <c r="CM25">
        <v>-0.52400000000000002</v>
      </c>
      <c r="CN25">
        <v>3.0179999999999998</v>
      </c>
      <c r="CO25">
        <v>0.22</v>
      </c>
      <c r="CP25">
        <v>450</v>
      </c>
      <c r="CQ25">
        <v>19</v>
      </c>
      <c r="CR25">
        <v>0.26</v>
      </c>
      <c r="CS25">
        <v>0.17</v>
      </c>
      <c r="CT25">
        <v>-58.356797500000013</v>
      </c>
      <c r="CU25">
        <v>-1.9570356472618181E-2</v>
      </c>
      <c r="CV25">
        <v>2.984553138662472E-2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5.1044057499999997</v>
      </c>
      <c r="DC25">
        <v>-4.4337523452169958E-2</v>
      </c>
      <c r="DD25">
        <v>4.4358916169695362E-3</v>
      </c>
      <c r="DE25">
        <v>1</v>
      </c>
      <c r="DF25">
        <v>2</v>
      </c>
      <c r="DG25">
        <v>2</v>
      </c>
      <c r="DH25" t="s">
        <v>340</v>
      </c>
      <c r="DI25">
        <v>3.0247700000000002</v>
      </c>
      <c r="DJ25">
        <v>2.6913100000000001</v>
      </c>
      <c r="DK25">
        <v>0.11640399999999999</v>
      </c>
      <c r="DL25">
        <v>0.126387</v>
      </c>
      <c r="DM25">
        <v>0.122027</v>
      </c>
      <c r="DN25">
        <v>0.10469100000000001</v>
      </c>
      <c r="DO25">
        <v>24703</v>
      </c>
      <c r="DP25">
        <v>16376.3</v>
      </c>
      <c r="DQ25">
        <v>26517.599999999999</v>
      </c>
      <c r="DR25">
        <v>17033</v>
      </c>
      <c r="DS25">
        <v>33096</v>
      </c>
      <c r="DT25">
        <v>19914</v>
      </c>
      <c r="DU25">
        <v>38628.5</v>
      </c>
      <c r="DV25">
        <v>22571.200000000001</v>
      </c>
      <c r="DW25">
        <v>1.82362</v>
      </c>
      <c r="DX25">
        <v>2.2267000000000001</v>
      </c>
      <c r="DY25">
        <v>8.1151699999999993E-2</v>
      </c>
      <c r="DZ25">
        <v>0</v>
      </c>
      <c r="EA25">
        <v>24.4602</v>
      </c>
      <c r="EB25">
        <v>999.9</v>
      </c>
      <c r="EC25">
        <v>59.9</v>
      </c>
      <c r="ED25">
        <v>30.7</v>
      </c>
      <c r="EE25">
        <v>26.260100000000001</v>
      </c>
      <c r="EF25">
        <v>62.593800000000002</v>
      </c>
      <c r="EG25">
        <v>35.040100000000002</v>
      </c>
      <c r="EH25">
        <v>1</v>
      </c>
      <c r="EI25">
        <v>-0.101045</v>
      </c>
      <c r="EJ25">
        <v>-0.57329600000000003</v>
      </c>
      <c r="EK25">
        <v>20.328800000000001</v>
      </c>
      <c r="EL25">
        <v>5.2532300000000003</v>
      </c>
      <c r="EM25">
        <v>11.962</v>
      </c>
      <c r="EN25">
        <v>4.9901200000000001</v>
      </c>
      <c r="EO25">
        <v>3.2919999999999998</v>
      </c>
      <c r="EP25">
        <v>9999</v>
      </c>
      <c r="EQ25">
        <v>9999</v>
      </c>
      <c r="ER25">
        <v>9999</v>
      </c>
      <c r="ES25">
        <v>999.9</v>
      </c>
      <c r="ET25">
        <v>4.9726699999999999</v>
      </c>
      <c r="EU25">
        <v>1.87191</v>
      </c>
      <c r="EV25">
        <v>1.8721699999999999</v>
      </c>
      <c r="EW25">
        <v>1.87721</v>
      </c>
      <c r="EX25">
        <v>1.87134</v>
      </c>
      <c r="EY25">
        <v>1.87212</v>
      </c>
      <c r="EZ25">
        <v>1.8717999999999999</v>
      </c>
      <c r="FA25">
        <v>1.8686499999999999</v>
      </c>
      <c r="FB25">
        <v>0</v>
      </c>
      <c r="FC25">
        <v>0</v>
      </c>
      <c r="FD25">
        <v>0</v>
      </c>
      <c r="FE25">
        <v>0</v>
      </c>
      <c r="FF25" t="s">
        <v>341</v>
      </c>
      <c r="FG25" t="s">
        <v>342</v>
      </c>
      <c r="FH25" t="s">
        <v>343</v>
      </c>
      <c r="FI25" t="s">
        <v>343</v>
      </c>
      <c r="FJ25" t="s">
        <v>343</v>
      </c>
      <c r="FK25" t="s">
        <v>343</v>
      </c>
      <c r="FL25">
        <v>0</v>
      </c>
      <c r="FM25">
        <v>100</v>
      </c>
      <c r="FN25">
        <v>100</v>
      </c>
      <c r="FO25">
        <v>3.8450000000000002</v>
      </c>
      <c r="FP25">
        <v>0.22</v>
      </c>
      <c r="FQ25">
        <v>-0.71234261683338174</v>
      </c>
      <c r="FR25">
        <v>7.6898218637449396E-3</v>
      </c>
      <c r="FS25">
        <v>1.5097418776848419E-6</v>
      </c>
      <c r="FT25">
        <v>-9.8458676114205118E-11</v>
      </c>
      <c r="FU25">
        <v>0.22001999999999461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207.3</v>
      </c>
      <c r="GD25">
        <v>207.3</v>
      </c>
      <c r="GE25">
        <v>1.38916</v>
      </c>
      <c r="GF25">
        <v>2.6147499999999999</v>
      </c>
      <c r="GG25">
        <v>1.7981</v>
      </c>
      <c r="GH25">
        <v>2.3803700000000001</v>
      </c>
      <c r="GI25">
        <v>1.5979000000000001</v>
      </c>
      <c r="GJ25">
        <v>2.5415000000000001</v>
      </c>
      <c r="GK25">
        <v>34.0092</v>
      </c>
      <c r="GL25">
        <v>24.1663</v>
      </c>
      <c r="GM25">
        <v>18</v>
      </c>
      <c r="GN25">
        <v>365.75900000000001</v>
      </c>
      <c r="GO25">
        <v>680.69799999999998</v>
      </c>
      <c r="GP25">
        <v>25.8306</v>
      </c>
      <c r="GQ25">
        <v>25.8338</v>
      </c>
      <c r="GR25">
        <v>30.0001</v>
      </c>
      <c r="GS25">
        <v>25.762699999999999</v>
      </c>
      <c r="GT25">
        <v>25.779800000000002</v>
      </c>
      <c r="GU25">
        <v>27.7727</v>
      </c>
      <c r="GV25">
        <v>31.6922</v>
      </c>
      <c r="GW25">
        <v>0</v>
      </c>
      <c r="GX25">
        <v>25.83</v>
      </c>
      <c r="GY25">
        <v>600</v>
      </c>
      <c r="GZ25">
        <v>19.5</v>
      </c>
      <c r="HA25">
        <v>100.762</v>
      </c>
      <c r="HB25">
        <v>70.453599999999994</v>
      </c>
    </row>
    <row r="26" spans="1:210" x14ac:dyDescent="0.3">
      <c r="A26">
        <v>10</v>
      </c>
      <c r="B26">
        <v>1750766294.0999999</v>
      </c>
      <c r="C26">
        <v>1624.599999904633</v>
      </c>
      <c r="D26" t="s">
        <v>360</v>
      </c>
      <c r="E26" t="s">
        <v>361</v>
      </c>
      <c r="F26">
        <v>15</v>
      </c>
      <c r="G26">
        <v>1750766286.349999</v>
      </c>
      <c r="H26">
        <f t="shared" si="0"/>
        <v>2.198626676339261E-3</v>
      </c>
      <c r="I26">
        <f t="shared" si="1"/>
        <v>2.198626676339261</v>
      </c>
      <c r="J26">
        <f t="shared" si="2"/>
        <v>29.83788257172068</v>
      </c>
      <c r="K26">
        <f t="shared" si="3"/>
        <v>828.75156666666658</v>
      </c>
      <c r="L26">
        <f t="shared" si="4"/>
        <v>626.65587155052935</v>
      </c>
      <c r="M26">
        <f t="shared" si="5"/>
        <v>63.454171662065725</v>
      </c>
      <c r="N26">
        <f t="shared" si="6"/>
        <v>83.918058640949383</v>
      </c>
      <c r="O26">
        <f t="shared" si="7"/>
        <v>0.26146902977778719</v>
      </c>
      <c r="P26">
        <f t="shared" si="8"/>
        <v>2.4142639157869819</v>
      </c>
      <c r="Q26">
        <f t="shared" si="9"/>
        <v>0.24690880844303081</v>
      </c>
      <c r="R26">
        <f t="shared" si="10"/>
        <v>0.15555913431484983</v>
      </c>
      <c r="S26">
        <f t="shared" si="11"/>
        <v>171.75736533333333</v>
      </c>
      <c r="T26">
        <f t="shared" si="12"/>
        <v>26.972699571961613</v>
      </c>
      <c r="U26">
        <f t="shared" si="13"/>
        <v>25.830416666666672</v>
      </c>
      <c r="V26">
        <f t="shared" si="14"/>
        <v>3.3405464315376729</v>
      </c>
      <c r="W26">
        <f t="shared" si="15"/>
        <v>71.150018160588019</v>
      </c>
      <c r="X26">
        <f t="shared" si="16"/>
        <v>2.4647266935165617</v>
      </c>
      <c r="Y26">
        <f t="shared" si="17"/>
        <v>3.46412658385215</v>
      </c>
      <c r="Z26">
        <f t="shared" si="18"/>
        <v>0.87581973802111124</v>
      </c>
      <c r="AA26">
        <f t="shared" si="19"/>
        <v>-96.95943642656141</v>
      </c>
      <c r="AB26">
        <f t="shared" si="20"/>
        <v>79.985436656614468</v>
      </c>
      <c r="AC26">
        <f t="shared" si="21"/>
        <v>7.088448787693757</v>
      </c>
      <c r="AD26">
        <f t="shared" si="22"/>
        <v>161.87181435108013</v>
      </c>
      <c r="AE26">
        <f t="shared" si="23"/>
        <v>29.83788257172068</v>
      </c>
      <c r="AF26">
        <f t="shared" si="24"/>
        <v>2.198626676339261</v>
      </c>
      <c r="AG26">
        <f t="shared" si="25"/>
        <v>29.810422395670713</v>
      </c>
      <c r="AH26">
        <v>917.88869094361928</v>
      </c>
      <c r="AI26">
        <v>849.48313939393904</v>
      </c>
      <c r="AJ26">
        <v>2.4032854481615331E-4</v>
      </c>
      <c r="AK26">
        <v>83.968266766758106</v>
      </c>
      <c r="AL26">
        <f t="shared" si="26"/>
        <v>2.1935071571876699</v>
      </c>
      <c r="AM26">
        <v>19.51322884958341</v>
      </c>
      <c r="AN26">
        <v>24.32822736842104</v>
      </c>
      <c r="AO26">
        <v>-2.5468812436176699E-6</v>
      </c>
      <c r="AP26">
        <v>90.538231227470618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53600.157368218031</v>
      </c>
      <c r="AV26">
        <f t="shared" si="30"/>
        <v>903.98613333333333</v>
      </c>
      <c r="AW26">
        <f t="shared" si="31"/>
        <v>723.18890666666675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338</v>
      </c>
      <c r="BC26">
        <v>2</v>
      </c>
      <c r="BD26" t="b">
        <v>0</v>
      </c>
      <c r="BE26">
        <v>1750766286.349999</v>
      </c>
      <c r="BF26">
        <v>828.75156666666658</v>
      </c>
      <c r="BG26">
        <v>899.98143333333348</v>
      </c>
      <c r="BH26">
        <v>24.340959999999999</v>
      </c>
      <c r="BI26">
        <v>19.514810000000001</v>
      </c>
      <c r="BJ26">
        <v>822.17563333333339</v>
      </c>
      <c r="BK26">
        <v>24.120950000000001</v>
      </c>
      <c r="BL26">
        <v>400.02879999999988</v>
      </c>
      <c r="BM26">
        <v>101.1584</v>
      </c>
      <c r="BN26">
        <v>0.10000120999999999</v>
      </c>
      <c r="BO26">
        <v>26.444943333333331</v>
      </c>
      <c r="BP26">
        <v>25.830416666666672</v>
      </c>
      <c r="BQ26">
        <v>999.9000000000002</v>
      </c>
      <c r="BR26">
        <v>0</v>
      </c>
      <c r="BS26">
        <v>0</v>
      </c>
      <c r="BT26">
        <v>10002.200000000001</v>
      </c>
      <c r="BU26">
        <v>903.98613333333333</v>
      </c>
      <c r="BV26">
        <v>18.529599999999999</v>
      </c>
      <c r="BW26">
        <v>-71.229913333333329</v>
      </c>
      <c r="BX26">
        <v>849.42736666666667</v>
      </c>
      <c r="BY26">
        <v>917.89389999999992</v>
      </c>
      <c r="BZ26">
        <v>4.8261533333333331</v>
      </c>
      <c r="CA26">
        <v>899.98143333333348</v>
      </c>
      <c r="CB26">
        <v>19.514810000000001</v>
      </c>
      <c r="CC26">
        <v>2.4622929999999998</v>
      </c>
      <c r="CD26">
        <v>1.9740880000000001</v>
      </c>
      <c r="CE26">
        <v>20.779386666666671</v>
      </c>
      <c r="CF26">
        <v>17.23801666666667</v>
      </c>
      <c r="CG26">
        <v>1750753677</v>
      </c>
      <c r="CH26" t="s">
        <v>339</v>
      </c>
      <c r="CI26">
        <v>1750753677</v>
      </c>
      <c r="CJ26">
        <v>1750753673.5</v>
      </c>
      <c r="CK26">
        <v>5</v>
      </c>
      <c r="CL26">
        <v>2.1520000000000001</v>
      </c>
      <c r="CM26">
        <v>-0.52400000000000002</v>
      </c>
      <c r="CN26">
        <v>3.0179999999999998</v>
      </c>
      <c r="CO26">
        <v>0.22</v>
      </c>
      <c r="CP26">
        <v>450</v>
      </c>
      <c r="CQ26">
        <v>19</v>
      </c>
      <c r="CR26">
        <v>0.26</v>
      </c>
      <c r="CS26">
        <v>0.17</v>
      </c>
      <c r="CT26">
        <v>-71.257863414634144</v>
      </c>
      <c r="CU26">
        <v>0.29830452961653042</v>
      </c>
      <c r="CV26">
        <v>6.5782660463139214E-2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4.8314229268292683</v>
      </c>
      <c r="DC26">
        <v>-0.13161240418117651</v>
      </c>
      <c r="DD26">
        <v>1.323900652891653E-2</v>
      </c>
      <c r="DE26">
        <v>0</v>
      </c>
      <c r="DF26">
        <v>1</v>
      </c>
      <c r="DG26">
        <v>2</v>
      </c>
      <c r="DH26" t="s">
        <v>362</v>
      </c>
      <c r="DI26">
        <v>3.0247899999999999</v>
      </c>
      <c r="DJ26">
        <v>2.6913499999999999</v>
      </c>
      <c r="DK26">
        <v>0.155449</v>
      </c>
      <c r="DL26">
        <v>0.16581299999999999</v>
      </c>
      <c r="DM26">
        <v>0.121104</v>
      </c>
      <c r="DN26">
        <v>0.10478800000000001</v>
      </c>
      <c r="DO26">
        <v>23608.6</v>
      </c>
      <c r="DP26">
        <v>15635.4</v>
      </c>
      <c r="DQ26">
        <v>26514.400000000001</v>
      </c>
      <c r="DR26">
        <v>17030.900000000001</v>
      </c>
      <c r="DS26">
        <v>33129.300000000003</v>
      </c>
      <c r="DT26">
        <v>19910.2</v>
      </c>
      <c r="DU26">
        <v>38623.699999999997</v>
      </c>
      <c r="DV26">
        <v>22568.400000000001</v>
      </c>
      <c r="DW26">
        <v>1.82304</v>
      </c>
      <c r="DX26">
        <v>2.2264400000000002</v>
      </c>
      <c r="DY26">
        <v>8.1142800000000001E-2</v>
      </c>
      <c r="DZ26">
        <v>0</v>
      </c>
      <c r="EA26">
        <v>24.502400000000002</v>
      </c>
      <c r="EB26">
        <v>999.9</v>
      </c>
      <c r="EC26">
        <v>60</v>
      </c>
      <c r="ED26">
        <v>30.7</v>
      </c>
      <c r="EE26">
        <v>26.304300000000001</v>
      </c>
      <c r="EF26">
        <v>62.553800000000003</v>
      </c>
      <c r="EG26">
        <v>35.027999999999999</v>
      </c>
      <c r="EH26">
        <v>1</v>
      </c>
      <c r="EI26">
        <v>-9.6048800000000004E-2</v>
      </c>
      <c r="EJ26">
        <v>-0.52904799999999996</v>
      </c>
      <c r="EK26">
        <v>20.328900000000001</v>
      </c>
      <c r="EL26">
        <v>5.2532300000000003</v>
      </c>
      <c r="EM26">
        <v>11.962</v>
      </c>
      <c r="EN26">
        <v>4.9897200000000002</v>
      </c>
      <c r="EO26">
        <v>3.29196</v>
      </c>
      <c r="EP26">
        <v>9999</v>
      </c>
      <c r="EQ26">
        <v>9999</v>
      </c>
      <c r="ER26">
        <v>9999</v>
      </c>
      <c r="ES26">
        <v>999.9</v>
      </c>
      <c r="ET26">
        <v>4.9726900000000001</v>
      </c>
      <c r="EU26">
        <v>1.8719300000000001</v>
      </c>
      <c r="EV26">
        <v>1.87218</v>
      </c>
      <c r="EW26">
        <v>1.8771500000000001</v>
      </c>
      <c r="EX26">
        <v>1.8713500000000001</v>
      </c>
      <c r="EY26">
        <v>1.87212</v>
      </c>
      <c r="EZ26">
        <v>1.8717999999999999</v>
      </c>
      <c r="FA26">
        <v>1.8686700000000001</v>
      </c>
      <c r="FB26">
        <v>0</v>
      </c>
      <c r="FC26">
        <v>0</v>
      </c>
      <c r="FD26">
        <v>0</v>
      </c>
      <c r="FE26">
        <v>0</v>
      </c>
      <c r="FF26" t="s">
        <v>341</v>
      </c>
      <c r="FG26" t="s">
        <v>342</v>
      </c>
      <c r="FH26" t="s">
        <v>343</v>
      </c>
      <c r="FI26" t="s">
        <v>343</v>
      </c>
      <c r="FJ26" t="s">
        <v>343</v>
      </c>
      <c r="FK26" t="s">
        <v>343</v>
      </c>
      <c r="FL26">
        <v>0</v>
      </c>
      <c r="FM26">
        <v>100</v>
      </c>
      <c r="FN26">
        <v>100</v>
      </c>
      <c r="FO26">
        <v>6.577</v>
      </c>
      <c r="FP26">
        <v>0.22</v>
      </c>
      <c r="FQ26">
        <v>-0.71234261683338174</v>
      </c>
      <c r="FR26">
        <v>7.6898218637449396E-3</v>
      </c>
      <c r="FS26">
        <v>1.5097418776848419E-6</v>
      </c>
      <c r="FT26">
        <v>-9.8458676114205118E-11</v>
      </c>
      <c r="FU26">
        <v>0.22001999999999461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210.3</v>
      </c>
      <c r="GD26">
        <v>210.3</v>
      </c>
      <c r="GE26">
        <v>1.9299299999999999</v>
      </c>
      <c r="GF26">
        <v>2.6061999999999999</v>
      </c>
      <c r="GG26">
        <v>1.7981</v>
      </c>
      <c r="GH26">
        <v>2.3791500000000001</v>
      </c>
      <c r="GI26">
        <v>1.5979000000000001</v>
      </c>
      <c r="GJ26">
        <v>2.5647000000000002</v>
      </c>
      <c r="GK26">
        <v>34.054499999999997</v>
      </c>
      <c r="GL26">
        <v>24.1663</v>
      </c>
      <c r="GM26">
        <v>18</v>
      </c>
      <c r="GN26">
        <v>365.791</v>
      </c>
      <c r="GO26">
        <v>681.07600000000002</v>
      </c>
      <c r="GP26">
        <v>25.83</v>
      </c>
      <c r="GQ26">
        <v>25.896999999999998</v>
      </c>
      <c r="GR26">
        <v>30.000299999999999</v>
      </c>
      <c r="GS26">
        <v>25.810400000000001</v>
      </c>
      <c r="GT26">
        <v>25.825500000000002</v>
      </c>
      <c r="GU26">
        <v>38.606400000000001</v>
      </c>
      <c r="GV26">
        <v>31.6922</v>
      </c>
      <c r="GW26">
        <v>0</v>
      </c>
      <c r="GX26">
        <v>25.83</v>
      </c>
      <c r="GY26">
        <v>900</v>
      </c>
      <c r="GZ26">
        <v>19.5</v>
      </c>
      <c r="HA26">
        <v>100.75</v>
      </c>
      <c r="HB26">
        <v>70.444900000000004</v>
      </c>
    </row>
    <row r="27" spans="1:210" x14ac:dyDescent="0.3">
      <c r="A27">
        <v>11</v>
      </c>
      <c r="B27">
        <v>1750766474.5999999</v>
      </c>
      <c r="C27">
        <v>1805.099999904633</v>
      </c>
      <c r="D27" t="s">
        <v>363</v>
      </c>
      <c r="E27" t="s">
        <v>364</v>
      </c>
      <c r="F27">
        <v>15</v>
      </c>
      <c r="G27">
        <v>1750766466.849999</v>
      </c>
      <c r="H27">
        <f t="shared" si="0"/>
        <v>2.0020003572440424E-3</v>
      </c>
      <c r="I27">
        <f t="shared" si="1"/>
        <v>2.0020003572440426</v>
      </c>
      <c r="J27">
        <f t="shared" si="2"/>
        <v>31.577191337887918</v>
      </c>
      <c r="K27">
        <f t="shared" si="3"/>
        <v>1123.902333333333</v>
      </c>
      <c r="L27">
        <f t="shared" si="4"/>
        <v>872.1724409407251</v>
      </c>
      <c r="M27">
        <f t="shared" si="5"/>
        <v>88.319870118336112</v>
      </c>
      <c r="N27">
        <f t="shared" si="6"/>
        <v>113.81110368338389</v>
      </c>
      <c r="O27">
        <f t="shared" si="7"/>
        <v>0.22258705672106166</v>
      </c>
      <c r="P27">
        <f t="shared" si="8"/>
        <v>2.41444511660286</v>
      </c>
      <c r="Q27">
        <f t="shared" si="9"/>
        <v>0.21194208743514889</v>
      </c>
      <c r="R27">
        <f t="shared" si="10"/>
        <v>0.13337813091785633</v>
      </c>
      <c r="S27">
        <f t="shared" si="11"/>
        <v>171.76067133333331</v>
      </c>
      <c r="T27">
        <f t="shared" si="12"/>
        <v>27.059185489149041</v>
      </c>
      <c r="U27">
        <f t="shared" si="13"/>
        <v>25.886430000000001</v>
      </c>
      <c r="V27">
        <f t="shared" si="14"/>
        <v>3.351648812077356</v>
      </c>
      <c r="W27">
        <f t="shared" si="15"/>
        <v>69.823187725489305</v>
      </c>
      <c r="X27">
        <f t="shared" si="16"/>
        <v>2.4223797738587143</v>
      </c>
      <c r="Y27">
        <f t="shared" si="17"/>
        <v>3.4693056171859831</v>
      </c>
      <c r="Z27">
        <f t="shared" si="18"/>
        <v>0.92926903821864171</v>
      </c>
      <c r="AA27">
        <f t="shared" si="19"/>
        <v>-88.288215754462271</v>
      </c>
      <c r="AB27">
        <f t="shared" si="20"/>
        <v>75.997899007103044</v>
      </c>
      <c r="AC27">
        <f t="shared" si="21"/>
        <v>6.7373075408152223</v>
      </c>
      <c r="AD27">
        <f t="shared" si="22"/>
        <v>166.20766212678927</v>
      </c>
      <c r="AE27">
        <f t="shared" si="23"/>
        <v>31.577191337887918</v>
      </c>
      <c r="AF27">
        <f t="shared" si="24"/>
        <v>2.0020003572440426</v>
      </c>
      <c r="AG27">
        <f t="shared" si="25"/>
        <v>31.513733459436096</v>
      </c>
      <c r="AH27">
        <v>1224.001463989666</v>
      </c>
      <c r="AI27">
        <v>1151.4780000000001</v>
      </c>
      <c r="AJ27">
        <v>2.4000000000092569E-2</v>
      </c>
      <c r="AK27">
        <v>83.968266766758106</v>
      </c>
      <c r="AL27">
        <f t="shared" si="26"/>
        <v>1.9927612881854744</v>
      </c>
      <c r="AM27">
        <v>19.52653295828026</v>
      </c>
      <c r="AN27">
        <v>23.903146015037581</v>
      </c>
      <c r="AO27">
        <v>-1.6920325152102229E-6</v>
      </c>
      <c r="AP27">
        <v>90.538231227470618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53601.815001348201</v>
      </c>
      <c r="AV27">
        <f t="shared" si="30"/>
        <v>904.00353333333317</v>
      </c>
      <c r="AW27">
        <f t="shared" si="31"/>
        <v>723.20282666666662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338</v>
      </c>
      <c r="BC27">
        <v>2</v>
      </c>
      <c r="BD27" t="b">
        <v>0</v>
      </c>
      <c r="BE27">
        <v>1750766466.849999</v>
      </c>
      <c r="BF27">
        <v>1123.902333333333</v>
      </c>
      <c r="BG27">
        <v>1200.0146666666669</v>
      </c>
      <c r="BH27">
        <v>23.921376666666671</v>
      </c>
      <c r="BI27">
        <v>19.524570000000001</v>
      </c>
      <c r="BJ27">
        <v>1114.307333333333</v>
      </c>
      <c r="BK27">
        <v>23.701366666666669</v>
      </c>
      <c r="BL27">
        <v>399.99456666666669</v>
      </c>
      <c r="BM27">
        <v>101.16426666666671</v>
      </c>
      <c r="BN27">
        <v>9.9962713333333342E-2</v>
      </c>
      <c r="BO27">
        <v>26.47027666666667</v>
      </c>
      <c r="BP27">
        <v>25.886430000000001</v>
      </c>
      <c r="BQ27">
        <v>999.9000000000002</v>
      </c>
      <c r="BR27">
        <v>0</v>
      </c>
      <c r="BS27">
        <v>0</v>
      </c>
      <c r="BT27">
        <v>10002.799999999999</v>
      </c>
      <c r="BU27">
        <v>904.00353333333317</v>
      </c>
      <c r="BV27">
        <v>18.529599999999999</v>
      </c>
      <c r="BW27">
        <v>-76.112953333333337</v>
      </c>
      <c r="BX27">
        <v>1151.4463333333331</v>
      </c>
      <c r="BY27">
        <v>1223.9110000000001</v>
      </c>
      <c r="BZ27">
        <v>4.3968213333333326</v>
      </c>
      <c r="CA27">
        <v>1200.0146666666669</v>
      </c>
      <c r="CB27">
        <v>19.524570000000001</v>
      </c>
      <c r="CC27">
        <v>2.4199883333333339</v>
      </c>
      <c r="CD27">
        <v>1.9751879999999999</v>
      </c>
      <c r="CE27">
        <v>20.498159999999999</v>
      </c>
      <c r="CF27">
        <v>17.246816666666671</v>
      </c>
      <c r="CG27">
        <v>1750753677</v>
      </c>
      <c r="CH27" t="s">
        <v>339</v>
      </c>
      <c r="CI27">
        <v>1750753677</v>
      </c>
      <c r="CJ27">
        <v>1750753673.5</v>
      </c>
      <c r="CK27">
        <v>5</v>
      </c>
      <c r="CL27">
        <v>2.1520000000000001</v>
      </c>
      <c r="CM27">
        <v>-0.52400000000000002</v>
      </c>
      <c r="CN27">
        <v>3.0179999999999998</v>
      </c>
      <c r="CO27">
        <v>0.22</v>
      </c>
      <c r="CP27">
        <v>450</v>
      </c>
      <c r="CQ27">
        <v>19</v>
      </c>
      <c r="CR27">
        <v>0.26</v>
      </c>
      <c r="CS27">
        <v>0.17</v>
      </c>
      <c r="CT27">
        <v>-76.137539024390236</v>
      </c>
      <c r="CU27">
        <v>0.103983972125405</v>
      </c>
      <c r="CV27">
        <v>9.9569977545022531E-2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4.4042890243902439</v>
      </c>
      <c r="DC27">
        <v>-0.13891547038327309</v>
      </c>
      <c r="DD27">
        <v>1.386685305620314E-2</v>
      </c>
      <c r="DE27">
        <v>0</v>
      </c>
      <c r="DF27">
        <v>1</v>
      </c>
      <c r="DG27">
        <v>2</v>
      </c>
      <c r="DH27" t="s">
        <v>362</v>
      </c>
      <c r="DI27">
        <v>3.0248699999999999</v>
      </c>
      <c r="DJ27">
        <v>2.69136</v>
      </c>
      <c r="DK27">
        <v>0.188723</v>
      </c>
      <c r="DL27">
        <v>0.19877400000000001</v>
      </c>
      <c r="DM27">
        <v>0.119599</v>
      </c>
      <c r="DN27">
        <v>0.10478</v>
      </c>
      <c r="DO27">
        <v>22677</v>
      </c>
      <c r="DP27">
        <v>15016.6</v>
      </c>
      <c r="DQ27">
        <v>26512.400000000001</v>
      </c>
      <c r="DR27">
        <v>17029.5</v>
      </c>
      <c r="DS27">
        <v>33186.800000000003</v>
      </c>
      <c r="DT27">
        <v>19909.7</v>
      </c>
      <c r="DU27">
        <v>38621.1</v>
      </c>
      <c r="DV27">
        <v>22566.9</v>
      </c>
      <c r="DW27">
        <v>1.8225199999999999</v>
      </c>
      <c r="DX27">
        <v>2.22634</v>
      </c>
      <c r="DY27">
        <v>8.1914699999999993E-2</v>
      </c>
      <c r="DZ27">
        <v>0</v>
      </c>
      <c r="EA27">
        <v>24.542899999999999</v>
      </c>
      <c r="EB27">
        <v>999.9</v>
      </c>
      <c r="EC27">
        <v>60</v>
      </c>
      <c r="ED27">
        <v>30.7</v>
      </c>
      <c r="EE27">
        <v>26.302800000000001</v>
      </c>
      <c r="EF27">
        <v>62.4938</v>
      </c>
      <c r="EG27">
        <v>34.875799999999998</v>
      </c>
      <c r="EH27">
        <v>1</v>
      </c>
      <c r="EI27">
        <v>-9.1875999999999999E-2</v>
      </c>
      <c r="EJ27">
        <v>-0.54451400000000005</v>
      </c>
      <c r="EK27">
        <v>20.328600000000002</v>
      </c>
      <c r="EL27">
        <v>5.2501199999999999</v>
      </c>
      <c r="EM27">
        <v>11.962</v>
      </c>
      <c r="EN27">
        <v>4.9897200000000002</v>
      </c>
      <c r="EO27">
        <v>3.2917800000000002</v>
      </c>
      <c r="EP27">
        <v>9999</v>
      </c>
      <c r="EQ27">
        <v>9999</v>
      </c>
      <c r="ER27">
        <v>9999</v>
      </c>
      <c r="ES27">
        <v>999.9</v>
      </c>
      <c r="ET27">
        <v>4.9727100000000002</v>
      </c>
      <c r="EU27">
        <v>1.8719399999999999</v>
      </c>
      <c r="EV27">
        <v>1.8721699999999999</v>
      </c>
      <c r="EW27">
        <v>1.8771899999999999</v>
      </c>
      <c r="EX27">
        <v>1.8713500000000001</v>
      </c>
      <c r="EY27">
        <v>1.8721099999999999</v>
      </c>
      <c r="EZ27">
        <v>1.8717999999999999</v>
      </c>
      <c r="FA27">
        <v>1.8686700000000001</v>
      </c>
      <c r="FB27">
        <v>0</v>
      </c>
      <c r="FC27">
        <v>0</v>
      </c>
      <c r="FD27">
        <v>0</v>
      </c>
      <c r="FE27">
        <v>0</v>
      </c>
      <c r="FF27" t="s">
        <v>341</v>
      </c>
      <c r="FG27" t="s">
        <v>342</v>
      </c>
      <c r="FH27" t="s">
        <v>343</v>
      </c>
      <c r="FI27" t="s">
        <v>343</v>
      </c>
      <c r="FJ27" t="s">
        <v>343</v>
      </c>
      <c r="FK27" t="s">
        <v>343</v>
      </c>
      <c r="FL27">
        <v>0</v>
      </c>
      <c r="FM27">
        <v>100</v>
      </c>
      <c r="FN27">
        <v>100</v>
      </c>
      <c r="FO27">
        <v>9.6</v>
      </c>
      <c r="FP27">
        <v>0.22009999999999999</v>
      </c>
      <c r="FQ27">
        <v>-0.71234261683338174</v>
      </c>
      <c r="FR27">
        <v>7.6898218637449396E-3</v>
      </c>
      <c r="FS27">
        <v>1.5097418776848419E-6</v>
      </c>
      <c r="FT27">
        <v>-9.8458676114205118E-11</v>
      </c>
      <c r="FU27">
        <v>0.22001999999999461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213.3</v>
      </c>
      <c r="GD27">
        <v>213.4</v>
      </c>
      <c r="GE27">
        <v>2.4426299999999999</v>
      </c>
      <c r="GF27">
        <v>2.6000999999999999</v>
      </c>
      <c r="GG27">
        <v>1.7981</v>
      </c>
      <c r="GH27">
        <v>2.3791500000000001</v>
      </c>
      <c r="GI27">
        <v>1.5979000000000001</v>
      </c>
      <c r="GJ27">
        <v>2.5390600000000001</v>
      </c>
      <c r="GK27">
        <v>34.099800000000002</v>
      </c>
      <c r="GL27">
        <v>24.1663</v>
      </c>
      <c r="GM27">
        <v>18</v>
      </c>
      <c r="GN27">
        <v>365.85</v>
      </c>
      <c r="GO27">
        <v>681.61599999999999</v>
      </c>
      <c r="GP27">
        <v>25.8294</v>
      </c>
      <c r="GQ27">
        <v>25.9452</v>
      </c>
      <c r="GR27">
        <v>30.0001</v>
      </c>
      <c r="GS27">
        <v>25.857800000000001</v>
      </c>
      <c r="GT27">
        <v>25.873200000000001</v>
      </c>
      <c r="GU27">
        <v>48.8583</v>
      </c>
      <c r="GV27">
        <v>31.6922</v>
      </c>
      <c r="GW27">
        <v>0</v>
      </c>
      <c r="GX27">
        <v>25.83</v>
      </c>
      <c r="GY27">
        <v>1200</v>
      </c>
      <c r="GZ27">
        <v>19.5</v>
      </c>
      <c r="HA27">
        <v>100.74299999999999</v>
      </c>
      <c r="HB27">
        <v>70.439800000000005</v>
      </c>
    </row>
    <row r="28" spans="1:210" x14ac:dyDescent="0.3">
      <c r="A28">
        <v>12</v>
      </c>
      <c r="B28">
        <v>1750766655.0999999</v>
      </c>
      <c r="C28">
        <v>1985.599999904633</v>
      </c>
      <c r="D28" t="s">
        <v>365</v>
      </c>
      <c r="E28" t="s">
        <v>366</v>
      </c>
      <c r="F28">
        <v>15</v>
      </c>
      <c r="G28">
        <v>1750766647.349999</v>
      </c>
      <c r="H28">
        <f t="shared" si="0"/>
        <v>1.7525791343899304E-3</v>
      </c>
      <c r="I28">
        <f t="shared" si="1"/>
        <v>1.7525791343899304</v>
      </c>
      <c r="J28">
        <f t="shared" si="2"/>
        <v>31.889469446350255</v>
      </c>
      <c r="K28">
        <f t="shared" si="3"/>
        <v>1522.287333333333</v>
      </c>
      <c r="L28">
        <f t="shared" si="4"/>
        <v>1207.8222105738739</v>
      </c>
      <c r="M28">
        <f t="shared" si="5"/>
        <v>122.3052614895352</v>
      </c>
      <c r="N28">
        <f t="shared" si="6"/>
        <v>154.14830819933243</v>
      </c>
      <c r="O28">
        <f t="shared" si="7"/>
        <v>0.18051614418257997</v>
      </c>
      <c r="P28">
        <f t="shared" si="8"/>
        <v>2.414339218662835</v>
      </c>
      <c r="Q28">
        <f t="shared" si="9"/>
        <v>0.17344645086800128</v>
      </c>
      <c r="R28">
        <f t="shared" si="10"/>
        <v>0.1090163375071595</v>
      </c>
      <c r="S28">
        <f t="shared" si="11"/>
        <v>171.75124100000002</v>
      </c>
      <c r="T28">
        <f t="shared" si="12"/>
        <v>27.150727548887083</v>
      </c>
      <c r="U28">
        <f t="shared" si="13"/>
        <v>25.922930000000001</v>
      </c>
      <c r="V28">
        <f t="shared" si="14"/>
        <v>3.3589007938990112</v>
      </c>
      <c r="W28">
        <f t="shared" si="15"/>
        <v>68.102464645525956</v>
      </c>
      <c r="X28">
        <f t="shared" si="16"/>
        <v>2.3646319059870673</v>
      </c>
      <c r="Y28">
        <f t="shared" si="17"/>
        <v>3.4721678845178379</v>
      </c>
      <c r="Z28">
        <f t="shared" si="18"/>
        <v>0.9942688879119439</v>
      </c>
      <c r="AA28">
        <f t="shared" si="19"/>
        <v>-77.288739826595929</v>
      </c>
      <c r="AB28">
        <f t="shared" si="20"/>
        <v>73.064188476944807</v>
      </c>
      <c r="AC28">
        <f t="shared" si="21"/>
        <v>6.4791538885195106</v>
      </c>
      <c r="AD28">
        <f t="shared" si="22"/>
        <v>174.00584353886842</v>
      </c>
      <c r="AE28">
        <f t="shared" si="23"/>
        <v>31.889469446350255</v>
      </c>
      <c r="AF28">
        <f t="shared" si="24"/>
        <v>1.7525791343899304</v>
      </c>
      <c r="AG28">
        <f t="shared" si="25"/>
        <v>31.693986237880399</v>
      </c>
      <c r="AH28">
        <v>1631.810332032916</v>
      </c>
      <c r="AI28">
        <v>1558.815818181818</v>
      </c>
      <c r="AJ28">
        <v>3.0527475095649591E-2</v>
      </c>
      <c r="AK28">
        <v>83.968266766758106</v>
      </c>
      <c r="AL28">
        <f t="shared" si="26"/>
        <v>1.7415085393239396</v>
      </c>
      <c r="AM28">
        <v>19.497582404630599</v>
      </c>
      <c r="AN28">
        <v>23.326537593984948</v>
      </c>
      <c r="AO28">
        <v>-1.8762619081855189E-4</v>
      </c>
      <c r="AP28">
        <v>90.538231227470618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53595.696632124971</v>
      </c>
      <c r="AV28">
        <f t="shared" si="30"/>
        <v>903.95390000000009</v>
      </c>
      <c r="AW28">
        <f t="shared" si="31"/>
        <v>723.16312000000016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338</v>
      </c>
      <c r="BC28">
        <v>2</v>
      </c>
      <c r="BD28" t="b">
        <v>0</v>
      </c>
      <c r="BE28">
        <v>1750766647.349999</v>
      </c>
      <c r="BF28">
        <v>1522.287333333333</v>
      </c>
      <c r="BG28">
        <v>1600.046333333333</v>
      </c>
      <c r="BH28">
        <v>23.35185666666667</v>
      </c>
      <c r="BI28">
        <v>19.500396666666671</v>
      </c>
      <c r="BJ28">
        <v>1508.305333333333</v>
      </c>
      <c r="BK28">
        <v>23.13183333333334</v>
      </c>
      <c r="BL28">
        <v>399.97503333333327</v>
      </c>
      <c r="BM28">
        <v>101.161</v>
      </c>
      <c r="BN28">
        <v>9.9980646666666659E-2</v>
      </c>
      <c r="BO28">
        <v>26.484263333333342</v>
      </c>
      <c r="BP28">
        <v>25.922930000000001</v>
      </c>
      <c r="BQ28">
        <v>999.9000000000002</v>
      </c>
      <c r="BR28">
        <v>0</v>
      </c>
      <c r="BS28">
        <v>0</v>
      </c>
      <c r="BT28">
        <v>10002.433333333331</v>
      </c>
      <c r="BU28">
        <v>903.95390000000009</v>
      </c>
      <c r="BV28">
        <v>18.529599999999999</v>
      </c>
      <c r="BW28">
        <v>-77.758260000000007</v>
      </c>
      <c r="BX28">
        <v>1558.6859999999999</v>
      </c>
      <c r="BY28">
        <v>1631.867666666667</v>
      </c>
      <c r="BZ28">
        <v>3.8514606666666671</v>
      </c>
      <c r="CA28">
        <v>1600.046333333333</v>
      </c>
      <c r="CB28">
        <v>19.500396666666671</v>
      </c>
      <c r="CC28">
        <v>2.362296666666666</v>
      </c>
      <c r="CD28">
        <v>1.97268</v>
      </c>
      <c r="CE28">
        <v>20.107610000000001</v>
      </c>
      <c r="CF28">
        <v>17.226723333333339</v>
      </c>
      <c r="CG28">
        <v>1750753677</v>
      </c>
      <c r="CH28" t="s">
        <v>339</v>
      </c>
      <c r="CI28">
        <v>1750753677</v>
      </c>
      <c r="CJ28">
        <v>1750753673.5</v>
      </c>
      <c r="CK28">
        <v>5</v>
      </c>
      <c r="CL28">
        <v>2.1520000000000001</v>
      </c>
      <c r="CM28">
        <v>-0.52400000000000002</v>
      </c>
      <c r="CN28">
        <v>3.0179999999999998</v>
      </c>
      <c r="CO28">
        <v>0.22</v>
      </c>
      <c r="CP28">
        <v>450</v>
      </c>
      <c r="CQ28">
        <v>19</v>
      </c>
      <c r="CR28">
        <v>0.26</v>
      </c>
      <c r="CS28">
        <v>0.17</v>
      </c>
      <c r="CT28">
        <v>-77.730292682926844</v>
      </c>
      <c r="CU28">
        <v>-0.18483972125440129</v>
      </c>
      <c r="CV28">
        <v>0.1023001713997188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3.8635075609756102</v>
      </c>
      <c r="DC28">
        <v>-0.19375170731707131</v>
      </c>
      <c r="DD28">
        <v>1.9189279118183411E-2</v>
      </c>
      <c r="DE28">
        <v>0</v>
      </c>
      <c r="DF28">
        <v>1</v>
      </c>
      <c r="DG28">
        <v>2</v>
      </c>
      <c r="DH28" t="s">
        <v>362</v>
      </c>
      <c r="DI28">
        <v>3.02502</v>
      </c>
      <c r="DJ28">
        <v>2.6915399999999998</v>
      </c>
      <c r="DK28">
        <v>0.226799</v>
      </c>
      <c r="DL28">
        <v>0.23630799999999999</v>
      </c>
      <c r="DM28">
        <v>0.117546</v>
      </c>
      <c r="DN28">
        <v>0.104711</v>
      </c>
      <c r="DO28">
        <v>21612.7</v>
      </c>
      <c r="DP28">
        <v>14312.9</v>
      </c>
      <c r="DQ28">
        <v>26511.599999999999</v>
      </c>
      <c r="DR28">
        <v>17028.8</v>
      </c>
      <c r="DS28">
        <v>33266.699999999997</v>
      </c>
      <c r="DT28">
        <v>19911.2</v>
      </c>
      <c r="DU28">
        <v>38619.9</v>
      </c>
      <c r="DV28">
        <v>22566.2</v>
      </c>
      <c r="DW28">
        <v>1.8222400000000001</v>
      </c>
      <c r="DX28">
        <v>2.22654</v>
      </c>
      <c r="DY28">
        <v>8.4793599999999997E-2</v>
      </c>
      <c r="DZ28">
        <v>0</v>
      </c>
      <c r="EA28">
        <v>24.536100000000001</v>
      </c>
      <c r="EB28">
        <v>999.9</v>
      </c>
      <c r="EC28">
        <v>59.8</v>
      </c>
      <c r="ED28">
        <v>30.7</v>
      </c>
      <c r="EE28">
        <v>26.215399999999999</v>
      </c>
      <c r="EF28">
        <v>62.783799999999999</v>
      </c>
      <c r="EG28">
        <v>34.715499999999999</v>
      </c>
      <c r="EH28">
        <v>1</v>
      </c>
      <c r="EI28">
        <v>-9.0392299999999995E-2</v>
      </c>
      <c r="EJ28">
        <v>-0.54314799999999996</v>
      </c>
      <c r="EK28">
        <v>20.328900000000001</v>
      </c>
      <c r="EL28">
        <v>5.2503500000000001</v>
      </c>
      <c r="EM28">
        <v>11.962</v>
      </c>
      <c r="EN28">
        <v>4.9904000000000002</v>
      </c>
      <c r="EO28">
        <v>3.2919200000000002</v>
      </c>
      <c r="EP28">
        <v>9999</v>
      </c>
      <c r="EQ28">
        <v>9999</v>
      </c>
      <c r="ER28">
        <v>9999</v>
      </c>
      <c r="ES28">
        <v>999.9</v>
      </c>
      <c r="ET28">
        <v>4.9726999999999997</v>
      </c>
      <c r="EU28">
        <v>1.87195</v>
      </c>
      <c r="EV28">
        <v>1.87222</v>
      </c>
      <c r="EW28">
        <v>1.8772</v>
      </c>
      <c r="EX28">
        <v>1.8713599999999999</v>
      </c>
      <c r="EY28">
        <v>1.8721699999999999</v>
      </c>
      <c r="EZ28">
        <v>1.8717999999999999</v>
      </c>
      <c r="FA28">
        <v>1.8687</v>
      </c>
      <c r="FB28">
        <v>0</v>
      </c>
      <c r="FC28">
        <v>0</v>
      </c>
      <c r="FD28">
        <v>0</v>
      </c>
      <c r="FE28">
        <v>0</v>
      </c>
      <c r="FF28" t="s">
        <v>341</v>
      </c>
      <c r="FG28" t="s">
        <v>342</v>
      </c>
      <c r="FH28" t="s">
        <v>343</v>
      </c>
      <c r="FI28" t="s">
        <v>343</v>
      </c>
      <c r="FJ28" t="s">
        <v>343</v>
      </c>
      <c r="FK28" t="s">
        <v>343</v>
      </c>
      <c r="FL28">
        <v>0</v>
      </c>
      <c r="FM28">
        <v>100</v>
      </c>
      <c r="FN28">
        <v>100</v>
      </c>
      <c r="FO28">
        <v>13.98</v>
      </c>
      <c r="FP28">
        <v>0.22</v>
      </c>
      <c r="FQ28">
        <v>-0.71234261683338174</v>
      </c>
      <c r="FR28">
        <v>7.6898218637449396E-3</v>
      </c>
      <c r="FS28">
        <v>1.5097418776848419E-6</v>
      </c>
      <c r="FT28">
        <v>-9.8458676114205118E-11</v>
      </c>
      <c r="FU28">
        <v>0.22001999999999461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216.3</v>
      </c>
      <c r="GD28">
        <v>216.4</v>
      </c>
      <c r="GE28">
        <v>3.0895999999999999</v>
      </c>
      <c r="GF28">
        <v>2.6074199999999998</v>
      </c>
      <c r="GG28">
        <v>1.7981</v>
      </c>
      <c r="GH28">
        <v>2.3803700000000001</v>
      </c>
      <c r="GI28">
        <v>1.5979000000000001</v>
      </c>
      <c r="GJ28">
        <v>2.4731399999999999</v>
      </c>
      <c r="GK28">
        <v>34.122500000000002</v>
      </c>
      <c r="GL28">
        <v>24.157499999999999</v>
      </c>
      <c r="GM28">
        <v>18</v>
      </c>
      <c r="GN28">
        <v>365.88400000000001</v>
      </c>
      <c r="GO28">
        <v>682.14099999999996</v>
      </c>
      <c r="GP28">
        <v>25.830300000000001</v>
      </c>
      <c r="GQ28">
        <v>25.966999999999999</v>
      </c>
      <c r="GR28">
        <v>30.0001</v>
      </c>
      <c r="GS28">
        <v>25.883700000000001</v>
      </c>
      <c r="GT28">
        <v>25.899699999999999</v>
      </c>
      <c r="GU28">
        <v>61.773600000000002</v>
      </c>
      <c r="GV28">
        <v>31.6922</v>
      </c>
      <c r="GW28">
        <v>0</v>
      </c>
      <c r="GX28">
        <v>25.83</v>
      </c>
      <c r="GY28">
        <v>1600</v>
      </c>
      <c r="GZ28">
        <v>19.5</v>
      </c>
      <c r="HA28">
        <v>100.74</v>
      </c>
      <c r="HB28">
        <v>70.436999999999998</v>
      </c>
    </row>
    <row r="29" spans="1:210" x14ac:dyDescent="0.3">
      <c r="A29">
        <v>13</v>
      </c>
      <c r="B29">
        <v>1750766835.5999999</v>
      </c>
      <c r="C29">
        <v>2166.099999904633</v>
      </c>
      <c r="D29" t="s">
        <v>367</v>
      </c>
      <c r="E29" t="s">
        <v>368</v>
      </c>
      <c r="F29">
        <v>15</v>
      </c>
      <c r="G29">
        <v>1750766827.849999</v>
      </c>
      <c r="H29">
        <f t="shared" si="0"/>
        <v>1.5193513205227095E-3</v>
      </c>
      <c r="I29">
        <f t="shared" si="1"/>
        <v>1.5193513205227094</v>
      </c>
      <c r="J29">
        <f t="shared" si="2"/>
        <v>13.983917196617897</v>
      </c>
      <c r="K29">
        <f t="shared" si="3"/>
        <v>417.08356666666663</v>
      </c>
      <c r="L29">
        <f t="shared" si="4"/>
        <v>251.70224409082954</v>
      </c>
      <c r="M29">
        <f t="shared" si="5"/>
        <v>25.487695171746321</v>
      </c>
      <c r="N29">
        <f t="shared" si="6"/>
        <v>42.234422051909078</v>
      </c>
      <c r="O29">
        <f t="shared" si="7"/>
        <v>0.14411378767109898</v>
      </c>
      <c r="P29">
        <f t="shared" si="8"/>
        <v>2.4145490068135165</v>
      </c>
      <c r="Q29">
        <f t="shared" si="9"/>
        <v>0.13956999647366991</v>
      </c>
      <c r="R29">
        <f t="shared" si="10"/>
        <v>8.7627655126128898E-2</v>
      </c>
      <c r="S29">
        <f t="shared" si="11"/>
        <v>171.76744799999997</v>
      </c>
      <c r="T29">
        <f t="shared" si="12"/>
        <v>27.273552403227953</v>
      </c>
      <c r="U29">
        <f t="shared" si="13"/>
        <v>26.031383333333331</v>
      </c>
      <c r="V29">
        <f t="shared" si="14"/>
        <v>3.3805297068775824</v>
      </c>
      <c r="W29">
        <f t="shared" si="15"/>
        <v>66.308602096916772</v>
      </c>
      <c r="X29">
        <f t="shared" si="16"/>
        <v>2.3091737081741344</v>
      </c>
      <c r="Y29">
        <f t="shared" si="17"/>
        <v>3.4824647710097132</v>
      </c>
      <c r="Z29">
        <f t="shared" si="18"/>
        <v>1.071355998703448</v>
      </c>
      <c r="AA29">
        <f t="shared" si="19"/>
        <v>-67.00339323505149</v>
      </c>
      <c r="AB29">
        <f t="shared" si="20"/>
        <v>65.49185548465006</v>
      </c>
      <c r="AC29">
        <f t="shared" si="21"/>
        <v>5.8117733543479275</v>
      </c>
      <c r="AD29">
        <f t="shared" si="22"/>
        <v>176.06768360394648</v>
      </c>
      <c r="AE29">
        <f t="shared" si="23"/>
        <v>13.983917196617897</v>
      </c>
      <c r="AF29">
        <f t="shared" si="24"/>
        <v>1.5193513205227094</v>
      </c>
      <c r="AG29">
        <f t="shared" si="25"/>
        <v>13.963453882419644</v>
      </c>
      <c r="AH29">
        <v>458.87387127617052</v>
      </c>
      <c r="AI29">
        <v>426.83227878787869</v>
      </c>
      <c r="AJ29">
        <v>6.6675078457867354E-5</v>
      </c>
      <c r="AK29">
        <v>83.968266766758106</v>
      </c>
      <c r="AL29">
        <f t="shared" si="26"/>
        <v>1.5118135194893902</v>
      </c>
      <c r="AM29">
        <v>19.47282508015444</v>
      </c>
      <c r="AN29">
        <v>22.797162706766908</v>
      </c>
      <c r="AO29">
        <v>-3.7406058895197747E-5</v>
      </c>
      <c r="AP29">
        <v>90.538231227470618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53593.735622842083</v>
      </c>
      <c r="AV29">
        <f t="shared" si="30"/>
        <v>904.03919999999982</v>
      </c>
      <c r="AW29">
        <f t="shared" si="31"/>
        <v>723.23135999999988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338</v>
      </c>
      <c r="BC29">
        <v>2</v>
      </c>
      <c r="BD29" t="b">
        <v>0</v>
      </c>
      <c r="BE29">
        <v>1750766827.849999</v>
      </c>
      <c r="BF29">
        <v>417.08356666666663</v>
      </c>
      <c r="BG29">
        <v>449.97279999999989</v>
      </c>
      <c r="BH29">
        <v>22.804110000000001</v>
      </c>
      <c r="BI29">
        <v>19.463566666666669</v>
      </c>
      <c r="BJ29">
        <v>414.35716666666673</v>
      </c>
      <c r="BK29">
        <v>22.584086666666671</v>
      </c>
      <c r="BL29">
        <v>400.00483333333341</v>
      </c>
      <c r="BM29">
        <v>101.1613333333333</v>
      </c>
      <c r="BN29">
        <v>9.9961589999999989E-2</v>
      </c>
      <c r="BO29">
        <v>26.534496666666659</v>
      </c>
      <c r="BP29">
        <v>26.031383333333331</v>
      </c>
      <c r="BQ29">
        <v>999.9000000000002</v>
      </c>
      <c r="BR29">
        <v>0</v>
      </c>
      <c r="BS29">
        <v>0</v>
      </c>
      <c r="BT29">
        <v>10003.76666666667</v>
      </c>
      <c r="BU29">
        <v>904.03919999999982</v>
      </c>
      <c r="BV29">
        <v>18.529599999999999</v>
      </c>
      <c r="BW29">
        <v>-32.889409999999998</v>
      </c>
      <c r="BX29">
        <v>426.81666666666672</v>
      </c>
      <c r="BY29">
        <v>458.90473333333341</v>
      </c>
      <c r="BZ29">
        <v>3.3405419999999988</v>
      </c>
      <c r="CA29">
        <v>449.97279999999989</v>
      </c>
      <c r="CB29">
        <v>19.463566666666669</v>
      </c>
      <c r="CC29">
        <v>2.306894666666667</v>
      </c>
      <c r="CD29">
        <v>1.96896</v>
      </c>
      <c r="CE29">
        <v>19.72461333333333</v>
      </c>
      <c r="CF29">
        <v>17.196893333333328</v>
      </c>
      <c r="CG29">
        <v>1750753677</v>
      </c>
      <c r="CH29" t="s">
        <v>339</v>
      </c>
      <c r="CI29">
        <v>1750753677</v>
      </c>
      <c r="CJ29">
        <v>1750753673.5</v>
      </c>
      <c r="CK29">
        <v>5</v>
      </c>
      <c r="CL29">
        <v>2.1520000000000001</v>
      </c>
      <c r="CM29">
        <v>-0.52400000000000002</v>
      </c>
      <c r="CN29">
        <v>3.0179999999999998</v>
      </c>
      <c r="CO29">
        <v>0.22</v>
      </c>
      <c r="CP29">
        <v>450</v>
      </c>
      <c r="CQ29">
        <v>19</v>
      </c>
      <c r="CR29">
        <v>0.26</v>
      </c>
      <c r="CS29">
        <v>0.17</v>
      </c>
      <c r="CT29">
        <v>-32.909297500000001</v>
      </c>
      <c r="CU29">
        <v>0.3750045028143098</v>
      </c>
      <c r="CV29">
        <v>4.7767444392075017E-2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3.3542862499999999</v>
      </c>
      <c r="DC29">
        <v>-0.27631936210131841</v>
      </c>
      <c r="DD29">
        <v>2.7939308660693451E-2</v>
      </c>
      <c r="DE29">
        <v>0</v>
      </c>
      <c r="DF29">
        <v>1</v>
      </c>
      <c r="DG29">
        <v>2</v>
      </c>
      <c r="DH29" t="s">
        <v>362</v>
      </c>
      <c r="DI29">
        <v>3.0247700000000002</v>
      </c>
      <c r="DJ29">
        <v>2.6912500000000001</v>
      </c>
      <c r="DK29">
        <v>9.6110000000000001E-2</v>
      </c>
      <c r="DL29">
        <v>0.10276200000000001</v>
      </c>
      <c r="DM29">
        <v>0.11565300000000001</v>
      </c>
      <c r="DN29">
        <v>0.104647</v>
      </c>
      <c r="DO29">
        <v>25261.599999999999</v>
      </c>
      <c r="DP29">
        <v>16814.2</v>
      </c>
      <c r="DQ29">
        <v>26509.5</v>
      </c>
      <c r="DR29">
        <v>17028.599999999999</v>
      </c>
      <c r="DS29">
        <v>33335.800000000003</v>
      </c>
      <c r="DT29">
        <v>19910.900000000001</v>
      </c>
      <c r="DU29">
        <v>38618.199999999997</v>
      </c>
      <c r="DV29">
        <v>22566.5</v>
      </c>
      <c r="DW29">
        <v>1.8207800000000001</v>
      </c>
      <c r="DX29">
        <v>2.2232400000000001</v>
      </c>
      <c r="DY29">
        <v>8.5678699999999997E-2</v>
      </c>
      <c r="DZ29">
        <v>0</v>
      </c>
      <c r="EA29">
        <v>24.6252</v>
      </c>
      <c r="EB29">
        <v>999.9</v>
      </c>
      <c r="EC29">
        <v>59.7</v>
      </c>
      <c r="ED29">
        <v>30.7</v>
      </c>
      <c r="EE29">
        <v>26.172499999999999</v>
      </c>
      <c r="EF29">
        <v>62.543799999999997</v>
      </c>
      <c r="EG29">
        <v>34.799700000000001</v>
      </c>
      <c r="EH29">
        <v>1</v>
      </c>
      <c r="EI29">
        <v>-8.7345500000000006E-2</v>
      </c>
      <c r="EJ29">
        <v>-0.47826600000000002</v>
      </c>
      <c r="EK29">
        <v>20.3292</v>
      </c>
      <c r="EL29">
        <v>5.2517899999999997</v>
      </c>
      <c r="EM29">
        <v>11.962</v>
      </c>
      <c r="EN29">
        <v>4.99024</v>
      </c>
      <c r="EO29">
        <v>3.2919200000000002</v>
      </c>
      <c r="EP29">
        <v>9999</v>
      </c>
      <c r="EQ29">
        <v>9999</v>
      </c>
      <c r="ER29">
        <v>9999</v>
      </c>
      <c r="ES29">
        <v>999.9</v>
      </c>
      <c r="ET29">
        <v>4.9726900000000001</v>
      </c>
      <c r="EU29">
        <v>1.8719399999999999</v>
      </c>
      <c r="EV29">
        <v>1.87222</v>
      </c>
      <c r="EW29">
        <v>1.8772</v>
      </c>
      <c r="EX29">
        <v>1.87134</v>
      </c>
      <c r="EY29">
        <v>1.8721300000000001</v>
      </c>
      <c r="EZ29">
        <v>1.8717999999999999</v>
      </c>
      <c r="FA29">
        <v>1.86863</v>
      </c>
      <c r="FB29">
        <v>0</v>
      </c>
      <c r="FC29">
        <v>0</v>
      </c>
      <c r="FD29">
        <v>0</v>
      </c>
      <c r="FE29">
        <v>0</v>
      </c>
      <c r="FF29" t="s">
        <v>341</v>
      </c>
      <c r="FG29" t="s">
        <v>342</v>
      </c>
      <c r="FH29" t="s">
        <v>343</v>
      </c>
      <c r="FI29" t="s">
        <v>343</v>
      </c>
      <c r="FJ29" t="s">
        <v>343</v>
      </c>
      <c r="FK29" t="s">
        <v>343</v>
      </c>
      <c r="FL29">
        <v>0</v>
      </c>
      <c r="FM29">
        <v>100</v>
      </c>
      <c r="FN29">
        <v>100</v>
      </c>
      <c r="FO29">
        <v>2.7269999999999999</v>
      </c>
      <c r="FP29">
        <v>0.22</v>
      </c>
      <c r="FQ29">
        <v>-0.71234261683338174</v>
      </c>
      <c r="FR29">
        <v>7.6898218637449396E-3</v>
      </c>
      <c r="FS29">
        <v>1.5097418776848419E-6</v>
      </c>
      <c r="FT29">
        <v>-9.8458676114205118E-11</v>
      </c>
      <c r="FU29">
        <v>0.22001999999999461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219.3</v>
      </c>
      <c r="GD29">
        <v>219.4</v>
      </c>
      <c r="GE29">
        <v>1.1035200000000001</v>
      </c>
      <c r="GF29">
        <v>2.6269499999999999</v>
      </c>
      <c r="GG29">
        <v>1.7981</v>
      </c>
      <c r="GH29">
        <v>2.3791500000000001</v>
      </c>
      <c r="GI29">
        <v>1.5979000000000001</v>
      </c>
      <c r="GJ29">
        <v>2.51953</v>
      </c>
      <c r="GK29">
        <v>34.145200000000003</v>
      </c>
      <c r="GL29">
        <v>24.1663</v>
      </c>
      <c r="GM29">
        <v>18</v>
      </c>
      <c r="GN29">
        <v>365.38299999999998</v>
      </c>
      <c r="GO29">
        <v>679.72900000000004</v>
      </c>
      <c r="GP29">
        <v>25.8306</v>
      </c>
      <c r="GQ29">
        <v>26.0063</v>
      </c>
      <c r="GR29">
        <v>30.000299999999999</v>
      </c>
      <c r="GS29">
        <v>25.9192</v>
      </c>
      <c r="GT29">
        <v>25.935600000000001</v>
      </c>
      <c r="GU29">
        <v>22.030799999999999</v>
      </c>
      <c r="GV29">
        <v>31.4102</v>
      </c>
      <c r="GW29">
        <v>0</v>
      </c>
      <c r="GX29">
        <v>25.83</v>
      </c>
      <c r="GY29">
        <v>450</v>
      </c>
      <c r="GZ29">
        <v>19.5</v>
      </c>
      <c r="HA29">
        <v>100.73399999999999</v>
      </c>
      <c r="HB29">
        <v>70.437299999999993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30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2025-06-24T12:09:14Z</dcterms:created>
  <dcterms:modified xsi:type="dcterms:W3CDTF">2025-12-01T11:35:58Z</dcterms:modified>
</cp:coreProperties>
</file>