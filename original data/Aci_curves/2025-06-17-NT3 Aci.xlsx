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9FDBD39AB1DD7C873D3250D70638FF55" xr6:coauthVersionLast="47" xr6:coauthVersionMax="47" xr10:uidLastSave="{12645897-A7D3-42A1-8B54-818295444F44}"/>
  <bookViews>
    <workbookView xWindow="3276" yWindow="327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 s="1"/>
  <c r="P29" i="1"/>
  <c r="AY28" i="1"/>
  <c r="AX28" i="1"/>
  <c r="AV28" i="1"/>
  <c r="S28" i="1" s="1"/>
  <c r="AU28" i="1"/>
  <c r="AT28" i="1"/>
  <c r="AS28" i="1"/>
  <c r="AF28" i="1" s="1"/>
  <c r="I28" i="1" s="1"/>
  <c r="H28" i="1" s="1"/>
  <c r="AL28" i="1"/>
  <c r="AG28" i="1"/>
  <c r="AE28" i="1"/>
  <c r="J28" i="1" s="1"/>
  <c r="Y28" i="1"/>
  <c r="X28" i="1"/>
  <c r="W28" i="1"/>
  <c r="P28" i="1"/>
  <c r="N28" i="1"/>
  <c r="K28" i="1"/>
  <c r="AY27" i="1"/>
  <c r="AX27" i="1"/>
  <c r="AV27" i="1"/>
  <c r="S27" i="1" s="1"/>
  <c r="AU27" i="1"/>
  <c r="AS27" i="1" s="1"/>
  <c r="AL27" i="1"/>
  <c r="AG27" i="1"/>
  <c r="Y27" i="1"/>
  <c r="X27" i="1"/>
  <c r="W27" i="1" s="1"/>
  <c r="P27" i="1"/>
  <c r="AY26" i="1"/>
  <c r="AX26" i="1"/>
  <c r="AV26" i="1"/>
  <c r="AW26" i="1" s="1"/>
  <c r="AU26" i="1"/>
  <c r="AS26" i="1"/>
  <c r="AE26" i="1" s="1"/>
  <c r="J26" i="1" s="1"/>
  <c r="AL26" i="1"/>
  <c r="AG26" i="1"/>
  <c r="Y26" i="1"/>
  <c r="X26" i="1"/>
  <c r="W26" i="1" s="1"/>
  <c r="S26" i="1"/>
  <c r="P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AU24" i="1"/>
  <c r="AT24" i="1"/>
  <c r="AS24" i="1"/>
  <c r="AL24" i="1"/>
  <c r="AG24" i="1"/>
  <c r="AF24" i="1"/>
  <c r="I24" i="1" s="1"/>
  <c r="H24" i="1" s="1"/>
  <c r="AE24" i="1"/>
  <c r="J24" i="1" s="1"/>
  <c r="Y24" i="1"/>
  <c r="X24" i="1"/>
  <c r="W24" i="1"/>
  <c r="P24" i="1"/>
  <c r="N24" i="1"/>
  <c r="K24" i="1"/>
  <c r="AY23" i="1"/>
  <c r="AX23" i="1"/>
  <c r="AV23" i="1"/>
  <c r="S23" i="1" s="1"/>
  <c r="AU23" i="1"/>
  <c r="AS23" i="1" s="1"/>
  <c r="AL23" i="1"/>
  <c r="AG23" i="1"/>
  <c r="AF23" i="1"/>
  <c r="I23" i="1" s="1"/>
  <c r="H23" i="1" s="1"/>
  <c r="Y23" i="1"/>
  <c r="X23" i="1"/>
  <c r="W23" i="1" s="1"/>
  <c r="P23" i="1"/>
  <c r="AY22" i="1"/>
  <c r="AX22" i="1"/>
  <c r="AV22" i="1"/>
  <c r="AW22" i="1" s="1"/>
  <c r="AU22" i="1"/>
  <c r="AS22" i="1"/>
  <c r="AE22" i="1" s="1"/>
  <c r="J22" i="1" s="1"/>
  <c r="AL22" i="1"/>
  <c r="AG22" i="1"/>
  <c r="Y22" i="1"/>
  <c r="X22" i="1"/>
  <c r="W22" i="1" s="1"/>
  <c r="S22" i="1"/>
  <c r="P22" i="1"/>
  <c r="K22" i="1"/>
  <c r="AY21" i="1"/>
  <c r="AX21" i="1"/>
  <c r="AV21" i="1"/>
  <c r="AW21" i="1" s="1"/>
  <c r="AU21" i="1"/>
  <c r="AS21" i="1" s="1"/>
  <c r="AT21" i="1"/>
  <c r="AL21" i="1"/>
  <c r="AG21" i="1"/>
  <c r="Y21" i="1"/>
  <c r="X21" i="1"/>
  <c r="W21" i="1" s="1"/>
  <c r="P21" i="1"/>
  <c r="AY20" i="1"/>
  <c r="AX20" i="1"/>
  <c r="AV20" i="1"/>
  <c r="AU20" i="1"/>
  <c r="AT20" i="1"/>
  <c r="AS20" i="1"/>
  <c r="AL20" i="1"/>
  <c r="AG20" i="1"/>
  <c r="AF20" i="1"/>
  <c r="I20" i="1" s="1"/>
  <c r="H20" i="1" s="1"/>
  <c r="AE20" i="1"/>
  <c r="J20" i="1" s="1"/>
  <c r="Y20" i="1"/>
  <c r="X20" i="1"/>
  <c r="W20" i="1"/>
  <c r="P20" i="1"/>
  <c r="N20" i="1"/>
  <c r="K20" i="1"/>
  <c r="AY19" i="1"/>
  <c r="AX19" i="1"/>
  <c r="AV19" i="1"/>
  <c r="S19" i="1" s="1"/>
  <c r="AU19" i="1"/>
  <c r="AS19" i="1" s="1"/>
  <c r="AL19" i="1"/>
  <c r="AG19" i="1"/>
  <c r="AF19" i="1"/>
  <c r="I19" i="1" s="1"/>
  <c r="H19" i="1" s="1"/>
  <c r="Y19" i="1"/>
  <c r="X19" i="1"/>
  <c r="W19" i="1" s="1"/>
  <c r="P19" i="1"/>
  <c r="AY18" i="1"/>
  <c r="AX18" i="1"/>
  <c r="AV18" i="1"/>
  <c r="AW18" i="1" s="1"/>
  <c r="AU18" i="1"/>
  <c r="AS18" i="1"/>
  <c r="AE18" i="1" s="1"/>
  <c r="AL18" i="1"/>
  <c r="AG18" i="1"/>
  <c r="Y18" i="1"/>
  <c r="X18" i="1"/>
  <c r="W18" i="1" s="1"/>
  <c r="S18" i="1"/>
  <c r="P18" i="1"/>
  <c r="J18" i="1"/>
  <c r="AY17" i="1"/>
  <c r="AX17" i="1"/>
  <c r="AV17" i="1"/>
  <c r="AW17" i="1" s="1"/>
  <c r="AU17" i="1"/>
  <c r="AS17" i="1" s="1"/>
  <c r="AT17" i="1"/>
  <c r="AL17" i="1"/>
  <c r="AG17" i="1"/>
  <c r="Y17" i="1"/>
  <c r="X17" i="1"/>
  <c r="W17" i="1" s="1"/>
  <c r="P17" i="1"/>
  <c r="AA19" i="1" l="1"/>
  <c r="AA23" i="1"/>
  <c r="AA24" i="1"/>
  <c r="AA28" i="1"/>
  <c r="Q28" i="1"/>
  <c r="O28" i="1" s="1"/>
  <c r="R28" i="1" s="1"/>
  <c r="L28" i="1" s="1"/>
  <c r="M28" i="1" s="1"/>
  <c r="AT19" i="1"/>
  <c r="K19" i="1"/>
  <c r="AE19" i="1"/>
  <c r="J19" i="1" s="1"/>
  <c r="N19" i="1"/>
  <c r="T19" i="1"/>
  <c r="U19" i="1" s="1"/>
  <c r="Q19" i="1" s="1"/>
  <c r="O19" i="1" s="1"/>
  <c r="R19" i="1" s="1"/>
  <c r="L19" i="1" s="1"/>
  <c r="M19" i="1" s="1"/>
  <c r="AT23" i="1"/>
  <c r="K23" i="1"/>
  <c r="AE23" i="1"/>
  <c r="J23" i="1" s="1"/>
  <c r="N23" i="1"/>
  <c r="AF27" i="1"/>
  <c r="I27" i="1" s="1"/>
  <c r="H27" i="1" s="1"/>
  <c r="T27" i="1" s="1"/>
  <c r="U27" i="1" s="1"/>
  <c r="AT27" i="1"/>
  <c r="K27" i="1"/>
  <c r="AE27" i="1"/>
  <c r="J27" i="1" s="1"/>
  <c r="N27" i="1"/>
  <c r="T28" i="1"/>
  <c r="U28" i="1" s="1"/>
  <c r="AF29" i="1"/>
  <c r="I29" i="1" s="1"/>
  <c r="H29" i="1" s="1"/>
  <c r="AE29" i="1"/>
  <c r="J29" i="1" s="1"/>
  <c r="N29" i="1"/>
  <c r="K29" i="1"/>
  <c r="AT29" i="1"/>
  <c r="AB19" i="1"/>
  <c r="T23" i="1"/>
  <c r="U23" i="1" s="1"/>
  <c r="Q23" i="1" s="1"/>
  <c r="O23" i="1" s="1"/>
  <c r="R23" i="1" s="1"/>
  <c r="L23" i="1" s="1"/>
  <c r="M23" i="1" s="1"/>
  <c r="AA20" i="1"/>
  <c r="AF25" i="1"/>
  <c r="I25" i="1" s="1"/>
  <c r="H25" i="1" s="1"/>
  <c r="AE25" i="1"/>
  <c r="J25" i="1" s="1"/>
  <c r="N25" i="1"/>
  <c r="K25" i="1"/>
  <c r="AT25" i="1"/>
  <c r="AF17" i="1"/>
  <c r="I17" i="1" s="1"/>
  <c r="H17" i="1" s="1"/>
  <c r="AE17" i="1"/>
  <c r="J17" i="1" s="1"/>
  <c r="N17" i="1"/>
  <c r="K17" i="1"/>
  <c r="AF21" i="1"/>
  <c r="I21" i="1" s="1"/>
  <c r="H21" i="1" s="1"/>
  <c r="AE21" i="1"/>
  <c r="J21" i="1" s="1"/>
  <c r="N21" i="1"/>
  <c r="K21" i="1"/>
  <c r="S20" i="1"/>
  <c r="AW20" i="1"/>
  <c r="S24" i="1"/>
  <c r="AW24" i="1"/>
  <c r="AF18" i="1"/>
  <c r="I18" i="1" s="1"/>
  <c r="H18" i="1" s="1"/>
  <c r="AF22" i="1"/>
  <c r="I22" i="1" s="1"/>
  <c r="H22" i="1" s="1"/>
  <c r="T22" i="1" s="1"/>
  <c r="U22" i="1" s="1"/>
  <c r="AF26" i="1"/>
  <c r="I26" i="1" s="1"/>
  <c r="H26" i="1" s="1"/>
  <c r="S17" i="1"/>
  <c r="AW19" i="1"/>
  <c r="S21" i="1"/>
  <c r="AW23" i="1"/>
  <c r="S25" i="1"/>
  <c r="AW27" i="1"/>
  <c r="S29" i="1"/>
  <c r="AT22" i="1"/>
  <c r="K18" i="1"/>
  <c r="K26" i="1"/>
  <c r="AW28" i="1"/>
  <c r="AT18" i="1"/>
  <c r="T26" i="1"/>
  <c r="U26" i="1" s="1"/>
  <c r="AB26" i="1" s="1"/>
  <c r="AT26" i="1"/>
  <c r="N22" i="1"/>
  <c r="N26" i="1"/>
  <c r="N18" i="1"/>
  <c r="AC27" i="1" l="1"/>
  <c r="V27" i="1"/>
  <c r="Z27" i="1" s="1"/>
  <c r="AB27" i="1"/>
  <c r="V22" i="1"/>
  <c r="Z22" i="1" s="1"/>
  <c r="AC22" i="1"/>
  <c r="AB22" i="1"/>
  <c r="AA29" i="1"/>
  <c r="AA18" i="1"/>
  <c r="T25" i="1"/>
  <c r="U25" i="1" s="1"/>
  <c r="Q21" i="1"/>
  <c r="O21" i="1" s="1"/>
  <c r="R21" i="1" s="1"/>
  <c r="L21" i="1" s="1"/>
  <c r="M21" i="1" s="1"/>
  <c r="AA21" i="1"/>
  <c r="Q25" i="1"/>
  <c r="O25" i="1" s="1"/>
  <c r="R25" i="1" s="1"/>
  <c r="L25" i="1" s="1"/>
  <c r="M25" i="1" s="1"/>
  <c r="AA25" i="1"/>
  <c r="AC23" i="1"/>
  <c r="V23" i="1"/>
  <c r="Z23" i="1" s="1"/>
  <c r="T17" i="1"/>
  <c r="U17" i="1" s="1"/>
  <c r="AC28" i="1"/>
  <c r="AB28" i="1"/>
  <c r="V28" i="1"/>
  <c r="Z28" i="1" s="1"/>
  <c r="T21" i="1"/>
  <c r="U21" i="1" s="1"/>
  <c r="T24" i="1"/>
  <c r="U24" i="1" s="1"/>
  <c r="T18" i="1"/>
  <c r="U18" i="1" s="1"/>
  <c r="AA26" i="1"/>
  <c r="Q26" i="1"/>
  <c r="O26" i="1" s="1"/>
  <c r="R26" i="1" s="1"/>
  <c r="L26" i="1" s="1"/>
  <c r="M26" i="1" s="1"/>
  <c r="T20" i="1"/>
  <c r="U20" i="1" s="1"/>
  <c r="AA17" i="1"/>
  <c r="AB23" i="1"/>
  <c r="Q27" i="1"/>
  <c r="O27" i="1" s="1"/>
  <c r="R27" i="1" s="1"/>
  <c r="L27" i="1" s="1"/>
  <c r="M27" i="1" s="1"/>
  <c r="AA27" i="1"/>
  <c r="V26" i="1"/>
  <c r="Z26" i="1" s="1"/>
  <c r="AC26" i="1"/>
  <c r="AD26" i="1" s="1"/>
  <c r="T29" i="1"/>
  <c r="U29" i="1" s="1"/>
  <c r="Q29" i="1" s="1"/>
  <c r="O29" i="1" s="1"/>
  <c r="R29" i="1" s="1"/>
  <c r="L29" i="1" s="1"/>
  <c r="M29" i="1" s="1"/>
  <c r="AA22" i="1"/>
  <c r="Q22" i="1"/>
  <c r="O22" i="1" s="1"/>
  <c r="R22" i="1" s="1"/>
  <c r="L22" i="1" s="1"/>
  <c r="M22" i="1" s="1"/>
  <c r="AC19" i="1"/>
  <c r="AD19" i="1" s="1"/>
  <c r="V19" i="1"/>
  <c r="Z19" i="1" s="1"/>
  <c r="AC29" i="1" l="1"/>
  <c r="AB29" i="1"/>
  <c r="V29" i="1"/>
  <c r="Z29" i="1" s="1"/>
  <c r="AD22" i="1"/>
  <c r="V18" i="1"/>
  <c r="Z18" i="1" s="1"/>
  <c r="AC18" i="1"/>
  <c r="AB18" i="1"/>
  <c r="AB25" i="1"/>
  <c r="AC25" i="1"/>
  <c r="V25" i="1"/>
  <c r="Z25" i="1" s="1"/>
  <c r="AC20" i="1"/>
  <c r="AB20" i="1"/>
  <c r="V20" i="1"/>
  <c r="Z20" i="1" s="1"/>
  <c r="Q20" i="1"/>
  <c r="O20" i="1" s="1"/>
  <c r="R20" i="1" s="1"/>
  <c r="L20" i="1" s="1"/>
  <c r="M20" i="1" s="1"/>
  <c r="AD28" i="1"/>
  <c r="AC24" i="1"/>
  <c r="AD24" i="1" s="1"/>
  <c r="V24" i="1"/>
  <c r="Z24" i="1" s="1"/>
  <c r="AB24" i="1"/>
  <c r="Q24" i="1"/>
  <c r="O24" i="1" s="1"/>
  <c r="R24" i="1" s="1"/>
  <c r="L24" i="1" s="1"/>
  <c r="M24" i="1" s="1"/>
  <c r="Q18" i="1"/>
  <c r="O18" i="1" s="1"/>
  <c r="R18" i="1" s="1"/>
  <c r="L18" i="1" s="1"/>
  <c r="M18" i="1" s="1"/>
  <c r="V17" i="1"/>
  <c r="Z17" i="1" s="1"/>
  <c r="AC17" i="1"/>
  <c r="AB17" i="1"/>
  <c r="Q17" i="1"/>
  <c r="O17" i="1" s="1"/>
  <c r="R17" i="1" s="1"/>
  <c r="L17" i="1" s="1"/>
  <c r="M17" i="1" s="1"/>
  <c r="AC21" i="1"/>
  <c r="V21" i="1"/>
  <c r="Z21" i="1" s="1"/>
  <c r="AB21" i="1"/>
  <c r="AD23" i="1"/>
  <c r="AD27" i="1"/>
  <c r="AD17" i="1" l="1"/>
  <c r="AD18" i="1"/>
  <c r="AD20" i="1"/>
  <c r="AD21" i="1"/>
  <c r="AD25" i="1"/>
  <c r="AD29" i="1"/>
</calcChain>
</file>

<file path=xl/sharedStrings.xml><?xml version="1.0" encoding="utf-8"?>
<sst xmlns="http://schemas.openxmlformats.org/spreadsheetml/2006/main" count="814" uniqueCount="367">
  <si>
    <t>File opened</t>
  </si>
  <si>
    <t>2025-06-17 16:15:26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</si>
  <si>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</si>
  <si>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</si>
  <si>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</si>
  <si>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</si>
  <si>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</si>
  <si>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</si>
  <si>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</si>
  <si>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</si>
  <si>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</si>
  <si>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</si>
  <si>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</si>
  <si>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</si>
  <si>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</si>
  <si>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</si>
  <si>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</si>
  <si>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</si>
  <si>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</si>
  <si>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</si>
  <si>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</si>
  <si>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</si>
  <si>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</si>
  <si>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</si>
  <si>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</si>
  <si>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</si>
  <si>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</si>
  <si>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</si>
  <si>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16:15:26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</si>
  <si>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</si>
  <si>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</si>
  <si>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</si>
  <si>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</si>
  <si>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</si>
  <si>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</si>
  <si>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</si>
  <si>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</si>
  <si>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</si>
  <si>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</si>
  <si>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</si>
  <si>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</si>
  <si>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</si>
  <si>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</si>
  <si>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</si>
  <si>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</si>
  <si>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</si>
  <si>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</si>
  <si>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</si>
  <si>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</si>
  <si>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</si>
  <si>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</si>
  <si>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</si>
  <si>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</si>
  <si>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</si>
  <si>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</si>
  <si>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</si>
  <si>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</si>
  <si>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</si>
  <si>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</si>
  <si>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</si>
  <si>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</si>
  <si>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</si>
  <si>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</si>
  <si>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</si>
  <si>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</si>
  <si>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</si>
  <si>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</si>
  <si>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</si>
  <si>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</si>
  <si>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</si>
  <si>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</si>
  <si>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</si>
  <si>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</si>
  <si>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</si>
  <si>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</si>
  <si>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</si>
  <si>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</si>
  <si>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</si>
  <si>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</si>
  <si>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</si>
  <si>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3.90083 160.591 336.742 581.201 849.8 1045.98 1294.01 1503.02</t>
  </si>
  <si>
    <t>Fs_true</t>
  </si>
  <si>
    <t>-0.361188 202.539 384.272 594.309 809.523 1001.14 1202.2 1401.04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</si>
  <si>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</si>
  <si>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</si>
  <si>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</si>
  <si>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</si>
  <si>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</si>
  <si>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</si>
  <si>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</si>
  <si>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</si>
  <si>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</si>
  <si>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</si>
  <si>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</si>
  <si>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</si>
  <si>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</si>
  <si>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</si>
  <si>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</si>
  <si>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</si>
  <si>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</si>
  <si>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</si>
  <si>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</si>
  <si>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</si>
  <si>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</si>
  <si>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</si>
  <si>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</si>
  <si>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</si>
  <si>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</si>
  <si>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</si>
  <si>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</si>
  <si>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</si>
  <si>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</si>
  <si>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</si>
  <si>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</si>
  <si>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</si>
  <si>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</si>
  <si>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</si>
  <si>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</si>
  <si>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</si>
  <si>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</si>
  <si>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</si>
  <si>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</si>
  <si>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</si>
  <si>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</si>
  <si>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</si>
  <si>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</si>
  <si>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</si>
  <si>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</si>
  <si>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</si>
  <si>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</si>
  <si>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</si>
  <si>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</si>
  <si>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</si>
  <si>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</si>
  <si>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</si>
  <si>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</si>
  <si>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</si>
  <si>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</si>
  <si>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</si>
  <si>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</si>
  <si>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</si>
  <si>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</si>
  <si>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</si>
  <si>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</si>
  <si>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</si>
  <si>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</si>
  <si>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</si>
  <si>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</si>
  <si>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</si>
  <si>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</si>
  <si>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</si>
  <si>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</si>
  <si>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</si>
  <si>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</si>
  <si>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</si>
  <si>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</si>
  <si>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</si>
  <si>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</si>
  <si>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</si>
  <si>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</si>
  <si>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</si>
  <si>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</si>
  <si>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</si>
  <si>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</si>
  <si>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</si>
  <si>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</si>
  <si>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</si>
  <si>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</si>
  <si>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</si>
  <si>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</si>
  <si>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</si>
  <si>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</si>
  <si>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</si>
  <si>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</si>
  <si>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</si>
  <si>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</si>
  <si>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</si>
  <si>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</si>
  <si>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</si>
  <si>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</si>
  <si>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</si>
  <si>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</si>
  <si>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</si>
  <si>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</si>
  <si>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</si>
  <si>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</si>
  <si>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</si>
  <si>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</si>
  <si>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</si>
  <si>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</si>
  <si>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</si>
  <si>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</si>
  <si>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</si>
  <si>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</si>
  <si>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</si>
  <si>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</si>
  <si>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</si>
  <si>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</si>
  <si>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</si>
  <si>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</si>
  <si>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</si>
  <si>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</si>
  <si>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</si>
  <si>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</si>
  <si>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</si>
  <si>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</si>
  <si>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</si>
  <si>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</si>
  <si>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</si>
  <si>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</si>
  <si>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</si>
  <si>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</si>
  <si>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</si>
  <si>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</si>
  <si>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</si>
  <si>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</si>
  <si>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</si>
  <si>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</si>
  <si>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</si>
  <si>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</si>
  <si>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</si>
  <si>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</si>
  <si>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</si>
  <si>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</si>
  <si>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</si>
  <si>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</si>
  <si>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</si>
  <si>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</si>
  <si>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</si>
  <si>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</si>
  <si>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</si>
  <si>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</si>
  <si>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</si>
  <si>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</si>
  <si>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</si>
  <si>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</si>
  <si>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</si>
  <si>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</si>
  <si>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</si>
  <si>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</si>
  <si>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</si>
  <si>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</si>
  <si>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</si>
  <si>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</si>
  <si>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</si>
  <si>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</si>
  <si>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</si>
  <si>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</si>
  <si>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</si>
  <si>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</si>
  <si>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</si>
  <si>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</si>
  <si>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</si>
  <si>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</si>
  <si>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</si>
  <si>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</si>
  <si>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</si>
  <si>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</si>
  <si>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</si>
  <si>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</si>
  <si>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</si>
  <si>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</si>
  <si>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</si>
  <si>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</si>
  <si>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</si>
  <si>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</si>
  <si>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</si>
  <si>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</si>
  <si>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</si>
  <si>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</si>
  <si>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</si>
  <si>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</si>
  <si>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</si>
  <si>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</si>
  <si>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</si>
  <si>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</si>
  <si>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</si>
  <si>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</si>
  <si>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</si>
  <si>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</si>
  <si>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</si>
  <si>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</si>
  <si>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</si>
  <si>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</si>
  <si>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</si>
  <si>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</si>
  <si>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</si>
  <si>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</si>
  <si>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</si>
  <si>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</si>
  <si>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</si>
  <si>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</si>
  <si>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</si>
  <si>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</si>
  <si>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</si>
  <si>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</si>
  <si>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</si>
  <si>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</si>
  <si>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</si>
  <si>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</si>
  <si>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</si>
  <si>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</si>
  <si>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</si>
  <si>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</si>
  <si>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</si>
  <si>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</si>
  <si>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</si>
  <si>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</si>
  <si>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</si>
  <si>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</si>
  <si>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</si>
  <si>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</si>
  <si>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</si>
  <si>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</si>
  <si>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</si>
  <si>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</si>
  <si>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</si>
  <si>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</si>
  <si>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</si>
  <si>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</si>
  <si>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</si>
  <si>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</si>
  <si>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</si>
  <si>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</si>
  <si>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</si>
  <si>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</si>
  <si>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</si>
  <si>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</si>
  <si>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</si>
  <si>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</si>
  <si>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</si>
  <si>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</si>
  <si>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</si>
  <si>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</si>
  <si>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20250617 16:54:00</t>
  </si>
  <si>
    <t>16:54:00</t>
  </si>
  <si>
    <t>0: Broadleaf</t>
  </si>
  <si>
    <t>13:59:23</t>
  </si>
  <si>
    <t>1/2</t>
  </si>
  <si>
    <t>11111111</t>
  </si>
  <si>
    <t>oooooooo</t>
  </si>
  <si>
    <t>on</t>
  </si>
  <si>
    <t>20250617 16:57:01</t>
  </si>
  <si>
    <t>16:57:01</t>
  </si>
  <si>
    <t>2/2</t>
  </si>
  <si>
    <t>20250617 17:00:01</t>
  </si>
  <si>
    <t>17:00:01</t>
  </si>
  <si>
    <t>20250617 17:03:02</t>
  </si>
  <si>
    <t>17:03:02</t>
  </si>
  <si>
    <t>20250617 17:06:02</t>
  </si>
  <si>
    <t>17:06:02</t>
  </si>
  <si>
    <t>20250617 17:09:03</t>
  </si>
  <si>
    <t>17:09:03</t>
  </si>
  <si>
    <t>20250617 17:12:03</t>
  </si>
  <si>
    <t>17:12:03</t>
  </si>
  <si>
    <t>20250617 17:15:04</t>
  </si>
  <si>
    <t>17:15:04</t>
  </si>
  <si>
    <t>20250617 17:18:04</t>
  </si>
  <si>
    <t>17:18:04</t>
  </si>
  <si>
    <t>20250617 17:21:05</t>
  </si>
  <si>
    <t>17:21:05</t>
  </si>
  <si>
    <t>20250617 17:24:06</t>
  </si>
  <si>
    <t>17:24:06</t>
  </si>
  <si>
    <t>20250617 17:27:06</t>
  </si>
  <si>
    <t>17:27:06</t>
  </si>
  <si>
    <t>20250617 17:30:07</t>
  </si>
  <si>
    <t>17:30:07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</si>
</sst>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6" workbookViewId="0">
      <selection activeCell="BB13" sqref="BB13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1750172040.5999999</v>
      </c>
      <c r="C17">
        <v>0</v>
      </c>
      <c r="D17" t="s">
        <v>334</v>
      </c>
      <c r="E17" t="s">
        <v>335</v>
      </c>
      <c r="F17">
        <v>15</v>
      </c>
      <c r="G17">
        <v>1750172032.9354839</v>
      </c>
      <c r="H17">
        <f t="shared" ref="H17:H29" si="0">(I17)/1000</f>
        <v>2.3769438865038389E-3</v>
      </c>
      <c r="I17">
        <f t="shared" ref="I17:I29" si="1">IF(BD17, AL17, AF17)</f>
        <v>2.376943886503839</v>
      </c>
      <c r="J17">
        <f t="shared" ref="J17:J29" si="2">IF(BD17, AG17, AE17)</f>
        <v>22.605751863233188</v>
      </c>
      <c r="K17">
        <f t="shared" ref="K17:K29" si="3">BF17 - IF(AS17&gt;1, J17*AZ17*100/(AU17), 0)</f>
        <v>397.00812903225801</v>
      </c>
      <c r="L17">
        <f t="shared" ref="L17:L29" si="4">((R17-H17/2)*K17-J17)/(R17+H17/2)</f>
        <v>272.71133187386977</v>
      </c>
      <c r="M17">
        <f t="shared" ref="M17:M29" si="5">L17*(BM17+BN17)/1000</f>
        <v>27.948123154738063</v>
      </c>
      <c r="N17">
        <f t="shared" ref="N17:N29" si="6">(BF17 - IF(AS17&gt;1, J17*AZ17*100/(AU17), 0))*(BM17+BN17)/1000</f>
        <v>40.686362416203032</v>
      </c>
      <c r="O17">
        <f t="shared" ref="O17:O29" si="7">2/((1/Q17-1/P17)+SIGN(Q17)*SQRT((1/Q17-1/P17)*(1/Q17-1/P17) + 4*BA17/((BA17+1)*(BA17+1))*(2*1/Q17*1/P17-1/P17*1/P17)))</f>
        <v>0.31969314660582021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2.4322908248608583</v>
      </c>
      <c r="Q17">
        <f t="shared" ref="Q17:Q29" si="9">H17*(1000-(1000*0.61365*EXP(17.502*U17/(240.97+U17))/(BM17+BN17)+BH17)/2)/(1000*0.61365*EXP(17.502*U17/(240.97+U17))/(BM17+BN17)-BH17)</f>
        <v>0.2983578015456339</v>
      </c>
      <c r="R17">
        <f t="shared" ref="R17:R29" si="10">1/((BA17+1)/(O17/1.6)+1/(P17/1.37)) + BA17/((BA17+1)/(O17/1.6) + BA17/(P17/1.37))</f>
        <v>0.18827270844758567</v>
      </c>
      <c r="S17">
        <f t="shared" ref="S17:S29" si="11">(AV17*AY17)</f>
        <v>178.25633903225807</v>
      </c>
      <c r="T17">
        <f t="shared" ref="T17:T29" si="12">(BO17+(S17+2*0.95*0.0000000567*(((BO17+$B$7)+273)^4-(BO17+273)^4)-44100*H17)/(1.84*29.3*P17+8*0.95*0.0000000567*(BO17+273)^3))</f>
        <v>26.658352591495131</v>
      </c>
      <c r="U17">
        <f t="shared" ref="U17:U29" si="13">($C$7*BP17+$D$7*BQ17+$E$7*T17)</f>
        <v>25.752519354838711</v>
      </c>
      <c r="V17">
        <f t="shared" ref="V17:V29" si="14">0.61365*EXP(17.502*U17/(240.97+U17))</f>
        <v>3.3251598428217095</v>
      </c>
      <c r="W17">
        <f t="shared" ref="W17:W29" si="15">(X17/Y17*100)</f>
        <v>74.405133753710402</v>
      </c>
      <c r="X17">
        <f t="shared" ref="X17:X29" si="16">BH17*(BM17+BN17)/1000</f>
        <v>2.5320386445548202</v>
      </c>
      <c r="Y17">
        <f t="shared" ref="Y17:Y29" si="17">0.61365*EXP(17.502*BO17/(240.97+BO17))</f>
        <v>3.4030429310646242</v>
      </c>
      <c r="Z17">
        <f t="shared" ref="Z17:Z29" si="18">(V17-BH17*(BM17+BN17)/1000)</f>
        <v>0.79312119826688932</v>
      </c>
      <c r="AA17">
        <f t="shared" ref="AA17:AA29" si="19">(-H17*44100)</f>
        <v>-104.8232253948193</v>
      </c>
      <c r="AB17">
        <f t="shared" ref="AB17:AB29" si="20">2*29.3*P17*0.92*(BO17-U17)</f>
        <v>51.286080176443996</v>
      </c>
      <c r="AC17">
        <f t="shared" ref="AC17:AC29" si="21">2*0.95*0.0000000567*(((BO17+$B$7)+273)^4-(U17+273)^4)</f>
        <v>4.5028002263837017</v>
      </c>
      <c r="AD17">
        <f t="shared" ref="AD17:AD29" si="22">S17+AC17+AA17+AB17</f>
        <v>129.22199404026645</v>
      </c>
      <c r="AE17">
        <f t="shared" ref="AE17:AE29" si="23">BL17*AS17*(BG17-BF17*(1000-AS17*BI17)/(1000-AS17*BH17))/(100*AZ17)</f>
        <v>22.605751863233188</v>
      </c>
      <c r="AF17">
        <f t="shared" ref="AF17:AF29" si="24">1000*BL17*AS17*(BH17-BI17)/(100*AZ17*(1000-AS17*BH17))</f>
        <v>2.376943886503839</v>
      </c>
      <c r="AG17">
        <f t="shared" ref="AG17:AG29" si="25">(AH17 - AI17 - BM17*1000/(8.314*(BO17+273.15)) * AK17/BL17 * AJ17) * BL17/(100*AZ17) * (1000 - BI17)/1000</f>
        <v>22.625550258400907</v>
      </c>
      <c r="AH17">
        <v>458.96683576304179</v>
      </c>
      <c r="AI17">
        <v>407.05269853439188</v>
      </c>
      <c r="AJ17">
        <v>-1.936088996145224E-4</v>
      </c>
      <c r="AK17">
        <v>83.970099767297825</v>
      </c>
      <c r="AL17">
        <f t="shared" ref="AL17:AL29" si="26">(AN17 - AM17 + BM17*1000/(8.314*(BO17+273.15)) * AP17/BL17 * AO17) * BL17/(100*AZ17) * 1000/(1000 - AN17)</f>
        <v>2.3750200472172596</v>
      </c>
      <c r="AM17">
        <v>19.51215613058632</v>
      </c>
      <c r="AN17">
        <v>24.723467000471</v>
      </c>
      <c r="AO17">
        <v>-6.8640614093900552E-8</v>
      </c>
      <c r="AP17">
        <v>90.537021309746265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54286.465187176349</v>
      </c>
      <c r="AV17">
        <f t="shared" ref="AV17:AV29" si="30">$B$11*BU17+$C$11*BV17</f>
        <v>938.19125806451609</v>
      </c>
      <c r="AW17">
        <f t="shared" ref="AW17:AW29" si="31">AV17*AX17</f>
        <v>750.55300645161287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336</v>
      </c>
      <c r="BC17">
        <v>2</v>
      </c>
      <c r="BD17" t="b">
        <v>0</v>
      </c>
      <c r="BE17">
        <v>1750172032.9354839</v>
      </c>
      <c r="BF17">
        <v>397.00812903225801</v>
      </c>
      <c r="BG17">
        <v>449.99058064516129</v>
      </c>
      <c r="BH17">
        <v>24.707048387096769</v>
      </c>
      <c r="BI17">
        <v>19.491429032258061</v>
      </c>
      <c r="BJ17">
        <v>394.72951612903228</v>
      </c>
      <c r="BK17">
        <v>24.500819354838711</v>
      </c>
      <c r="BL17">
        <v>400.02822580645147</v>
      </c>
      <c r="BM17">
        <v>102.3824516129032</v>
      </c>
      <c r="BN17">
        <v>9.9990032258064521E-2</v>
      </c>
      <c r="BO17">
        <v>26.143629032258069</v>
      </c>
      <c r="BP17">
        <v>25.752519354838711</v>
      </c>
      <c r="BQ17">
        <v>999.90000000000032</v>
      </c>
      <c r="BR17">
        <v>0</v>
      </c>
      <c r="BS17">
        <v>0</v>
      </c>
      <c r="BT17">
        <v>9998.9516129032254</v>
      </c>
      <c r="BU17">
        <v>938.19125806451609</v>
      </c>
      <c r="BV17">
        <v>18.643599999999999</v>
      </c>
      <c r="BW17">
        <v>-52.982587096774203</v>
      </c>
      <c r="BX17">
        <v>407.06541935483858</v>
      </c>
      <c r="BY17">
        <v>458.93593548387088</v>
      </c>
      <c r="BZ17">
        <v>5.215615161290323</v>
      </c>
      <c r="CA17">
        <v>449.99058064516129</v>
      </c>
      <c r="CB17">
        <v>19.491429032258061</v>
      </c>
      <c r="CC17">
        <v>2.5295696774193548</v>
      </c>
      <c r="CD17">
        <v>1.995580645161291</v>
      </c>
      <c r="CE17">
        <v>21.218012903225809</v>
      </c>
      <c r="CF17">
        <v>17.40929354838709</v>
      </c>
      <c r="CG17">
        <v>1750161563.5</v>
      </c>
      <c r="CH17" t="s">
        <v>337</v>
      </c>
      <c r="CI17">
        <v>1750161563.5</v>
      </c>
      <c r="CJ17">
        <v>1750161562.5</v>
      </c>
      <c r="CK17">
        <v>10</v>
      </c>
      <c r="CL17">
        <v>0.41199999999999998</v>
      </c>
      <c r="CM17">
        <v>-3.9E-2</v>
      </c>
      <c r="CN17">
        <v>2.7469999999999999</v>
      </c>
      <c r="CO17">
        <v>0.20599999999999999</v>
      </c>
      <c r="CP17">
        <v>450</v>
      </c>
      <c r="CQ17">
        <v>19</v>
      </c>
      <c r="CR17">
        <v>0.5</v>
      </c>
      <c r="CS17">
        <v>0.14000000000000001</v>
      </c>
      <c r="CT17">
        <v>-52.984470731707319</v>
      </c>
      <c r="CU17">
        <v>-1.8359249989085748E-2</v>
      </c>
      <c r="CV17">
        <v>2.9025844193958181E-2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5.2269743902439023</v>
      </c>
      <c r="DC17">
        <v>-0.25236620646278118</v>
      </c>
      <c r="DD17">
        <v>2.7850310507423499E-2</v>
      </c>
      <c r="DE17">
        <v>0</v>
      </c>
      <c r="DF17">
        <v>1</v>
      </c>
      <c r="DG17">
        <v>2</v>
      </c>
      <c r="DH17" t="s">
        <v>338</v>
      </c>
      <c r="DI17">
        <v>3.0244399999999998</v>
      </c>
      <c r="DJ17">
        <v>2.69116</v>
      </c>
      <c r="DK17">
        <v>9.3801700000000002E-2</v>
      </c>
      <c r="DL17">
        <v>0.104058</v>
      </c>
      <c r="DM17">
        <v>0.124055</v>
      </c>
      <c r="DN17">
        <v>0.10605000000000001</v>
      </c>
      <c r="DO17">
        <v>25333.5</v>
      </c>
      <c r="DP17">
        <v>16876.599999999999</v>
      </c>
      <c r="DQ17">
        <v>26515.4</v>
      </c>
      <c r="DR17">
        <v>17115.7</v>
      </c>
      <c r="DS17">
        <v>33014.199999999997</v>
      </c>
      <c r="DT17">
        <v>19956.2</v>
      </c>
      <c r="DU17">
        <v>38627.4</v>
      </c>
      <c r="DV17">
        <v>22654.6</v>
      </c>
      <c r="DW17">
        <v>1.8249599999999999</v>
      </c>
      <c r="DX17">
        <v>2.2294</v>
      </c>
      <c r="DY17">
        <v>0.121501</v>
      </c>
      <c r="DZ17">
        <v>0</v>
      </c>
      <c r="EA17">
        <v>23.749500000000001</v>
      </c>
      <c r="EB17">
        <v>999.9</v>
      </c>
      <c r="EC17">
        <v>50.9</v>
      </c>
      <c r="ED17">
        <v>31.6</v>
      </c>
      <c r="EE17">
        <v>23.2058</v>
      </c>
      <c r="EF17">
        <v>62.345500000000001</v>
      </c>
      <c r="EG17">
        <v>35.528799999999997</v>
      </c>
      <c r="EH17">
        <v>1</v>
      </c>
      <c r="EI17">
        <v>-0.11136</v>
      </c>
      <c r="EJ17">
        <v>-0.79305199999999998</v>
      </c>
      <c r="EK17">
        <v>20.3277</v>
      </c>
      <c r="EL17">
        <v>5.2516699999999998</v>
      </c>
      <c r="EM17">
        <v>11.962</v>
      </c>
      <c r="EN17">
        <v>4.9899199999999997</v>
      </c>
      <c r="EO17">
        <v>3.2918599999999998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1.87195</v>
      </c>
      <c r="EV17">
        <v>1.8721699999999999</v>
      </c>
      <c r="EW17">
        <v>1.8772</v>
      </c>
      <c r="EX17">
        <v>1.87134</v>
      </c>
      <c r="EY17">
        <v>1.87212</v>
      </c>
      <c r="EZ17">
        <v>1.8717999999999999</v>
      </c>
      <c r="FA17">
        <v>1.8686400000000001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2.278</v>
      </c>
      <c r="FP17">
        <v>0.20619999999999999</v>
      </c>
      <c r="FQ17">
        <v>-0.9860249659309317</v>
      </c>
      <c r="FR17">
        <v>7.6898218637449396E-3</v>
      </c>
      <c r="FS17">
        <v>1.5097418776848419E-6</v>
      </c>
      <c r="FT17">
        <v>-9.8458676114205118E-11</v>
      </c>
      <c r="FU17">
        <v>0.20622499999999991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174.6</v>
      </c>
      <c r="GD17">
        <v>174.6</v>
      </c>
      <c r="GE17">
        <v>1.09985</v>
      </c>
      <c r="GF17">
        <v>2.6281699999999999</v>
      </c>
      <c r="GG17">
        <v>1.7981</v>
      </c>
      <c r="GH17">
        <v>2.3718300000000001</v>
      </c>
      <c r="GI17">
        <v>1.5979000000000001</v>
      </c>
      <c r="GJ17">
        <v>2.5744600000000002</v>
      </c>
      <c r="GK17">
        <v>34.5092</v>
      </c>
      <c r="GL17">
        <v>24.1663</v>
      </c>
      <c r="GM17">
        <v>18</v>
      </c>
      <c r="GN17">
        <v>365.56599999999997</v>
      </c>
      <c r="GO17">
        <v>681.34</v>
      </c>
      <c r="GP17">
        <v>25.829799999999999</v>
      </c>
      <c r="GQ17">
        <v>25.6755</v>
      </c>
      <c r="GR17">
        <v>30.0001</v>
      </c>
      <c r="GS17">
        <v>25.634799999999998</v>
      </c>
      <c r="GT17">
        <v>25.649899999999999</v>
      </c>
      <c r="GU17">
        <v>21.9711</v>
      </c>
      <c r="GV17">
        <v>21.471399999999999</v>
      </c>
      <c r="GW17">
        <v>0</v>
      </c>
      <c r="GX17">
        <v>25.83</v>
      </c>
      <c r="GY17">
        <v>450</v>
      </c>
      <c r="GZ17">
        <v>19.5</v>
      </c>
      <c r="HA17">
        <v>100.75700000000001</v>
      </c>
      <c r="HB17">
        <v>70.749099999999999</v>
      </c>
    </row>
    <row r="18" spans="1:210" x14ac:dyDescent="0.3">
      <c r="A18">
        <v>2</v>
      </c>
      <c r="B18">
        <v>1750172221.0999999</v>
      </c>
      <c r="C18">
        <v>180.5</v>
      </c>
      <c r="D18" t="s">
        <v>342</v>
      </c>
      <c r="E18" t="s">
        <v>343</v>
      </c>
      <c r="F18">
        <v>15</v>
      </c>
      <c r="G18">
        <v>1750172213.349999</v>
      </c>
      <c r="H18">
        <f t="shared" si="0"/>
        <v>2.4438922427604229E-3</v>
      </c>
      <c r="I18">
        <f t="shared" si="1"/>
        <v>2.4438922427604228</v>
      </c>
      <c r="J18">
        <f t="shared" si="2"/>
        <v>14.696555669473996</v>
      </c>
      <c r="K18">
        <f t="shared" si="3"/>
        <v>265.47210000000001</v>
      </c>
      <c r="L18">
        <f t="shared" si="4"/>
        <v>187.87728716811148</v>
      </c>
      <c r="M18">
        <f t="shared" si="5"/>
        <v>19.253534074170403</v>
      </c>
      <c r="N18">
        <f t="shared" si="6"/>
        <v>27.205396672126913</v>
      </c>
      <c r="O18">
        <f t="shared" si="7"/>
        <v>0.33462739139814612</v>
      </c>
      <c r="P18">
        <f t="shared" si="8"/>
        <v>2.4324227655007342</v>
      </c>
      <c r="Q18">
        <f t="shared" si="9"/>
        <v>0.31133057327797137</v>
      </c>
      <c r="R18">
        <f t="shared" si="10"/>
        <v>0.19654051138437409</v>
      </c>
      <c r="S18">
        <f t="shared" si="11"/>
        <v>178.22934800000002</v>
      </c>
      <c r="T18">
        <f t="shared" si="12"/>
        <v>26.62776218758933</v>
      </c>
      <c r="U18">
        <f t="shared" si="13"/>
        <v>25.743856666666659</v>
      </c>
      <c r="V18">
        <f t="shared" si="14"/>
        <v>3.3234525850964545</v>
      </c>
      <c r="W18">
        <f t="shared" si="15"/>
        <v>74.741482650729012</v>
      </c>
      <c r="X18">
        <f t="shared" si="16"/>
        <v>2.5420289138374352</v>
      </c>
      <c r="Y18">
        <f t="shared" si="17"/>
        <v>3.4010951130264213</v>
      </c>
      <c r="Z18">
        <f t="shared" si="18"/>
        <v>0.78142367125901924</v>
      </c>
      <c r="AA18">
        <f t="shared" si="19"/>
        <v>-107.77564790573464</v>
      </c>
      <c r="AB18">
        <f t="shared" si="20"/>
        <v>51.154707879399133</v>
      </c>
      <c r="AC18">
        <f t="shared" si="21"/>
        <v>4.4906089604697312</v>
      </c>
      <c r="AD18">
        <f t="shared" si="22"/>
        <v>126.09901693413423</v>
      </c>
      <c r="AE18">
        <f t="shared" si="23"/>
        <v>14.696555669473996</v>
      </c>
      <c r="AF18">
        <f t="shared" si="24"/>
        <v>2.4438922427604228</v>
      </c>
      <c r="AG18">
        <f t="shared" si="25"/>
        <v>14.708766016740585</v>
      </c>
      <c r="AH18">
        <v>305.95664180211679</v>
      </c>
      <c r="AI18">
        <v>272.2102303030303</v>
      </c>
      <c r="AJ18">
        <v>-1.6981052580172771E-4</v>
      </c>
      <c r="AK18">
        <v>83.970099767297825</v>
      </c>
      <c r="AL18">
        <f t="shared" si="26"/>
        <v>2.4465864205990755</v>
      </c>
      <c r="AM18">
        <v>19.441257424992919</v>
      </c>
      <c r="AN18">
        <v>24.809035187969911</v>
      </c>
      <c r="AO18">
        <v>-1.866841037736821E-6</v>
      </c>
      <c r="AP18">
        <v>90.537021309746265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54292.600979621777</v>
      </c>
      <c r="AV18">
        <f t="shared" si="30"/>
        <v>938.04920000000004</v>
      </c>
      <c r="AW18">
        <f t="shared" si="31"/>
        <v>750.43936000000008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336</v>
      </c>
      <c r="BC18">
        <v>2</v>
      </c>
      <c r="BD18" t="b">
        <v>0</v>
      </c>
      <c r="BE18">
        <v>1750172213.349999</v>
      </c>
      <c r="BF18">
        <v>265.47210000000001</v>
      </c>
      <c r="BG18">
        <v>299.99596666666667</v>
      </c>
      <c r="BH18">
        <v>24.805289999999999</v>
      </c>
      <c r="BI18">
        <v>19.44342</v>
      </c>
      <c r="BJ18">
        <v>264.3218</v>
      </c>
      <c r="BK18">
        <v>24.59904666666667</v>
      </c>
      <c r="BL18">
        <v>400.03649999999999</v>
      </c>
      <c r="BM18">
        <v>102.37926666666669</v>
      </c>
      <c r="BN18">
        <v>0.10003971666666669</v>
      </c>
      <c r="BO18">
        <v>26.133943333333331</v>
      </c>
      <c r="BP18">
        <v>25.743856666666659</v>
      </c>
      <c r="BQ18">
        <v>999.9000000000002</v>
      </c>
      <c r="BR18">
        <v>0</v>
      </c>
      <c r="BS18">
        <v>0</v>
      </c>
      <c r="BT18">
        <v>10000.11666666667</v>
      </c>
      <c r="BU18">
        <v>938.04920000000004</v>
      </c>
      <c r="BV18">
        <v>18.643599999999999</v>
      </c>
      <c r="BW18">
        <v>-34.523880000000013</v>
      </c>
      <c r="BX18">
        <v>272.22463333333332</v>
      </c>
      <c r="BY18">
        <v>305.94453333333342</v>
      </c>
      <c r="BZ18">
        <v>5.3618609999999993</v>
      </c>
      <c r="CA18">
        <v>299.99596666666667</v>
      </c>
      <c r="CB18">
        <v>19.44342</v>
      </c>
      <c r="CC18">
        <v>2.5395469999999989</v>
      </c>
      <c r="CD18">
        <v>1.990602666666667</v>
      </c>
      <c r="CE18">
        <v>21.2822</v>
      </c>
      <c r="CF18">
        <v>17.36979333333333</v>
      </c>
      <c r="CG18">
        <v>1750161563.5</v>
      </c>
      <c r="CH18" t="s">
        <v>337</v>
      </c>
      <c r="CI18">
        <v>1750161563.5</v>
      </c>
      <c r="CJ18">
        <v>1750161562.5</v>
      </c>
      <c r="CK18">
        <v>10</v>
      </c>
      <c r="CL18">
        <v>0.41199999999999998</v>
      </c>
      <c r="CM18">
        <v>-3.9E-2</v>
      </c>
      <c r="CN18">
        <v>2.7469999999999999</v>
      </c>
      <c r="CO18">
        <v>0.20599999999999999</v>
      </c>
      <c r="CP18">
        <v>450</v>
      </c>
      <c r="CQ18">
        <v>19</v>
      </c>
      <c r="CR18">
        <v>0.5</v>
      </c>
      <c r="CS18">
        <v>0.14000000000000001</v>
      </c>
      <c r="CT18">
        <v>-34.507253658536577</v>
      </c>
      <c r="CU18">
        <v>-0.25787456445997098</v>
      </c>
      <c r="CV18">
        <v>3.1746158573535813E-2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5.3571624390243908</v>
      </c>
      <c r="DC18">
        <v>7.2783554006976448E-2</v>
      </c>
      <c r="DD18">
        <v>7.374537531754613E-3</v>
      </c>
      <c r="DE18">
        <v>1</v>
      </c>
      <c r="DF18">
        <v>2</v>
      </c>
      <c r="DG18">
        <v>2</v>
      </c>
      <c r="DH18" t="s">
        <v>344</v>
      </c>
      <c r="DI18">
        <v>3.0247600000000001</v>
      </c>
      <c r="DJ18">
        <v>2.6914400000000001</v>
      </c>
      <c r="DK18">
        <v>6.8079799999999996E-2</v>
      </c>
      <c r="DL18">
        <v>7.5929099999999999E-2</v>
      </c>
      <c r="DM18">
        <v>0.124357</v>
      </c>
      <c r="DN18">
        <v>0.10577499999999999</v>
      </c>
      <c r="DO18">
        <v>26053.5</v>
      </c>
      <c r="DP18">
        <v>17406.5</v>
      </c>
      <c r="DQ18">
        <v>26516.2</v>
      </c>
      <c r="DR18">
        <v>17115.7</v>
      </c>
      <c r="DS18">
        <v>33002.400000000001</v>
      </c>
      <c r="DT18">
        <v>19961.8</v>
      </c>
      <c r="DU18">
        <v>38628.400000000001</v>
      </c>
      <c r="DV18">
        <v>22654.6</v>
      </c>
      <c r="DW18">
        <v>1.8255999999999999</v>
      </c>
      <c r="DX18">
        <v>2.2300800000000001</v>
      </c>
      <c r="DY18">
        <v>0.12255000000000001</v>
      </c>
      <c r="DZ18">
        <v>0</v>
      </c>
      <c r="EA18">
        <v>23.735299999999999</v>
      </c>
      <c r="EB18">
        <v>999.9</v>
      </c>
      <c r="EC18">
        <v>50.9</v>
      </c>
      <c r="ED18">
        <v>31.5</v>
      </c>
      <c r="EE18">
        <v>23.077000000000002</v>
      </c>
      <c r="EF18">
        <v>62.7256</v>
      </c>
      <c r="EG18">
        <v>35.264400000000002</v>
      </c>
      <c r="EH18">
        <v>1</v>
      </c>
      <c r="EI18">
        <v>-0.113829</v>
      </c>
      <c r="EJ18">
        <v>-0.80829399999999996</v>
      </c>
      <c r="EK18">
        <v>20.3277</v>
      </c>
      <c r="EL18">
        <v>5.2528699999999997</v>
      </c>
      <c r="EM18">
        <v>11.962</v>
      </c>
      <c r="EN18">
        <v>4.9904000000000002</v>
      </c>
      <c r="EO18">
        <v>3.2919800000000001</v>
      </c>
      <c r="EP18">
        <v>9999</v>
      </c>
      <c r="EQ18">
        <v>9999</v>
      </c>
      <c r="ER18">
        <v>9999</v>
      </c>
      <c r="ES18">
        <v>999.9</v>
      </c>
      <c r="ET18">
        <v>4.9726999999999997</v>
      </c>
      <c r="EU18">
        <v>1.87195</v>
      </c>
      <c r="EV18">
        <v>1.87218</v>
      </c>
      <c r="EW18">
        <v>1.8772</v>
      </c>
      <c r="EX18">
        <v>1.87134</v>
      </c>
      <c r="EY18">
        <v>1.87215</v>
      </c>
      <c r="EZ18">
        <v>1.8717999999999999</v>
      </c>
      <c r="FA18">
        <v>1.8687199999999999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1.1499999999999999</v>
      </c>
      <c r="FP18">
        <v>0.20619999999999999</v>
      </c>
      <c r="FQ18">
        <v>-0.9860249659309317</v>
      </c>
      <c r="FR18">
        <v>7.6898218637449396E-3</v>
      </c>
      <c r="FS18">
        <v>1.5097418776848419E-6</v>
      </c>
      <c r="FT18">
        <v>-9.8458676114205118E-11</v>
      </c>
      <c r="FU18">
        <v>0.20622499999999991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177.6</v>
      </c>
      <c r="GD18">
        <v>177.6</v>
      </c>
      <c r="GE18">
        <v>0.79834000000000005</v>
      </c>
      <c r="GF18">
        <v>2.6415999999999999</v>
      </c>
      <c r="GG18">
        <v>1.7981</v>
      </c>
      <c r="GH18">
        <v>2.3718300000000001</v>
      </c>
      <c r="GI18">
        <v>1.5979000000000001</v>
      </c>
      <c r="GJ18">
        <v>2.51831</v>
      </c>
      <c r="GK18">
        <v>34.417999999999999</v>
      </c>
      <c r="GL18">
        <v>24.1663</v>
      </c>
      <c r="GM18">
        <v>18</v>
      </c>
      <c r="GN18">
        <v>365.69799999999998</v>
      </c>
      <c r="GO18">
        <v>681.56299999999999</v>
      </c>
      <c r="GP18">
        <v>25.829899999999999</v>
      </c>
      <c r="GQ18">
        <v>25.645700000000001</v>
      </c>
      <c r="GR18">
        <v>30.0001</v>
      </c>
      <c r="GS18">
        <v>25.6067</v>
      </c>
      <c r="GT18">
        <v>25.622</v>
      </c>
      <c r="GU18">
        <v>15.9406</v>
      </c>
      <c r="GV18">
        <v>21.194299999999998</v>
      </c>
      <c r="GW18">
        <v>0.37083100000000002</v>
      </c>
      <c r="GX18">
        <v>25.83</v>
      </c>
      <c r="GY18">
        <v>300</v>
      </c>
      <c r="GZ18">
        <v>19.5</v>
      </c>
      <c r="HA18">
        <v>100.76</v>
      </c>
      <c r="HB18">
        <v>70.748999999999995</v>
      </c>
    </row>
    <row r="19" spans="1:210" x14ac:dyDescent="0.3">
      <c r="A19">
        <v>3</v>
      </c>
      <c r="B19">
        <v>1750172401.5999999</v>
      </c>
      <c r="C19">
        <v>361</v>
      </c>
      <c r="D19" t="s">
        <v>345</v>
      </c>
      <c r="E19" t="s">
        <v>346</v>
      </c>
      <c r="F19">
        <v>15</v>
      </c>
      <c r="G19">
        <v>1750172393.849999</v>
      </c>
      <c r="H19">
        <f t="shared" si="0"/>
        <v>2.4820011989431685E-3</v>
      </c>
      <c r="I19">
        <f t="shared" si="1"/>
        <v>2.4820011989431685</v>
      </c>
      <c r="J19">
        <f t="shared" si="2"/>
        <v>8.9160924087612745</v>
      </c>
      <c r="K19">
        <f t="shared" si="3"/>
        <v>178.93986666666669</v>
      </c>
      <c r="L19">
        <f t="shared" si="4"/>
        <v>133.13279225263668</v>
      </c>
      <c r="M19">
        <f t="shared" si="5"/>
        <v>13.643417303340083</v>
      </c>
      <c r="N19">
        <f t="shared" si="6"/>
        <v>18.337715538216823</v>
      </c>
      <c r="O19">
        <f t="shared" si="7"/>
        <v>0.34653543862844605</v>
      </c>
      <c r="P19">
        <f t="shared" si="8"/>
        <v>2.4320579300218199</v>
      </c>
      <c r="Q19">
        <f t="shared" si="9"/>
        <v>0.32161322650492508</v>
      </c>
      <c r="R19">
        <f t="shared" si="10"/>
        <v>0.20309908206469812</v>
      </c>
      <c r="S19">
        <f t="shared" si="11"/>
        <v>178.21606066666666</v>
      </c>
      <c r="T19">
        <f t="shared" si="12"/>
        <v>26.604070581976998</v>
      </c>
      <c r="U19">
        <f t="shared" si="13"/>
        <v>25.734683333333329</v>
      </c>
      <c r="V19">
        <f t="shared" si="14"/>
        <v>3.3216455233118576</v>
      </c>
      <c r="W19">
        <f t="shared" si="15"/>
        <v>75.129889473675604</v>
      </c>
      <c r="X19">
        <f t="shared" si="16"/>
        <v>2.5534435623995293</v>
      </c>
      <c r="Y19">
        <f t="shared" si="17"/>
        <v>3.3987053359025876</v>
      </c>
      <c r="Z19">
        <f t="shared" si="18"/>
        <v>0.76820196091232829</v>
      </c>
      <c r="AA19">
        <f t="shared" si="19"/>
        <v>-109.45625287339374</v>
      </c>
      <c r="AB19">
        <f t="shared" si="20"/>
        <v>50.790833786366889</v>
      </c>
      <c r="AC19">
        <f t="shared" si="21"/>
        <v>4.4588638536226854</v>
      </c>
      <c r="AD19">
        <f t="shared" si="22"/>
        <v>124.0095054332625</v>
      </c>
      <c r="AE19">
        <f t="shared" si="23"/>
        <v>8.9160924087612745</v>
      </c>
      <c r="AF19">
        <f t="shared" si="24"/>
        <v>2.4820011989431685</v>
      </c>
      <c r="AG19">
        <f t="shared" si="25"/>
        <v>8.9375330325434241</v>
      </c>
      <c r="AH19">
        <v>203.98755373916231</v>
      </c>
      <c r="AI19">
        <v>183.47949090909091</v>
      </c>
      <c r="AJ19">
        <v>-1.2808687592919571E-4</v>
      </c>
      <c r="AK19">
        <v>83.970099767297825</v>
      </c>
      <c r="AL19">
        <f t="shared" si="26"/>
        <v>2.4849424057587894</v>
      </c>
      <c r="AM19">
        <v>19.468281789500271</v>
      </c>
      <c r="AN19">
        <v>24.92017097744359</v>
      </c>
      <c r="AO19">
        <v>3.8531768651053819E-7</v>
      </c>
      <c r="AP19">
        <v>90.537021309746265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54282.474349335629</v>
      </c>
      <c r="AV19">
        <f t="shared" si="30"/>
        <v>937.9792666666666</v>
      </c>
      <c r="AW19">
        <f t="shared" si="31"/>
        <v>750.38341333333335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336</v>
      </c>
      <c r="BC19">
        <v>2</v>
      </c>
      <c r="BD19" t="b">
        <v>0</v>
      </c>
      <c r="BE19">
        <v>1750172393.849999</v>
      </c>
      <c r="BF19">
        <v>178.93986666666669</v>
      </c>
      <c r="BG19">
        <v>200.00076666666669</v>
      </c>
      <c r="BH19">
        <v>24.916563333333329</v>
      </c>
      <c r="BI19">
        <v>19.471103333333339</v>
      </c>
      <c r="BJ19">
        <v>178.5056666666666</v>
      </c>
      <c r="BK19">
        <v>24.710329999999999</v>
      </c>
      <c r="BL19">
        <v>399.99236666666673</v>
      </c>
      <c r="BM19">
        <v>102.37983333333329</v>
      </c>
      <c r="BN19">
        <v>9.9931963333333318E-2</v>
      </c>
      <c r="BO19">
        <v>26.12205333333333</v>
      </c>
      <c r="BP19">
        <v>25.734683333333329</v>
      </c>
      <c r="BQ19">
        <v>999.9000000000002</v>
      </c>
      <c r="BR19">
        <v>0</v>
      </c>
      <c r="BS19">
        <v>0</v>
      </c>
      <c r="BT19">
        <v>9997.7000000000007</v>
      </c>
      <c r="BU19">
        <v>937.9792666666666</v>
      </c>
      <c r="BV19">
        <v>18.589296666666659</v>
      </c>
      <c r="BW19">
        <v>-21.060713333333339</v>
      </c>
      <c r="BX19">
        <v>183.51246666666671</v>
      </c>
      <c r="BY19">
        <v>203.97213333333329</v>
      </c>
      <c r="BZ19">
        <v>5.4454493333333334</v>
      </c>
      <c r="CA19">
        <v>200.00076666666669</v>
      </c>
      <c r="CB19">
        <v>19.471103333333339</v>
      </c>
      <c r="CC19">
        <v>2.5509539999999991</v>
      </c>
      <c r="CD19">
        <v>1.9934493333333341</v>
      </c>
      <c r="CE19">
        <v>21.355303333333332</v>
      </c>
      <c r="CF19">
        <v>17.392403333333331</v>
      </c>
      <c r="CG19">
        <v>1750161563.5</v>
      </c>
      <c r="CH19" t="s">
        <v>337</v>
      </c>
      <c r="CI19">
        <v>1750161563.5</v>
      </c>
      <c r="CJ19">
        <v>1750161562.5</v>
      </c>
      <c r="CK19">
        <v>10</v>
      </c>
      <c r="CL19">
        <v>0.41199999999999998</v>
      </c>
      <c r="CM19">
        <v>-3.9E-2</v>
      </c>
      <c r="CN19">
        <v>2.7469999999999999</v>
      </c>
      <c r="CO19">
        <v>0.20599999999999999</v>
      </c>
      <c r="CP19">
        <v>450</v>
      </c>
      <c r="CQ19">
        <v>19</v>
      </c>
      <c r="CR19">
        <v>0.5</v>
      </c>
      <c r="CS19">
        <v>0.14000000000000001</v>
      </c>
      <c r="CT19">
        <v>-21.044534146341469</v>
      </c>
      <c r="CU19">
        <v>-0.32638118466899008</v>
      </c>
      <c r="CV19">
        <v>4.0387667821702312E-2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5.4409719512195123</v>
      </c>
      <c r="DC19">
        <v>7.6876306620195359E-2</v>
      </c>
      <c r="DD19">
        <v>8.0310419758043931E-3</v>
      </c>
      <c r="DE19">
        <v>1</v>
      </c>
      <c r="DF19">
        <v>2</v>
      </c>
      <c r="DG19">
        <v>2</v>
      </c>
      <c r="DH19" t="s">
        <v>344</v>
      </c>
      <c r="DI19">
        <v>3.0245000000000002</v>
      </c>
      <c r="DJ19">
        <v>2.6911399999999999</v>
      </c>
      <c r="DK19">
        <v>4.8385400000000002E-2</v>
      </c>
      <c r="DL19">
        <v>5.38159E-2</v>
      </c>
      <c r="DM19">
        <v>0.124754</v>
      </c>
      <c r="DN19">
        <v>0.105904</v>
      </c>
      <c r="DO19">
        <v>26605.5</v>
      </c>
      <c r="DP19">
        <v>17823.2</v>
      </c>
      <c r="DQ19">
        <v>26517.4</v>
      </c>
      <c r="DR19">
        <v>17115.7</v>
      </c>
      <c r="DS19">
        <v>32987.699999999997</v>
      </c>
      <c r="DT19">
        <v>19957.8</v>
      </c>
      <c r="DU19">
        <v>38630.199999999997</v>
      </c>
      <c r="DV19">
        <v>22653.8</v>
      </c>
      <c r="DW19">
        <v>1.8255999999999999</v>
      </c>
      <c r="DX19">
        <v>2.2311000000000001</v>
      </c>
      <c r="DY19">
        <v>0.123864</v>
      </c>
      <c r="DZ19">
        <v>0</v>
      </c>
      <c r="EA19">
        <v>23.705400000000001</v>
      </c>
      <c r="EB19">
        <v>999.9</v>
      </c>
      <c r="EC19">
        <v>50.8</v>
      </c>
      <c r="ED19">
        <v>31.4</v>
      </c>
      <c r="EE19">
        <v>22.902100000000001</v>
      </c>
      <c r="EF19">
        <v>62.695599999999999</v>
      </c>
      <c r="EG19">
        <v>35.4527</v>
      </c>
      <c r="EH19">
        <v>1</v>
      </c>
      <c r="EI19">
        <v>-0.116616</v>
      </c>
      <c r="EJ19">
        <v>-0.817963</v>
      </c>
      <c r="EK19">
        <v>20.327500000000001</v>
      </c>
      <c r="EL19">
        <v>5.2521500000000003</v>
      </c>
      <c r="EM19">
        <v>11.962</v>
      </c>
      <c r="EN19">
        <v>4.99</v>
      </c>
      <c r="EO19">
        <v>3.2917399999999999</v>
      </c>
      <c r="EP19">
        <v>9999</v>
      </c>
      <c r="EQ19">
        <v>9999</v>
      </c>
      <c r="ER19">
        <v>9999</v>
      </c>
      <c r="ES19">
        <v>999.9</v>
      </c>
      <c r="ET19">
        <v>4.9726600000000003</v>
      </c>
      <c r="EU19">
        <v>1.87195</v>
      </c>
      <c r="EV19">
        <v>1.87216</v>
      </c>
      <c r="EW19">
        <v>1.8771899999999999</v>
      </c>
      <c r="EX19">
        <v>1.8713500000000001</v>
      </c>
      <c r="EY19">
        <v>1.8721099999999999</v>
      </c>
      <c r="EZ19">
        <v>1.8717999999999999</v>
      </c>
      <c r="FA19">
        <v>1.8686799999999999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0.434</v>
      </c>
      <c r="FP19">
        <v>0.20619999999999999</v>
      </c>
      <c r="FQ19">
        <v>-0.9860249659309317</v>
      </c>
      <c r="FR19">
        <v>7.6898218637449396E-3</v>
      </c>
      <c r="FS19">
        <v>1.5097418776848419E-6</v>
      </c>
      <c r="FT19">
        <v>-9.8458676114205118E-11</v>
      </c>
      <c r="FU19">
        <v>0.20622499999999991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180.6</v>
      </c>
      <c r="GD19">
        <v>180.7</v>
      </c>
      <c r="GE19">
        <v>0.58593799999999996</v>
      </c>
      <c r="GF19">
        <v>2.66113</v>
      </c>
      <c r="GG19">
        <v>1.79932</v>
      </c>
      <c r="GH19">
        <v>2.3730500000000001</v>
      </c>
      <c r="GI19">
        <v>1.5979000000000001</v>
      </c>
      <c r="GJ19">
        <v>2.3864700000000001</v>
      </c>
      <c r="GK19">
        <v>34.349699999999999</v>
      </c>
      <c r="GL19">
        <v>24.157499999999999</v>
      </c>
      <c r="GM19">
        <v>18</v>
      </c>
      <c r="GN19">
        <v>365.46800000000002</v>
      </c>
      <c r="GO19">
        <v>682.02300000000002</v>
      </c>
      <c r="GP19">
        <v>25.830200000000001</v>
      </c>
      <c r="GQ19">
        <v>25.610700000000001</v>
      </c>
      <c r="GR19">
        <v>30</v>
      </c>
      <c r="GS19">
        <v>25.573</v>
      </c>
      <c r="GT19">
        <v>25.589500000000001</v>
      </c>
      <c r="GU19">
        <v>11.693099999999999</v>
      </c>
      <c r="GV19">
        <v>20.6313</v>
      </c>
      <c r="GW19">
        <v>2.24383</v>
      </c>
      <c r="GX19">
        <v>25.83</v>
      </c>
      <c r="GY19">
        <v>200</v>
      </c>
      <c r="GZ19">
        <v>19.5</v>
      </c>
      <c r="HA19">
        <v>100.765</v>
      </c>
      <c r="HB19">
        <v>70.747699999999995</v>
      </c>
    </row>
    <row r="20" spans="1:210" x14ac:dyDescent="0.3">
      <c r="A20">
        <v>4</v>
      </c>
      <c r="B20">
        <v>1750172582.0999999</v>
      </c>
      <c r="C20">
        <v>541.5</v>
      </c>
      <c r="D20" t="s">
        <v>347</v>
      </c>
      <c r="E20" t="s">
        <v>348</v>
      </c>
      <c r="F20">
        <v>15</v>
      </c>
      <c r="G20">
        <v>1750172574.349999</v>
      </c>
      <c r="H20">
        <f t="shared" si="0"/>
        <v>2.5403011476896661E-3</v>
      </c>
      <c r="I20">
        <f t="shared" si="1"/>
        <v>2.5403011476896662</v>
      </c>
      <c r="J20">
        <f t="shared" si="2"/>
        <v>4.3275086753370084</v>
      </c>
      <c r="K20">
        <f t="shared" si="3"/>
        <v>114.60039999999999</v>
      </c>
      <c r="L20">
        <f t="shared" si="4"/>
        <v>92.809787897249933</v>
      </c>
      <c r="M20">
        <f t="shared" si="5"/>
        <v>9.5108122180607158</v>
      </c>
      <c r="N20">
        <f t="shared" si="6"/>
        <v>11.743835528654856</v>
      </c>
      <c r="O20">
        <f t="shared" si="7"/>
        <v>0.36035132057726071</v>
      </c>
      <c r="P20">
        <f t="shared" si="8"/>
        <v>2.4336959957814202</v>
      </c>
      <c r="Q20">
        <f t="shared" si="9"/>
        <v>0.33350080676303251</v>
      </c>
      <c r="R20">
        <f t="shared" si="10"/>
        <v>0.21068480421146901</v>
      </c>
      <c r="S20">
        <f t="shared" si="11"/>
        <v>178.21348933333337</v>
      </c>
      <c r="T20">
        <f t="shared" si="12"/>
        <v>26.593675866178121</v>
      </c>
      <c r="U20">
        <f t="shared" si="13"/>
        <v>25.735073333333329</v>
      </c>
      <c r="V20">
        <f t="shared" si="14"/>
        <v>3.3217223322303902</v>
      </c>
      <c r="W20">
        <f t="shared" si="15"/>
        <v>75.392344383533157</v>
      </c>
      <c r="X20">
        <f t="shared" si="16"/>
        <v>2.5635661633347953</v>
      </c>
      <c r="Y20">
        <f t="shared" si="17"/>
        <v>3.4003003677581849</v>
      </c>
      <c r="Z20">
        <f t="shared" si="18"/>
        <v>0.7581561688955949</v>
      </c>
      <c r="AA20">
        <f t="shared" si="19"/>
        <v>-112.02728061311427</v>
      </c>
      <c r="AB20">
        <f t="shared" si="20"/>
        <v>51.815206532327799</v>
      </c>
      <c r="AC20">
        <f t="shared" si="21"/>
        <v>4.5459205782223631</v>
      </c>
      <c r="AD20">
        <f t="shared" si="22"/>
        <v>122.54733583076927</v>
      </c>
      <c r="AE20">
        <f t="shared" si="23"/>
        <v>4.3275086753370084</v>
      </c>
      <c r="AF20">
        <f t="shared" si="24"/>
        <v>2.5403011476896662</v>
      </c>
      <c r="AG20">
        <f t="shared" si="25"/>
        <v>4.3207189259857328</v>
      </c>
      <c r="AH20">
        <v>127.4516463550855</v>
      </c>
      <c r="AI20">
        <v>117.53669090909101</v>
      </c>
      <c r="AJ20">
        <v>8.551820504626037E-5</v>
      </c>
      <c r="AK20">
        <v>83.970099767297825</v>
      </c>
      <c r="AL20">
        <f t="shared" si="26"/>
        <v>2.5436151730390422</v>
      </c>
      <c r="AM20">
        <v>19.441410280805329</v>
      </c>
      <c r="AN20">
        <v>25.021253533834571</v>
      </c>
      <c r="AO20">
        <v>-6.2508641980665449E-7</v>
      </c>
      <c r="AP20">
        <v>90.537021309746265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54336.176123388825</v>
      </c>
      <c r="AV20">
        <f t="shared" si="30"/>
        <v>937.96573333333356</v>
      </c>
      <c r="AW20">
        <f t="shared" si="31"/>
        <v>750.37258666666685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336</v>
      </c>
      <c r="BC20">
        <v>2</v>
      </c>
      <c r="BD20" t="b">
        <v>0</v>
      </c>
      <c r="BE20">
        <v>1750172574.349999</v>
      </c>
      <c r="BF20">
        <v>114.60039999999999</v>
      </c>
      <c r="BG20">
        <v>124.9921333333333</v>
      </c>
      <c r="BH20">
        <v>25.016163333333331</v>
      </c>
      <c r="BI20">
        <v>19.443566666666669</v>
      </c>
      <c r="BJ20">
        <v>114.6848333333333</v>
      </c>
      <c r="BK20">
        <v>24.809946666666669</v>
      </c>
      <c r="BL20">
        <v>400.00693333333322</v>
      </c>
      <c r="BM20">
        <v>102.3764666666667</v>
      </c>
      <c r="BN20">
        <v>9.9925463333333353E-2</v>
      </c>
      <c r="BO20">
        <v>26.129989999999999</v>
      </c>
      <c r="BP20">
        <v>25.735073333333329</v>
      </c>
      <c r="BQ20">
        <v>999.9000000000002</v>
      </c>
      <c r="BR20">
        <v>0</v>
      </c>
      <c r="BS20">
        <v>0</v>
      </c>
      <c r="BT20">
        <v>10008.63333333333</v>
      </c>
      <c r="BU20">
        <v>937.96573333333356</v>
      </c>
      <c r="BV20">
        <v>18.58659999999999</v>
      </c>
      <c r="BW20">
        <v>-10.391756666666661</v>
      </c>
      <c r="BX20">
        <v>117.54089999999999</v>
      </c>
      <c r="BY20">
        <v>127.4706333333333</v>
      </c>
      <c r="BZ20">
        <v>5.5726026666666666</v>
      </c>
      <c r="CA20">
        <v>124.9921333333333</v>
      </c>
      <c r="CB20">
        <v>19.443566666666669</v>
      </c>
      <c r="CC20">
        <v>2.5610659999999998</v>
      </c>
      <c r="CD20">
        <v>1.9905619999999999</v>
      </c>
      <c r="CE20">
        <v>21.41987</v>
      </c>
      <c r="CF20">
        <v>17.369463333333329</v>
      </c>
      <c r="CG20">
        <v>1750161563.5</v>
      </c>
      <c r="CH20" t="s">
        <v>337</v>
      </c>
      <c r="CI20">
        <v>1750161563.5</v>
      </c>
      <c r="CJ20">
        <v>1750161562.5</v>
      </c>
      <c r="CK20">
        <v>10</v>
      </c>
      <c r="CL20">
        <v>0.41199999999999998</v>
      </c>
      <c r="CM20">
        <v>-3.9E-2</v>
      </c>
      <c r="CN20">
        <v>2.7469999999999999</v>
      </c>
      <c r="CO20">
        <v>0.20599999999999999</v>
      </c>
      <c r="CP20">
        <v>450</v>
      </c>
      <c r="CQ20">
        <v>19</v>
      </c>
      <c r="CR20">
        <v>0.5</v>
      </c>
      <c r="CS20">
        <v>0.14000000000000001</v>
      </c>
      <c r="CT20">
        <v>-10.385547499999999</v>
      </c>
      <c r="CU20">
        <v>-0.11646641651032109</v>
      </c>
      <c r="CV20">
        <v>1.4522775001699739E-2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5.5714122499999998</v>
      </c>
      <c r="DC20">
        <v>2.0306003752331749E-2</v>
      </c>
      <c r="DD20">
        <v>2.874410798320258E-3</v>
      </c>
      <c r="DE20">
        <v>1</v>
      </c>
      <c r="DF20">
        <v>2</v>
      </c>
      <c r="DG20">
        <v>2</v>
      </c>
      <c r="DH20" t="s">
        <v>344</v>
      </c>
      <c r="DI20">
        <v>3.0244499999999999</v>
      </c>
      <c r="DJ20">
        <v>2.6912199999999999</v>
      </c>
      <c r="DK20">
        <v>3.2080400000000002E-2</v>
      </c>
      <c r="DL20">
        <v>3.4964000000000002E-2</v>
      </c>
      <c r="DM20">
        <v>0.125114</v>
      </c>
      <c r="DN20">
        <v>0.10585799999999999</v>
      </c>
      <c r="DO20">
        <v>27062.400000000001</v>
      </c>
      <c r="DP20">
        <v>18177.900000000001</v>
      </c>
      <c r="DQ20">
        <v>26518.2</v>
      </c>
      <c r="DR20">
        <v>17115.2</v>
      </c>
      <c r="DS20">
        <v>32974.199999999997</v>
      </c>
      <c r="DT20">
        <v>19957.5</v>
      </c>
      <c r="DU20">
        <v>38631.599999999999</v>
      </c>
      <c r="DV20">
        <v>22652.7</v>
      </c>
      <c r="DW20">
        <v>1.82586</v>
      </c>
      <c r="DX20">
        <v>2.2320000000000002</v>
      </c>
      <c r="DY20">
        <v>0.12415900000000001</v>
      </c>
      <c r="DZ20">
        <v>0</v>
      </c>
      <c r="EA20">
        <v>23.7026</v>
      </c>
      <c r="EB20">
        <v>999.9</v>
      </c>
      <c r="EC20">
        <v>50.9</v>
      </c>
      <c r="ED20">
        <v>31.3</v>
      </c>
      <c r="EE20">
        <v>22.816099999999999</v>
      </c>
      <c r="EF20">
        <v>62.415599999999998</v>
      </c>
      <c r="EG20">
        <v>35.548900000000003</v>
      </c>
      <c r="EH20">
        <v>1</v>
      </c>
      <c r="EI20">
        <v>-0.11841699999999999</v>
      </c>
      <c r="EJ20">
        <v>-0.81161899999999998</v>
      </c>
      <c r="EK20">
        <v>20.3277</v>
      </c>
      <c r="EL20">
        <v>5.2515499999999999</v>
      </c>
      <c r="EM20">
        <v>11.962</v>
      </c>
      <c r="EN20">
        <v>4.9900799999999998</v>
      </c>
      <c r="EO20">
        <v>3.2918599999999998</v>
      </c>
      <c r="EP20">
        <v>9999</v>
      </c>
      <c r="EQ20">
        <v>9999</v>
      </c>
      <c r="ER20">
        <v>9999</v>
      </c>
      <c r="ES20">
        <v>999.9</v>
      </c>
      <c r="ET20">
        <v>4.9727100000000002</v>
      </c>
      <c r="EU20">
        <v>1.87195</v>
      </c>
      <c r="EV20">
        <v>1.8721699999999999</v>
      </c>
      <c r="EW20">
        <v>1.8772200000000001</v>
      </c>
      <c r="EX20">
        <v>1.87137</v>
      </c>
      <c r="EY20">
        <v>1.8721300000000001</v>
      </c>
      <c r="EZ20">
        <v>1.8717999999999999</v>
      </c>
      <c r="FA20">
        <v>1.86866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-8.4000000000000005E-2</v>
      </c>
      <c r="FP20">
        <v>0.20630000000000001</v>
      </c>
      <c r="FQ20">
        <v>-0.9860249659309317</v>
      </c>
      <c r="FR20">
        <v>7.6898218637449396E-3</v>
      </c>
      <c r="FS20">
        <v>1.5097418776848419E-6</v>
      </c>
      <c r="FT20">
        <v>-9.8458676114205118E-11</v>
      </c>
      <c r="FU20">
        <v>0.20622499999999991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183.6</v>
      </c>
      <c r="GD20">
        <v>183.7</v>
      </c>
      <c r="GE20">
        <v>0.42236299999999999</v>
      </c>
      <c r="GF20">
        <v>2.64771</v>
      </c>
      <c r="GG20">
        <v>1.7981</v>
      </c>
      <c r="GH20">
        <v>2.3718300000000001</v>
      </c>
      <c r="GI20">
        <v>1.5979000000000001</v>
      </c>
      <c r="GJ20">
        <v>2.5476100000000002</v>
      </c>
      <c r="GK20">
        <v>34.281399999999998</v>
      </c>
      <c r="GL20">
        <v>24.1663</v>
      </c>
      <c r="GM20">
        <v>18</v>
      </c>
      <c r="GN20">
        <v>365.42399999999998</v>
      </c>
      <c r="GO20">
        <v>682.46600000000001</v>
      </c>
      <c r="GP20">
        <v>25.829799999999999</v>
      </c>
      <c r="GQ20">
        <v>25.587</v>
      </c>
      <c r="GR20">
        <v>30.0001</v>
      </c>
      <c r="GS20">
        <v>25.5474</v>
      </c>
      <c r="GT20">
        <v>25.563600000000001</v>
      </c>
      <c r="GU20">
        <v>8.4147499999999997</v>
      </c>
      <c r="GV20">
        <v>20.3583</v>
      </c>
      <c r="GW20">
        <v>4.5383800000000001</v>
      </c>
      <c r="GX20">
        <v>25.83</v>
      </c>
      <c r="GY20">
        <v>125</v>
      </c>
      <c r="GZ20">
        <v>19.5</v>
      </c>
      <c r="HA20">
        <v>100.768</v>
      </c>
      <c r="HB20">
        <v>70.744900000000001</v>
      </c>
    </row>
    <row r="21" spans="1:210" x14ac:dyDescent="0.3">
      <c r="A21">
        <v>5</v>
      </c>
      <c r="B21">
        <v>1750172762.5999999</v>
      </c>
      <c r="C21">
        <v>722</v>
      </c>
      <c r="D21" t="s">
        <v>349</v>
      </c>
      <c r="E21" t="s">
        <v>350</v>
      </c>
      <c r="F21">
        <v>15</v>
      </c>
      <c r="G21">
        <v>1750172754.849999</v>
      </c>
      <c r="H21">
        <f t="shared" si="0"/>
        <v>2.5746629926364736E-3</v>
      </c>
      <c r="I21">
        <f t="shared" si="1"/>
        <v>2.5746629926364735</v>
      </c>
      <c r="J21">
        <f t="shared" si="2"/>
        <v>1.1076270521561136</v>
      </c>
      <c r="K21">
        <f t="shared" si="3"/>
        <v>72.076016666666675</v>
      </c>
      <c r="L21">
        <f t="shared" si="4"/>
        <v>66.163240332284005</v>
      </c>
      <c r="M21">
        <f t="shared" si="5"/>
        <v>6.7798104825111194</v>
      </c>
      <c r="N21">
        <f t="shared" si="6"/>
        <v>7.3856983255379189</v>
      </c>
      <c r="O21">
        <f t="shared" si="7"/>
        <v>0.3727185063475344</v>
      </c>
      <c r="P21">
        <f t="shared" si="8"/>
        <v>2.4318690558221685</v>
      </c>
      <c r="Q21">
        <f t="shared" si="9"/>
        <v>0.34405144912949032</v>
      </c>
      <c r="R21">
        <f t="shared" si="10"/>
        <v>0.21742523799570013</v>
      </c>
      <c r="S21">
        <f t="shared" si="11"/>
        <v>178.21024666666668</v>
      </c>
      <c r="T21">
        <f t="shared" si="12"/>
        <v>26.581293811843206</v>
      </c>
      <c r="U21">
        <f t="shared" si="13"/>
        <v>25.733779999999999</v>
      </c>
      <c r="V21">
        <f t="shared" si="14"/>
        <v>3.321467621433345</v>
      </c>
      <c r="W21">
        <f t="shared" si="15"/>
        <v>75.788079340379653</v>
      </c>
      <c r="X21">
        <f t="shared" si="16"/>
        <v>2.5767090394062442</v>
      </c>
      <c r="Y21">
        <f t="shared" si="17"/>
        <v>3.3998869767285176</v>
      </c>
      <c r="Z21">
        <f t="shared" si="18"/>
        <v>0.74475858202710077</v>
      </c>
      <c r="AA21">
        <f t="shared" si="19"/>
        <v>-113.54263797526849</v>
      </c>
      <c r="AB21">
        <f t="shared" si="20"/>
        <v>51.676231329531205</v>
      </c>
      <c r="AC21">
        <f t="shared" si="21"/>
        <v>4.5370575053351034</v>
      </c>
      <c r="AD21">
        <f t="shared" si="22"/>
        <v>120.88089752626449</v>
      </c>
      <c r="AE21">
        <f t="shared" si="23"/>
        <v>1.1076270521561136</v>
      </c>
      <c r="AF21">
        <f t="shared" si="24"/>
        <v>2.5746629926364735</v>
      </c>
      <c r="AG21">
        <f t="shared" si="25"/>
        <v>1.1112139954044566</v>
      </c>
      <c r="AH21">
        <v>76.473878057433026</v>
      </c>
      <c r="AI21">
        <v>73.924096363636352</v>
      </c>
      <c r="AJ21">
        <v>4.2083655295542518E-6</v>
      </c>
      <c r="AK21">
        <v>83.970099767297825</v>
      </c>
      <c r="AL21">
        <f t="shared" si="26"/>
        <v>2.5761152453912284</v>
      </c>
      <c r="AM21">
        <v>19.499527834861471</v>
      </c>
      <c r="AN21">
        <v>25.149543308270669</v>
      </c>
      <c r="AO21">
        <v>1.183355079936324E-6</v>
      </c>
      <c r="AP21">
        <v>90.537021309746265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54274.848318958408</v>
      </c>
      <c r="AV21">
        <f t="shared" si="30"/>
        <v>937.94866666666667</v>
      </c>
      <c r="AW21">
        <f t="shared" si="31"/>
        <v>750.35893333333343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336</v>
      </c>
      <c r="BC21">
        <v>2</v>
      </c>
      <c r="BD21" t="b">
        <v>0</v>
      </c>
      <c r="BE21">
        <v>1750172754.849999</v>
      </c>
      <c r="BF21">
        <v>72.076016666666675</v>
      </c>
      <c r="BG21">
        <v>74.985476666666656</v>
      </c>
      <c r="BH21">
        <v>25.14575</v>
      </c>
      <c r="BI21">
        <v>19.49888666666666</v>
      </c>
      <c r="BJ21">
        <v>72.496633333333335</v>
      </c>
      <c r="BK21">
        <v>24.939540000000001</v>
      </c>
      <c r="BL21">
        <v>400.03253333333328</v>
      </c>
      <c r="BM21">
        <v>102.37090000000001</v>
      </c>
      <c r="BN21">
        <v>0.10005590333333329</v>
      </c>
      <c r="BO21">
        <v>26.127933333333331</v>
      </c>
      <c r="BP21">
        <v>25.733779999999999</v>
      </c>
      <c r="BQ21">
        <v>999.9000000000002</v>
      </c>
      <c r="BR21">
        <v>0</v>
      </c>
      <c r="BS21">
        <v>0</v>
      </c>
      <c r="BT21">
        <v>9997.35</v>
      </c>
      <c r="BU21">
        <v>937.94866666666667</v>
      </c>
      <c r="BV21">
        <v>18.590399999999999</v>
      </c>
      <c r="BW21">
        <v>-2.9094713333333329</v>
      </c>
      <c r="BX21">
        <v>73.935153333333332</v>
      </c>
      <c r="BY21">
        <v>76.476689999999991</v>
      </c>
      <c r="BZ21">
        <v>5.6468650000000018</v>
      </c>
      <c r="CA21">
        <v>74.985476666666656</v>
      </c>
      <c r="CB21">
        <v>19.49888666666666</v>
      </c>
      <c r="CC21">
        <v>2.574193333333334</v>
      </c>
      <c r="CD21">
        <v>1.996119</v>
      </c>
      <c r="CE21">
        <v>21.503363333333329</v>
      </c>
      <c r="CF21">
        <v>17.413586666666671</v>
      </c>
      <c r="CG21">
        <v>1750161563.5</v>
      </c>
      <c r="CH21" t="s">
        <v>337</v>
      </c>
      <c r="CI21">
        <v>1750161563.5</v>
      </c>
      <c r="CJ21">
        <v>1750161562.5</v>
      </c>
      <c r="CK21">
        <v>10</v>
      </c>
      <c r="CL21">
        <v>0.41199999999999998</v>
      </c>
      <c r="CM21">
        <v>-3.9E-2</v>
      </c>
      <c r="CN21">
        <v>2.7469999999999999</v>
      </c>
      <c r="CO21">
        <v>0.20599999999999999</v>
      </c>
      <c r="CP21">
        <v>450</v>
      </c>
      <c r="CQ21">
        <v>19</v>
      </c>
      <c r="CR21">
        <v>0.5</v>
      </c>
      <c r="CS21">
        <v>0.14000000000000001</v>
      </c>
      <c r="CT21">
        <v>-2.9105504999999998</v>
      </c>
      <c r="CU21">
        <v>3.4271144465300329E-2</v>
      </c>
      <c r="CV21">
        <v>1.950583976018461E-2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5.6456135000000014</v>
      </c>
      <c r="DC21">
        <v>1.5470093808614581E-2</v>
      </c>
      <c r="DD21">
        <v>1.9660652964741069E-3</v>
      </c>
      <c r="DE21">
        <v>1</v>
      </c>
      <c r="DF21">
        <v>2</v>
      </c>
      <c r="DG21">
        <v>2</v>
      </c>
      <c r="DH21" t="s">
        <v>344</v>
      </c>
      <c r="DI21">
        <v>3.02467</v>
      </c>
      <c r="DJ21">
        <v>2.6913399999999998</v>
      </c>
      <c r="DK21">
        <v>2.0557599999999999E-2</v>
      </c>
      <c r="DL21">
        <v>2.13397E-2</v>
      </c>
      <c r="DM21">
        <v>0.12556800000000001</v>
      </c>
      <c r="DN21">
        <v>0.106029</v>
      </c>
      <c r="DO21">
        <v>27385.200000000001</v>
      </c>
      <c r="DP21">
        <v>18433.099999999999</v>
      </c>
      <c r="DQ21">
        <v>26518.6</v>
      </c>
      <c r="DR21">
        <v>17113.8</v>
      </c>
      <c r="DS21">
        <v>32956.5</v>
      </c>
      <c r="DT21">
        <v>19951.3</v>
      </c>
      <c r="DU21">
        <v>38632.1</v>
      </c>
      <c r="DV21">
        <v>22650.3</v>
      </c>
      <c r="DW21">
        <v>1.82664</v>
      </c>
      <c r="DX21">
        <v>2.2320600000000002</v>
      </c>
      <c r="DY21">
        <v>0.124252</v>
      </c>
      <c r="DZ21">
        <v>0</v>
      </c>
      <c r="EA21">
        <v>23.688099999999999</v>
      </c>
      <c r="EB21">
        <v>999.9</v>
      </c>
      <c r="EC21">
        <v>51.1</v>
      </c>
      <c r="ED21">
        <v>31.3</v>
      </c>
      <c r="EE21">
        <v>22.907800000000002</v>
      </c>
      <c r="EF21">
        <v>62.745600000000003</v>
      </c>
      <c r="EG21">
        <v>35.576900000000002</v>
      </c>
      <c r="EH21">
        <v>1</v>
      </c>
      <c r="EI21">
        <v>-0.120089</v>
      </c>
      <c r="EJ21">
        <v>-0.82209200000000004</v>
      </c>
      <c r="EK21">
        <v>20.3276</v>
      </c>
      <c r="EL21">
        <v>5.2519099999999996</v>
      </c>
      <c r="EM21">
        <v>11.962</v>
      </c>
      <c r="EN21">
        <v>4.9901999999999997</v>
      </c>
      <c r="EO21">
        <v>3.2919200000000002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1.87195</v>
      </c>
      <c r="EV21">
        <v>1.8721699999999999</v>
      </c>
      <c r="EW21">
        <v>1.8771800000000001</v>
      </c>
      <c r="EX21">
        <v>1.87134</v>
      </c>
      <c r="EY21">
        <v>1.8721300000000001</v>
      </c>
      <c r="EZ21">
        <v>1.8717999999999999</v>
      </c>
      <c r="FA21">
        <v>1.8687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-0.42099999999999999</v>
      </c>
      <c r="FP21">
        <v>0.20619999999999999</v>
      </c>
      <c r="FQ21">
        <v>-0.9860249659309317</v>
      </c>
      <c r="FR21">
        <v>7.6898218637449396E-3</v>
      </c>
      <c r="FS21">
        <v>1.5097418776848419E-6</v>
      </c>
      <c r="FT21">
        <v>-9.8458676114205118E-11</v>
      </c>
      <c r="FU21">
        <v>0.20622499999999991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186.7</v>
      </c>
      <c r="GD21">
        <v>186.7</v>
      </c>
      <c r="GE21">
        <v>0.31127899999999997</v>
      </c>
      <c r="GF21">
        <v>2.66113</v>
      </c>
      <c r="GG21">
        <v>1.7981</v>
      </c>
      <c r="GH21">
        <v>2.3718300000000001</v>
      </c>
      <c r="GI21">
        <v>1.5979000000000001</v>
      </c>
      <c r="GJ21">
        <v>2.5378400000000001</v>
      </c>
      <c r="GK21">
        <v>34.213299999999997</v>
      </c>
      <c r="GL21">
        <v>24.1663</v>
      </c>
      <c r="GM21">
        <v>18</v>
      </c>
      <c r="GN21">
        <v>365.673</v>
      </c>
      <c r="GO21">
        <v>682.23299999999995</v>
      </c>
      <c r="GP21">
        <v>25.829899999999999</v>
      </c>
      <c r="GQ21">
        <v>25.5654</v>
      </c>
      <c r="GR21">
        <v>29.9999</v>
      </c>
      <c r="GS21">
        <v>25.526</v>
      </c>
      <c r="GT21">
        <v>25.542000000000002</v>
      </c>
      <c r="GU21">
        <v>6.2082199999999998</v>
      </c>
      <c r="GV21">
        <v>20.3583</v>
      </c>
      <c r="GW21">
        <v>7.1568699999999996</v>
      </c>
      <c r="GX21">
        <v>25.83</v>
      </c>
      <c r="GY21">
        <v>75</v>
      </c>
      <c r="GZ21">
        <v>19.5</v>
      </c>
      <c r="HA21">
        <v>100.77</v>
      </c>
      <c r="HB21">
        <v>70.738</v>
      </c>
    </row>
    <row r="22" spans="1:210" x14ac:dyDescent="0.3">
      <c r="A22">
        <v>6</v>
      </c>
      <c r="B22">
        <v>1750172943.0999999</v>
      </c>
      <c r="C22">
        <v>902.5</v>
      </c>
      <c r="D22" t="s">
        <v>351</v>
      </c>
      <c r="E22" t="s">
        <v>352</v>
      </c>
      <c r="F22">
        <v>15</v>
      </c>
      <c r="G22">
        <v>1750172935.349999</v>
      </c>
      <c r="H22">
        <f t="shared" si="0"/>
        <v>2.5892362499434461E-3</v>
      </c>
      <c r="I22">
        <f t="shared" si="1"/>
        <v>2.589236249943446</v>
      </c>
      <c r="J22">
        <f t="shared" si="2"/>
        <v>23.302489436306345</v>
      </c>
      <c r="K22">
        <f t="shared" si="3"/>
        <v>395.29046666666682</v>
      </c>
      <c r="L22">
        <f t="shared" si="4"/>
        <v>287.15315822653031</v>
      </c>
      <c r="M22">
        <f t="shared" si="5"/>
        <v>29.424078087819463</v>
      </c>
      <c r="N22">
        <f t="shared" si="6"/>
        <v>40.504717518708453</v>
      </c>
      <c r="O22">
        <f t="shared" si="7"/>
        <v>0.38418800511650308</v>
      </c>
      <c r="P22">
        <f t="shared" si="8"/>
        <v>2.4319601469497023</v>
      </c>
      <c r="Q22">
        <f t="shared" si="9"/>
        <v>0.35380692942712516</v>
      </c>
      <c r="R22">
        <f t="shared" si="10"/>
        <v>0.22366002697166781</v>
      </c>
      <c r="S22">
        <f t="shared" si="11"/>
        <v>178.19500233333335</v>
      </c>
      <c r="T22">
        <f t="shared" si="12"/>
        <v>26.568595500414993</v>
      </c>
      <c r="U22">
        <f t="shared" si="13"/>
        <v>25.68869333333334</v>
      </c>
      <c r="V22">
        <f t="shared" si="14"/>
        <v>3.3125988506156534</v>
      </c>
      <c r="W22">
        <f t="shared" si="15"/>
        <v>76.047382133404312</v>
      </c>
      <c r="X22">
        <f t="shared" si="16"/>
        <v>2.5842913095932696</v>
      </c>
      <c r="Y22">
        <f t="shared" si="17"/>
        <v>3.3982646569737773</v>
      </c>
      <c r="Z22">
        <f t="shared" si="18"/>
        <v>0.72830754102238382</v>
      </c>
      <c r="AA22">
        <f t="shared" si="19"/>
        <v>-114.18531862250597</v>
      </c>
      <c r="AB22">
        <f t="shared" si="20"/>
        <v>56.531053048226568</v>
      </c>
      <c r="AC22">
        <f t="shared" si="21"/>
        <v>4.9617907151833558</v>
      </c>
      <c r="AD22">
        <f t="shared" si="22"/>
        <v>125.5025274742373</v>
      </c>
      <c r="AE22">
        <f t="shared" si="23"/>
        <v>23.302489436306345</v>
      </c>
      <c r="AF22">
        <f t="shared" si="24"/>
        <v>2.589236249943446</v>
      </c>
      <c r="AG22">
        <f t="shared" si="25"/>
        <v>23.31960444281717</v>
      </c>
      <c r="AH22">
        <v>458.97808154802817</v>
      </c>
      <c r="AI22">
        <v>405.46944848484827</v>
      </c>
      <c r="AJ22">
        <v>-1.6620145076337491E-4</v>
      </c>
      <c r="AK22">
        <v>83.970099767297825</v>
      </c>
      <c r="AL22">
        <f t="shared" si="26"/>
        <v>2.5942720706560176</v>
      </c>
      <c r="AM22">
        <v>19.532315948648229</v>
      </c>
      <c r="AN22">
        <v>25.22170090225562</v>
      </c>
      <c r="AO22">
        <v>-9.2702301509567918E-7</v>
      </c>
      <c r="AP22">
        <v>90.537021309746265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54279.325583769983</v>
      </c>
      <c r="AV22">
        <f t="shared" si="30"/>
        <v>937.86843333333343</v>
      </c>
      <c r="AW22">
        <f t="shared" si="31"/>
        <v>750.29474666666681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336</v>
      </c>
      <c r="BC22">
        <v>2</v>
      </c>
      <c r="BD22" t="b">
        <v>0</v>
      </c>
      <c r="BE22">
        <v>1750172935.349999</v>
      </c>
      <c r="BF22">
        <v>395.29046666666682</v>
      </c>
      <c r="BG22">
        <v>450.01900000000001</v>
      </c>
      <c r="BH22">
        <v>25.22041333333334</v>
      </c>
      <c r="BI22">
        <v>19.542073333333342</v>
      </c>
      <c r="BJ22">
        <v>393.0270666666666</v>
      </c>
      <c r="BK22">
        <v>25.014183333333332</v>
      </c>
      <c r="BL22">
        <v>400.0361333333334</v>
      </c>
      <c r="BM22">
        <v>102.36823333333329</v>
      </c>
      <c r="BN22">
        <v>0.10000441666666671</v>
      </c>
      <c r="BO22">
        <v>26.119859999999999</v>
      </c>
      <c r="BP22">
        <v>25.68869333333334</v>
      </c>
      <c r="BQ22">
        <v>999.9000000000002</v>
      </c>
      <c r="BR22">
        <v>0</v>
      </c>
      <c r="BS22">
        <v>0</v>
      </c>
      <c r="BT22">
        <v>9998.2000000000007</v>
      </c>
      <c r="BU22">
        <v>937.86843333333343</v>
      </c>
      <c r="BV22">
        <v>18.59032333333333</v>
      </c>
      <c r="BW22">
        <v>-54.728450000000002</v>
      </c>
      <c r="BX22">
        <v>405.51789999999988</v>
      </c>
      <c r="BY22">
        <v>458.98853333333341</v>
      </c>
      <c r="BZ22">
        <v>5.6783483333333322</v>
      </c>
      <c r="CA22">
        <v>450.01900000000001</v>
      </c>
      <c r="CB22">
        <v>19.542073333333342</v>
      </c>
      <c r="CC22">
        <v>2.581768666666667</v>
      </c>
      <c r="CD22">
        <v>2.000487333333334</v>
      </c>
      <c r="CE22">
        <v>21.551373333333331</v>
      </c>
      <c r="CF22">
        <v>17.448180000000001</v>
      </c>
      <c r="CG22">
        <v>1750161563.5</v>
      </c>
      <c r="CH22" t="s">
        <v>337</v>
      </c>
      <c r="CI22">
        <v>1750161563.5</v>
      </c>
      <c r="CJ22">
        <v>1750161562.5</v>
      </c>
      <c r="CK22">
        <v>10</v>
      </c>
      <c r="CL22">
        <v>0.41199999999999998</v>
      </c>
      <c r="CM22">
        <v>-3.9E-2</v>
      </c>
      <c r="CN22">
        <v>2.7469999999999999</v>
      </c>
      <c r="CO22">
        <v>0.20599999999999999</v>
      </c>
      <c r="CP22">
        <v>450</v>
      </c>
      <c r="CQ22">
        <v>19</v>
      </c>
      <c r="CR22">
        <v>0.5</v>
      </c>
      <c r="CS22">
        <v>0.14000000000000001</v>
      </c>
      <c r="CT22">
        <v>-54.694653658536581</v>
      </c>
      <c r="CU22">
        <v>-0.45776445993038611</v>
      </c>
      <c r="CV22">
        <v>5.0303940094728758E-2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5.6701165853658528</v>
      </c>
      <c r="DC22">
        <v>0.14347630662020919</v>
      </c>
      <c r="DD22">
        <v>1.519912298653398E-2</v>
      </c>
      <c r="DE22">
        <v>0</v>
      </c>
      <c r="DF22">
        <v>1</v>
      </c>
      <c r="DG22">
        <v>2</v>
      </c>
      <c r="DH22" t="s">
        <v>338</v>
      </c>
      <c r="DI22">
        <v>3.0244399999999998</v>
      </c>
      <c r="DJ22">
        <v>2.6911399999999999</v>
      </c>
      <c r="DK22">
        <v>9.3510399999999994E-2</v>
      </c>
      <c r="DL22">
        <v>0.104074</v>
      </c>
      <c r="DM22">
        <v>0.12581400000000001</v>
      </c>
      <c r="DN22">
        <v>0.106137</v>
      </c>
      <c r="DO22">
        <v>25346.5</v>
      </c>
      <c r="DP22">
        <v>16874.400000000001</v>
      </c>
      <c r="DQ22">
        <v>26519.8</v>
      </c>
      <c r="DR22">
        <v>17113.5</v>
      </c>
      <c r="DS22">
        <v>32950.1</v>
      </c>
      <c r="DT22">
        <v>19948.8</v>
      </c>
      <c r="DU22">
        <v>38633.9</v>
      </c>
      <c r="DV22">
        <v>22648.9</v>
      </c>
      <c r="DW22">
        <v>1.82674</v>
      </c>
      <c r="DX22">
        <v>2.2339799999999999</v>
      </c>
      <c r="DY22">
        <v>0.12235</v>
      </c>
      <c r="DZ22">
        <v>0</v>
      </c>
      <c r="EA22">
        <v>23.6755</v>
      </c>
      <c r="EB22">
        <v>999.9</v>
      </c>
      <c r="EC22">
        <v>51.3</v>
      </c>
      <c r="ED22">
        <v>31.2</v>
      </c>
      <c r="EE22">
        <v>22.866599999999998</v>
      </c>
      <c r="EF22">
        <v>62.585599999999999</v>
      </c>
      <c r="EG22">
        <v>35.432699999999997</v>
      </c>
      <c r="EH22">
        <v>1</v>
      </c>
      <c r="EI22">
        <v>-0.12187199999999999</v>
      </c>
      <c r="EJ22">
        <v>-0.82600700000000005</v>
      </c>
      <c r="EK22">
        <v>20.3279</v>
      </c>
      <c r="EL22">
        <v>5.2532300000000003</v>
      </c>
      <c r="EM22">
        <v>11.962</v>
      </c>
      <c r="EN22">
        <v>4.9900399999999996</v>
      </c>
      <c r="EO22">
        <v>3.2918599999999998</v>
      </c>
      <c r="EP22">
        <v>9999</v>
      </c>
      <c r="EQ22">
        <v>9999</v>
      </c>
      <c r="ER22">
        <v>9999</v>
      </c>
      <c r="ES22">
        <v>999.9</v>
      </c>
      <c r="ET22">
        <v>4.9726900000000001</v>
      </c>
      <c r="EU22">
        <v>1.8719399999999999</v>
      </c>
      <c r="EV22">
        <v>1.8721699999999999</v>
      </c>
      <c r="EW22">
        <v>1.8772200000000001</v>
      </c>
      <c r="EX22">
        <v>1.87137</v>
      </c>
      <c r="EY22">
        <v>1.8721399999999999</v>
      </c>
      <c r="EZ22">
        <v>1.8717999999999999</v>
      </c>
      <c r="FA22">
        <v>1.8687199999999999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2.2629999999999999</v>
      </c>
      <c r="FP22">
        <v>0.20630000000000001</v>
      </c>
      <c r="FQ22">
        <v>-0.9860249659309317</v>
      </c>
      <c r="FR22">
        <v>7.6898218637449396E-3</v>
      </c>
      <c r="FS22">
        <v>1.5097418776848419E-6</v>
      </c>
      <c r="FT22">
        <v>-9.8458676114205118E-11</v>
      </c>
      <c r="FU22">
        <v>0.20622499999999991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189.7</v>
      </c>
      <c r="GD22">
        <v>189.7</v>
      </c>
      <c r="GE22">
        <v>1.09985</v>
      </c>
      <c r="GF22">
        <v>2.65259</v>
      </c>
      <c r="GG22">
        <v>1.7981</v>
      </c>
      <c r="GH22">
        <v>2.3706100000000001</v>
      </c>
      <c r="GI22">
        <v>1.5979000000000001</v>
      </c>
      <c r="GJ22">
        <v>2.4304199999999998</v>
      </c>
      <c r="GK22">
        <v>34.1678</v>
      </c>
      <c r="GL22">
        <v>24.157499999999999</v>
      </c>
      <c r="GM22">
        <v>18</v>
      </c>
      <c r="GN22">
        <v>365.57299999999998</v>
      </c>
      <c r="GO22">
        <v>683.61099999999999</v>
      </c>
      <c r="GP22">
        <v>25.829899999999999</v>
      </c>
      <c r="GQ22">
        <v>25.544799999999999</v>
      </c>
      <c r="GR22">
        <v>30</v>
      </c>
      <c r="GS22">
        <v>25.504100000000001</v>
      </c>
      <c r="GT22">
        <v>25.519500000000001</v>
      </c>
      <c r="GU22">
        <v>21.9771</v>
      </c>
      <c r="GV22">
        <v>20.634499999999999</v>
      </c>
      <c r="GW22">
        <v>9.11965</v>
      </c>
      <c r="GX22">
        <v>25.83</v>
      </c>
      <c r="GY22">
        <v>450</v>
      </c>
      <c r="GZ22">
        <v>19.5</v>
      </c>
      <c r="HA22">
        <v>100.774</v>
      </c>
      <c r="HB22">
        <v>70.734899999999996</v>
      </c>
    </row>
    <row r="23" spans="1:210" x14ac:dyDescent="0.3">
      <c r="A23">
        <v>7</v>
      </c>
      <c r="B23">
        <v>1750173123.5999999</v>
      </c>
      <c r="C23">
        <v>1083</v>
      </c>
      <c r="D23" t="s">
        <v>353</v>
      </c>
      <c r="E23" t="s">
        <v>354</v>
      </c>
      <c r="F23">
        <v>15</v>
      </c>
      <c r="G23">
        <v>1750173115.849999</v>
      </c>
      <c r="H23">
        <f t="shared" si="0"/>
        <v>2.5986837398972594E-3</v>
      </c>
      <c r="I23">
        <f t="shared" si="1"/>
        <v>2.5986837398972593</v>
      </c>
      <c r="J23">
        <f t="shared" si="2"/>
        <v>23.552159346770498</v>
      </c>
      <c r="K23">
        <f t="shared" si="3"/>
        <v>394.71449999999987</v>
      </c>
      <c r="L23">
        <f t="shared" si="4"/>
        <v>286.47948514589967</v>
      </c>
      <c r="M23">
        <f t="shared" si="5"/>
        <v>29.353770193746197</v>
      </c>
      <c r="N23">
        <f t="shared" si="6"/>
        <v>40.443938661920846</v>
      </c>
      <c r="O23">
        <f t="shared" si="7"/>
        <v>0.38810387199098179</v>
      </c>
      <c r="P23">
        <f t="shared" si="8"/>
        <v>2.4314802181952548</v>
      </c>
      <c r="Q23">
        <f t="shared" si="9"/>
        <v>0.35712124546362833</v>
      </c>
      <c r="R23">
        <f t="shared" si="10"/>
        <v>0.22577964484200361</v>
      </c>
      <c r="S23">
        <f t="shared" si="11"/>
        <v>178.18054333333333</v>
      </c>
      <c r="T23">
        <f t="shared" si="12"/>
        <v>26.559739684220403</v>
      </c>
      <c r="U23">
        <f t="shared" si="13"/>
        <v>25.680633333333329</v>
      </c>
      <c r="V23">
        <f t="shared" si="14"/>
        <v>3.3110155901293385</v>
      </c>
      <c r="W23">
        <f t="shared" si="15"/>
        <v>76.149913369978506</v>
      </c>
      <c r="X23">
        <f t="shared" si="16"/>
        <v>2.5868705409866442</v>
      </c>
      <c r="Y23">
        <f t="shared" si="17"/>
        <v>3.3970761442868525</v>
      </c>
      <c r="Z23">
        <f t="shared" si="18"/>
        <v>0.7241450491426944</v>
      </c>
      <c r="AA23">
        <f t="shared" si="19"/>
        <v>-114.60195292946914</v>
      </c>
      <c r="AB23">
        <f t="shared" si="20"/>
        <v>56.800857987680807</v>
      </c>
      <c r="AC23">
        <f t="shared" si="21"/>
        <v>4.9861061075161484</v>
      </c>
      <c r="AD23">
        <f t="shared" si="22"/>
        <v>125.36555449906115</v>
      </c>
      <c r="AE23">
        <f t="shared" si="23"/>
        <v>23.552159346770498</v>
      </c>
      <c r="AF23">
        <f t="shared" si="24"/>
        <v>2.5986837398972593</v>
      </c>
      <c r="AG23">
        <f t="shared" si="25"/>
        <v>23.542177682295911</v>
      </c>
      <c r="AH23">
        <v>458.96221379498701</v>
      </c>
      <c r="AI23">
        <v>404.94258787878772</v>
      </c>
      <c r="AJ23">
        <v>-5.7851195690588036E-6</v>
      </c>
      <c r="AK23">
        <v>83.970099767297825</v>
      </c>
      <c r="AL23">
        <f t="shared" si="26"/>
        <v>2.5989670597727872</v>
      </c>
      <c r="AM23">
        <v>19.546295387958668</v>
      </c>
      <c r="AN23">
        <v>25.24568345864661</v>
      </c>
      <c r="AO23">
        <v>-8.1495549658873211E-7</v>
      </c>
      <c r="AP23">
        <v>90.537021309746265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54264.126947690966</v>
      </c>
      <c r="AV23">
        <f t="shared" si="30"/>
        <v>937.79233333333332</v>
      </c>
      <c r="AW23">
        <f t="shared" si="31"/>
        <v>750.2338666666667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336</v>
      </c>
      <c r="BC23">
        <v>2</v>
      </c>
      <c r="BD23" t="b">
        <v>0</v>
      </c>
      <c r="BE23">
        <v>1750173115.849999</v>
      </c>
      <c r="BF23">
        <v>394.71449999999987</v>
      </c>
      <c r="BG23">
        <v>450.00829999999979</v>
      </c>
      <c r="BH23">
        <v>25.24668333333333</v>
      </c>
      <c r="BI23">
        <v>19.547930000000001</v>
      </c>
      <c r="BJ23">
        <v>392.45606666666657</v>
      </c>
      <c r="BK23">
        <v>25.040456666666671</v>
      </c>
      <c r="BL23">
        <v>400.04680000000002</v>
      </c>
      <c r="BM23">
        <v>102.3637333333333</v>
      </c>
      <c r="BN23">
        <v>0.10004406</v>
      </c>
      <c r="BO23">
        <v>26.113943333333339</v>
      </c>
      <c r="BP23">
        <v>25.680633333333329</v>
      </c>
      <c r="BQ23">
        <v>999.9000000000002</v>
      </c>
      <c r="BR23">
        <v>0</v>
      </c>
      <c r="BS23">
        <v>0</v>
      </c>
      <c r="BT23">
        <v>9995.5333333333328</v>
      </c>
      <c r="BU23">
        <v>937.79233333333332</v>
      </c>
      <c r="BV23">
        <v>18.590399999999999</v>
      </c>
      <c r="BW23">
        <v>-55.29378333333333</v>
      </c>
      <c r="BX23">
        <v>404.93793333333332</v>
      </c>
      <c r="BY23">
        <v>458.98046666666659</v>
      </c>
      <c r="BZ23">
        <v>5.6987580000000024</v>
      </c>
      <c r="CA23">
        <v>450.00829999999979</v>
      </c>
      <c r="CB23">
        <v>19.547930000000001</v>
      </c>
      <c r="CC23">
        <v>2.584344333333334</v>
      </c>
      <c r="CD23">
        <v>2.0009990000000002</v>
      </c>
      <c r="CE23">
        <v>21.567663333333329</v>
      </c>
      <c r="CF23">
        <v>17.452243333333339</v>
      </c>
      <c r="CG23">
        <v>1750161563.5</v>
      </c>
      <c r="CH23" t="s">
        <v>337</v>
      </c>
      <c r="CI23">
        <v>1750161563.5</v>
      </c>
      <c r="CJ23">
        <v>1750161562.5</v>
      </c>
      <c r="CK23">
        <v>10</v>
      </c>
      <c r="CL23">
        <v>0.41199999999999998</v>
      </c>
      <c r="CM23">
        <v>-3.9E-2</v>
      </c>
      <c r="CN23">
        <v>2.7469999999999999</v>
      </c>
      <c r="CO23">
        <v>0.20599999999999999</v>
      </c>
      <c r="CP23">
        <v>450</v>
      </c>
      <c r="CQ23">
        <v>19</v>
      </c>
      <c r="CR23">
        <v>0.5</v>
      </c>
      <c r="CS23">
        <v>0.14000000000000001</v>
      </c>
      <c r="CT23">
        <v>-55.286495000000023</v>
      </c>
      <c r="CU23">
        <v>-8.2516322701469788E-2</v>
      </c>
      <c r="CV23">
        <v>2.924214381675869E-2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5.69819225</v>
      </c>
      <c r="DC23">
        <v>-6.7525328330400782E-3</v>
      </c>
      <c r="DD23">
        <v>2.8416795099905838E-3</v>
      </c>
      <c r="DE23">
        <v>1</v>
      </c>
      <c r="DF23">
        <v>2</v>
      </c>
      <c r="DG23">
        <v>2</v>
      </c>
      <c r="DH23" t="s">
        <v>344</v>
      </c>
      <c r="DI23">
        <v>3.0243799999999998</v>
      </c>
      <c r="DJ23">
        <v>2.6911399999999999</v>
      </c>
      <c r="DK23">
        <v>9.3417700000000006E-2</v>
      </c>
      <c r="DL23">
        <v>0.104076</v>
      </c>
      <c r="DM23">
        <v>0.12589800000000001</v>
      </c>
      <c r="DN23">
        <v>0.106215</v>
      </c>
      <c r="DO23">
        <v>25350.3</v>
      </c>
      <c r="DP23">
        <v>16874.8</v>
      </c>
      <c r="DQ23">
        <v>26521</v>
      </c>
      <c r="DR23">
        <v>17113.900000000001</v>
      </c>
      <c r="DS23">
        <v>32947.800000000003</v>
      </c>
      <c r="DT23">
        <v>19947.3</v>
      </c>
      <c r="DU23">
        <v>38635.300000000003</v>
      </c>
      <c r="DV23">
        <v>22649.3</v>
      </c>
      <c r="DW23">
        <v>1.8266800000000001</v>
      </c>
      <c r="DX23">
        <v>2.23454</v>
      </c>
      <c r="DY23">
        <v>0.123155</v>
      </c>
      <c r="DZ23">
        <v>0</v>
      </c>
      <c r="EA23">
        <v>23.657599999999999</v>
      </c>
      <c r="EB23">
        <v>999.9</v>
      </c>
      <c r="EC23">
        <v>51.6</v>
      </c>
      <c r="ED23">
        <v>31.2</v>
      </c>
      <c r="EE23">
        <v>23.002600000000001</v>
      </c>
      <c r="EF23">
        <v>62.435600000000001</v>
      </c>
      <c r="EG23">
        <v>35.560899999999997</v>
      </c>
      <c r="EH23">
        <v>1</v>
      </c>
      <c r="EI23">
        <v>-0.12359100000000001</v>
      </c>
      <c r="EJ23">
        <v>-0.83426800000000001</v>
      </c>
      <c r="EK23">
        <v>20.3278</v>
      </c>
      <c r="EL23">
        <v>5.2532300000000003</v>
      </c>
      <c r="EM23">
        <v>11.962</v>
      </c>
      <c r="EN23">
        <v>4.9906800000000002</v>
      </c>
      <c r="EO23">
        <v>3.29196</v>
      </c>
      <c r="EP23">
        <v>9999</v>
      </c>
      <c r="EQ23">
        <v>9999</v>
      </c>
      <c r="ER23">
        <v>9999</v>
      </c>
      <c r="ES23">
        <v>999.9</v>
      </c>
      <c r="ET23">
        <v>4.9726800000000004</v>
      </c>
      <c r="EU23">
        <v>1.87195</v>
      </c>
      <c r="EV23">
        <v>1.87218</v>
      </c>
      <c r="EW23">
        <v>1.8771899999999999</v>
      </c>
      <c r="EX23">
        <v>1.8713500000000001</v>
      </c>
      <c r="EY23">
        <v>1.8721300000000001</v>
      </c>
      <c r="EZ23">
        <v>1.8717999999999999</v>
      </c>
      <c r="FA23">
        <v>1.86869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2.258</v>
      </c>
      <c r="FP23">
        <v>0.20619999999999999</v>
      </c>
      <c r="FQ23">
        <v>-0.9860249659309317</v>
      </c>
      <c r="FR23">
        <v>7.6898218637449396E-3</v>
      </c>
      <c r="FS23">
        <v>1.5097418776848419E-6</v>
      </c>
      <c r="FT23">
        <v>-9.8458676114205118E-11</v>
      </c>
      <c r="FU23">
        <v>0.20622499999999991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192.7</v>
      </c>
      <c r="GD23">
        <v>192.7</v>
      </c>
      <c r="GE23">
        <v>1.09985</v>
      </c>
      <c r="GF23">
        <v>2.65503</v>
      </c>
      <c r="GG23">
        <v>1.79932</v>
      </c>
      <c r="GH23">
        <v>2.3706100000000001</v>
      </c>
      <c r="GI23">
        <v>1.5979000000000001</v>
      </c>
      <c r="GJ23">
        <v>2.3828100000000001</v>
      </c>
      <c r="GK23">
        <v>34.122500000000002</v>
      </c>
      <c r="GL23">
        <v>24.157499999999999</v>
      </c>
      <c r="GM23">
        <v>18</v>
      </c>
      <c r="GN23">
        <v>365.40300000000002</v>
      </c>
      <c r="GO23">
        <v>683.82899999999995</v>
      </c>
      <c r="GP23">
        <v>25.83</v>
      </c>
      <c r="GQ23">
        <v>25.524999999999999</v>
      </c>
      <c r="GR23">
        <v>30.0001</v>
      </c>
      <c r="GS23">
        <v>25.483699999999999</v>
      </c>
      <c r="GT23">
        <v>25.499099999999999</v>
      </c>
      <c r="GU23">
        <v>21.971299999999999</v>
      </c>
      <c r="GV23">
        <v>20.918299999999999</v>
      </c>
      <c r="GW23">
        <v>10.9862</v>
      </c>
      <c r="GX23">
        <v>25.83</v>
      </c>
      <c r="GY23">
        <v>450</v>
      </c>
      <c r="GZ23">
        <v>19.5</v>
      </c>
      <c r="HA23">
        <v>100.77800000000001</v>
      </c>
      <c r="HB23">
        <v>70.736500000000007</v>
      </c>
    </row>
    <row r="24" spans="1:210" x14ac:dyDescent="0.3">
      <c r="A24">
        <v>8</v>
      </c>
      <c r="B24">
        <v>1750173304.0999999</v>
      </c>
      <c r="C24">
        <v>1263.5</v>
      </c>
      <c r="D24" t="s">
        <v>355</v>
      </c>
      <c r="E24" t="s">
        <v>356</v>
      </c>
      <c r="F24">
        <v>15</v>
      </c>
      <c r="G24">
        <v>1750173296.349999</v>
      </c>
      <c r="H24">
        <f t="shared" si="0"/>
        <v>2.5851948175221288E-3</v>
      </c>
      <c r="I24">
        <f t="shared" si="1"/>
        <v>2.5851948175221287</v>
      </c>
      <c r="J24">
        <f t="shared" si="2"/>
        <v>23.462749258721566</v>
      </c>
      <c r="K24">
        <f t="shared" si="3"/>
        <v>394.92236666666668</v>
      </c>
      <c r="L24">
        <f t="shared" si="4"/>
        <v>285.75138270189296</v>
      </c>
      <c r="M24">
        <f t="shared" si="5"/>
        <v>29.279271986468977</v>
      </c>
      <c r="N24">
        <f t="shared" si="6"/>
        <v>40.465383851655339</v>
      </c>
      <c r="O24">
        <f t="shared" si="7"/>
        <v>0.38293592879846733</v>
      </c>
      <c r="P24">
        <f t="shared" si="8"/>
        <v>2.4313214286102012</v>
      </c>
      <c r="Q24">
        <f t="shared" si="9"/>
        <v>0.35273702216813357</v>
      </c>
      <c r="R24">
        <f t="shared" si="10"/>
        <v>0.22297670589120711</v>
      </c>
      <c r="S24">
        <f t="shared" si="11"/>
        <v>178.20627566666664</v>
      </c>
      <c r="T24">
        <f t="shared" si="12"/>
        <v>26.560462814969849</v>
      </c>
      <c r="U24">
        <f t="shared" si="13"/>
        <v>25.67873333333333</v>
      </c>
      <c r="V24">
        <f t="shared" si="14"/>
        <v>3.3106424612471361</v>
      </c>
      <c r="W24">
        <f t="shared" si="15"/>
        <v>76.001710108213402</v>
      </c>
      <c r="X24">
        <f t="shared" si="16"/>
        <v>2.5812778426529732</v>
      </c>
      <c r="Y24">
        <f t="shared" si="17"/>
        <v>3.396341791490844</v>
      </c>
      <c r="Z24">
        <f t="shared" si="18"/>
        <v>0.72936461859416291</v>
      </c>
      <c r="AA24">
        <f t="shared" si="19"/>
        <v>-114.00709145272589</v>
      </c>
      <c r="AB24">
        <f t="shared" si="20"/>
        <v>56.566889265471154</v>
      </c>
      <c r="AC24">
        <f t="shared" si="21"/>
        <v>4.9657536141867231</v>
      </c>
      <c r="AD24">
        <f t="shared" si="22"/>
        <v>125.73182709359864</v>
      </c>
      <c r="AE24">
        <f t="shared" si="23"/>
        <v>23.462749258721566</v>
      </c>
      <c r="AF24">
        <f t="shared" si="24"/>
        <v>2.5851948175221287</v>
      </c>
      <c r="AG24">
        <f t="shared" si="25"/>
        <v>23.460334703174823</v>
      </c>
      <c r="AH24">
        <v>458.99178706239871</v>
      </c>
      <c r="AI24">
        <v>405.15384242424238</v>
      </c>
      <c r="AJ24">
        <v>7.4193293638938278E-5</v>
      </c>
      <c r="AK24">
        <v>83.970099767297825</v>
      </c>
      <c r="AL24">
        <f t="shared" si="26"/>
        <v>2.5858091791424029</v>
      </c>
      <c r="AM24">
        <v>19.519050851845989</v>
      </c>
      <c r="AN24">
        <v>25.19080255639097</v>
      </c>
      <c r="AO24">
        <v>-1.974170426185567E-5</v>
      </c>
      <c r="AP24">
        <v>90.537021309746265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54259.447506428594</v>
      </c>
      <c r="AV24">
        <f t="shared" si="30"/>
        <v>937.92776666666657</v>
      </c>
      <c r="AW24">
        <f t="shared" si="31"/>
        <v>750.34221333333335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336</v>
      </c>
      <c r="BC24">
        <v>2</v>
      </c>
      <c r="BD24" t="b">
        <v>0</v>
      </c>
      <c r="BE24">
        <v>1750173296.349999</v>
      </c>
      <c r="BF24">
        <v>394.92236666666668</v>
      </c>
      <c r="BG24">
        <v>450.01126666666659</v>
      </c>
      <c r="BH24">
        <v>25.19201</v>
      </c>
      <c r="BI24">
        <v>19.52179666666666</v>
      </c>
      <c r="BJ24">
        <v>392.66210000000001</v>
      </c>
      <c r="BK24">
        <v>24.985800000000001</v>
      </c>
      <c r="BL24">
        <v>399.99583333333328</v>
      </c>
      <c r="BM24">
        <v>102.3641333333333</v>
      </c>
      <c r="BN24">
        <v>0.10001473</v>
      </c>
      <c r="BO24">
        <v>26.11028666666666</v>
      </c>
      <c r="BP24">
        <v>25.67873333333333</v>
      </c>
      <c r="BQ24">
        <v>999.9000000000002</v>
      </c>
      <c r="BR24">
        <v>0</v>
      </c>
      <c r="BS24">
        <v>0</v>
      </c>
      <c r="BT24">
        <v>9994.4666666666672</v>
      </c>
      <c r="BU24">
        <v>937.92776666666657</v>
      </c>
      <c r="BV24">
        <v>18.58659999999999</v>
      </c>
      <c r="BW24">
        <v>-55.088843333333337</v>
      </c>
      <c r="BX24">
        <v>405.1284</v>
      </c>
      <c r="BY24">
        <v>458.97109999999992</v>
      </c>
      <c r="BZ24">
        <v>5.6702203333333321</v>
      </c>
      <c r="CA24">
        <v>450.01126666666659</v>
      </c>
      <c r="CB24">
        <v>19.52179666666666</v>
      </c>
      <c r="CC24">
        <v>2.5787599999999999</v>
      </c>
      <c r="CD24">
        <v>1.998331333333333</v>
      </c>
      <c r="CE24">
        <v>21.532309999999999</v>
      </c>
      <c r="CF24">
        <v>17.43112</v>
      </c>
      <c r="CG24">
        <v>1750161563.5</v>
      </c>
      <c r="CH24" t="s">
        <v>337</v>
      </c>
      <c r="CI24">
        <v>1750161563.5</v>
      </c>
      <c r="CJ24">
        <v>1750161562.5</v>
      </c>
      <c r="CK24">
        <v>10</v>
      </c>
      <c r="CL24">
        <v>0.41199999999999998</v>
      </c>
      <c r="CM24">
        <v>-3.9E-2</v>
      </c>
      <c r="CN24">
        <v>2.7469999999999999</v>
      </c>
      <c r="CO24">
        <v>0.20599999999999999</v>
      </c>
      <c r="CP24">
        <v>450</v>
      </c>
      <c r="CQ24">
        <v>19</v>
      </c>
      <c r="CR24">
        <v>0.5</v>
      </c>
      <c r="CS24">
        <v>0.14000000000000001</v>
      </c>
      <c r="CT24">
        <v>-55.100170731707323</v>
      </c>
      <c r="CU24">
        <v>0.18454494773519561</v>
      </c>
      <c r="CV24">
        <v>3.0063844616468108E-2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5.6707351219512203</v>
      </c>
      <c r="DC24">
        <v>-4.6090662020884528E-2</v>
      </c>
      <c r="DD24">
        <v>6.7249455966432066E-3</v>
      </c>
      <c r="DE24">
        <v>1</v>
      </c>
      <c r="DF24">
        <v>2</v>
      </c>
      <c r="DG24">
        <v>2</v>
      </c>
      <c r="DH24" t="s">
        <v>344</v>
      </c>
      <c r="DI24">
        <v>3.0246200000000001</v>
      </c>
      <c r="DJ24">
        <v>2.6915800000000001</v>
      </c>
      <c r="DK24">
        <v>9.3460100000000004E-2</v>
      </c>
      <c r="DL24">
        <v>0.104074</v>
      </c>
      <c r="DM24">
        <v>0.12571499999999999</v>
      </c>
      <c r="DN24">
        <v>0.106154</v>
      </c>
      <c r="DO24">
        <v>25350</v>
      </c>
      <c r="DP24">
        <v>16874.400000000001</v>
      </c>
      <c r="DQ24">
        <v>26521.9</v>
      </c>
      <c r="DR24">
        <v>17113.400000000001</v>
      </c>
      <c r="DS24">
        <v>32956.300000000003</v>
      </c>
      <c r="DT24">
        <v>19948</v>
      </c>
      <c r="DU24">
        <v>38636.9</v>
      </c>
      <c r="DV24">
        <v>22648.5</v>
      </c>
      <c r="DW24">
        <v>1.8272999999999999</v>
      </c>
      <c r="DX24">
        <v>2.2346599999999999</v>
      </c>
      <c r="DY24">
        <v>0.122753</v>
      </c>
      <c r="DZ24">
        <v>0</v>
      </c>
      <c r="EA24">
        <v>23.659600000000001</v>
      </c>
      <c r="EB24">
        <v>999.9</v>
      </c>
      <c r="EC24">
        <v>51.9</v>
      </c>
      <c r="ED24">
        <v>31.1</v>
      </c>
      <c r="EE24">
        <v>23.003</v>
      </c>
      <c r="EF24">
        <v>62.245699999999999</v>
      </c>
      <c r="EG24">
        <v>35.564900000000002</v>
      </c>
      <c r="EH24">
        <v>1</v>
      </c>
      <c r="EI24">
        <v>-0.124289</v>
      </c>
      <c r="EJ24">
        <v>-0.83438299999999999</v>
      </c>
      <c r="EK24">
        <v>20.327500000000001</v>
      </c>
      <c r="EL24">
        <v>5.2520300000000004</v>
      </c>
      <c r="EM24">
        <v>11.962</v>
      </c>
      <c r="EN24">
        <v>4.9898400000000001</v>
      </c>
      <c r="EO24">
        <v>3.2918799999999999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1.87195</v>
      </c>
      <c r="EV24">
        <v>1.8721300000000001</v>
      </c>
      <c r="EW24">
        <v>1.8771599999999999</v>
      </c>
      <c r="EX24">
        <v>1.87134</v>
      </c>
      <c r="EY24">
        <v>1.8721399999999999</v>
      </c>
      <c r="EZ24">
        <v>1.8717999999999999</v>
      </c>
      <c r="FA24">
        <v>1.8686499999999999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2.2599999999999998</v>
      </c>
      <c r="FP24">
        <v>0.20619999999999999</v>
      </c>
      <c r="FQ24">
        <v>-0.9860249659309317</v>
      </c>
      <c r="FR24">
        <v>7.6898218637449396E-3</v>
      </c>
      <c r="FS24">
        <v>1.5097418776848419E-6</v>
      </c>
      <c r="FT24">
        <v>-9.8458676114205118E-11</v>
      </c>
      <c r="FU24">
        <v>0.20622499999999991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195.7</v>
      </c>
      <c r="GD24">
        <v>195.7</v>
      </c>
      <c r="GE24">
        <v>1.09985</v>
      </c>
      <c r="GF24">
        <v>2.65259</v>
      </c>
      <c r="GG24">
        <v>1.79932</v>
      </c>
      <c r="GH24">
        <v>2.3706100000000001</v>
      </c>
      <c r="GI24">
        <v>1.5979000000000001</v>
      </c>
      <c r="GJ24">
        <v>2.3803700000000001</v>
      </c>
      <c r="GK24">
        <v>34.077100000000002</v>
      </c>
      <c r="GL24">
        <v>24.157499999999999</v>
      </c>
      <c r="GM24">
        <v>18</v>
      </c>
      <c r="GN24">
        <v>365.625</v>
      </c>
      <c r="GO24">
        <v>683.76400000000001</v>
      </c>
      <c r="GP24">
        <v>25.829799999999999</v>
      </c>
      <c r="GQ24">
        <v>25.515999999999998</v>
      </c>
      <c r="GR24">
        <v>30</v>
      </c>
      <c r="GS24">
        <v>25.470199999999998</v>
      </c>
      <c r="GT24">
        <v>25.4863</v>
      </c>
      <c r="GU24">
        <v>21.9679</v>
      </c>
      <c r="GV24">
        <v>21.189399999999999</v>
      </c>
      <c r="GW24">
        <v>12.862399999999999</v>
      </c>
      <c r="GX24">
        <v>25.83</v>
      </c>
      <c r="GY24">
        <v>450</v>
      </c>
      <c r="GZ24">
        <v>19.5</v>
      </c>
      <c r="HA24">
        <v>100.782</v>
      </c>
      <c r="HB24">
        <v>70.734200000000001</v>
      </c>
    </row>
    <row r="25" spans="1:210" x14ac:dyDescent="0.3">
      <c r="A25">
        <v>9</v>
      </c>
      <c r="B25">
        <v>1750173484.5999999</v>
      </c>
      <c r="C25">
        <v>1444</v>
      </c>
      <c r="D25" t="s">
        <v>357</v>
      </c>
      <c r="E25" t="s">
        <v>358</v>
      </c>
      <c r="F25">
        <v>15</v>
      </c>
      <c r="G25">
        <v>1750173476.849999</v>
      </c>
      <c r="H25">
        <f t="shared" si="0"/>
        <v>2.5409356515052857E-3</v>
      </c>
      <c r="I25">
        <f t="shared" si="1"/>
        <v>2.5409356515052859</v>
      </c>
      <c r="J25">
        <f t="shared" si="2"/>
        <v>29.447041360340155</v>
      </c>
      <c r="K25">
        <f t="shared" si="3"/>
        <v>530.69490000000008</v>
      </c>
      <c r="L25">
        <f t="shared" si="4"/>
        <v>389.203631148265</v>
      </c>
      <c r="M25">
        <f t="shared" si="5"/>
        <v>39.878891804138298</v>
      </c>
      <c r="N25">
        <f t="shared" si="6"/>
        <v>54.376482654258353</v>
      </c>
      <c r="O25">
        <f t="shared" si="7"/>
        <v>0.37080062630020832</v>
      </c>
      <c r="P25">
        <f t="shared" si="8"/>
        <v>2.4316510490233236</v>
      </c>
      <c r="Q25">
        <f t="shared" si="9"/>
        <v>0.34241355644736565</v>
      </c>
      <c r="R25">
        <f t="shared" si="10"/>
        <v>0.21637902533196268</v>
      </c>
      <c r="S25">
        <f t="shared" si="11"/>
        <v>178.23167866666668</v>
      </c>
      <c r="T25">
        <f t="shared" si="12"/>
        <v>26.585012326721099</v>
      </c>
      <c r="U25">
        <f t="shared" si="13"/>
        <v>25.686140000000002</v>
      </c>
      <c r="V25">
        <f t="shared" si="14"/>
        <v>3.3120972168070568</v>
      </c>
      <c r="W25">
        <f t="shared" si="15"/>
        <v>75.727317883282893</v>
      </c>
      <c r="X25">
        <f t="shared" si="16"/>
        <v>2.5735931965542749</v>
      </c>
      <c r="Y25">
        <f t="shared" si="17"/>
        <v>3.3985003939013212</v>
      </c>
      <c r="Z25">
        <f t="shared" si="18"/>
        <v>0.73850402025278195</v>
      </c>
      <c r="AA25">
        <f t="shared" si="19"/>
        <v>-112.0552622313831</v>
      </c>
      <c r="AB25">
        <f t="shared" si="20"/>
        <v>57.012416054456018</v>
      </c>
      <c r="AC25">
        <f t="shared" si="21"/>
        <v>5.0046419309137278</v>
      </c>
      <c r="AD25">
        <f t="shared" si="22"/>
        <v>128.19347442065333</v>
      </c>
      <c r="AE25">
        <f t="shared" si="23"/>
        <v>29.447041360340155</v>
      </c>
      <c r="AF25">
        <f t="shared" si="24"/>
        <v>2.5409356515052859</v>
      </c>
      <c r="AG25">
        <f t="shared" si="25"/>
        <v>29.459689091878762</v>
      </c>
      <c r="AH25">
        <v>611.95170366429977</v>
      </c>
      <c r="AI25">
        <v>544.35192727272704</v>
      </c>
      <c r="AJ25">
        <v>-2.8006561335099041E-4</v>
      </c>
      <c r="AK25">
        <v>83.970099767297825</v>
      </c>
      <c r="AL25">
        <f t="shared" si="26"/>
        <v>2.5409036008531758</v>
      </c>
      <c r="AM25">
        <v>19.545509281870551</v>
      </c>
      <c r="AN25">
        <v>25.11866165413532</v>
      </c>
      <c r="AO25">
        <v>-3.8031373011565962E-7</v>
      </c>
      <c r="AP25">
        <v>90.537021309746265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54268.577028392669</v>
      </c>
      <c r="AV25">
        <f t="shared" si="30"/>
        <v>938.06146666666666</v>
      </c>
      <c r="AW25">
        <f t="shared" si="31"/>
        <v>750.44917333333342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336</v>
      </c>
      <c r="BC25">
        <v>2</v>
      </c>
      <c r="BD25" t="b">
        <v>0</v>
      </c>
      <c r="BE25">
        <v>1750173476.849999</v>
      </c>
      <c r="BF25">
        <v>530.69490000000008</v>
      </c>
      <c r="BG25">
        <v>599.98130000000003</v>
      </c>
      <c r="BH25">
        <v>25.117343333333331</v>
      </c>
      <c r="BI25">
        <v>19.54411666666666</v>
      </c>
      <c r="BJ25">
        <v>527.22156666666672</v>
      </c>
      <c r="BK25">
        <v>24.911123333333329</v>
      </c>
      <c r="BL25">
        <v>400.02010000000001</v>
      </c>
      <c r="BM25">
        <v>102.3627666666666</v>
      </c>
      <c r="BN25">
        <v>0.10002816</v>
      </c>
      <c r="BO25">
        <v>26.12103333333333</v>
      </c>
      <c r="BP25">
        <v>25.686140000000002</v>
      </c>
      <c r="BQ25">
        <v>999.9000000000002</v>
      </c>
      <c r="BR25">
        <v>0</v>
      </c>
      <c r="BS25">
        <v>0</v>
      </c>
      <c r="BT25">
        <v>9996.7333333333336</v>
      </c>
      <c r="BU25">
        <v>938.06146666666666</v>
      </c>
      <c r="BV25">
        <v>18.58659999999999</v>
      </c>
      <c r="BW25">
        <v>-69.286333333333317</v>
      </c>
      <c r="BX25">
        <v>544.36813333333339</v>
      </c>
      <c r="BY25">
        <v>611.94113333333348</v>
      </c>
      <c r="BZ25">
        <v>5.5732189999999999</v>
      </c>
      <c r="CA25">
        <v>599.98130000000003</v>
      </c>
      <c r="CB25">
        <v>19.54411666666666</v>
      </c>
      <c r="CC25">
        <v>2.5710793333333339</v>
      </c>
      <c r="CD25">
        <v>2.0005893333333331</v>
      </c>
      <c r="CE25">
        <v>21.48359666666666</v>
      </c>
      <c r="CF25">
        <v>17.449000000000002</v>
      </c>
      <c r="CG25">
        <v>1750161563.5</v>
      </c>
      <c r="CH25" t="s">
        <v>337</v>
      </c>
      <c r="CI25">
        <v>1750161563.5</v>
      </c>
      <c r="CJ25">
        <v>1750161562.5</v>
      </c>
      <c r="CK25">
        <v>10</v>
      </c>
      <c r="CL25">
        <v>0.41199999999999998</v>
      </c>
      <c r="CM25">
        <v>-3.9E-2</v>
      </c>
      <c r="CN25">
        <v>2.7469999999999999</v>
      </c>
      <c r="CO25">
        <v>0.20599999999999999</v>
      </c>
      <c r="CP25">
        <v>450</v>
      </c>
      <c r="CQ25">
        <v>19</v>
      </c>
      <c r="CR25">
        <v>0.5</v>
      </c>
      <c r="CS25">
        <v>0.14000000000000001</v>
      </c>
      <c r="CT25">
        <v>-69.296047500000014</v>
      </c>
      <c r="CU25">
        <v>7.3007504690527109E-2</v>
      </c>
      <c r="CV25">
        <v>3.6141589529931441E-2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5.5765847500000003</v>
      </c>
      <c r="DC25">
        <v>-5.5953658536604167E-2</v>
      </c>
      <c r="DD25">
        <v>5.6449038909001754E-3</v>
      </c>
      <c r="DE25">
        <v>1</v>
      </c>
      <c r="DF25">
        <v>2</v>
      </c>
      <c r="DG25">
        <v>2</v>
      </c>
      <c r="DH25" t="s">
        <v>344</v>
      </c>
      <c r="DI25">
        <v>3.02481</v>
      </c>
      <c r="DJ25">
        <v>2.6914199999999999</v>
      </c>
      <c r="DK25">
        <v>0.116185</v>
      </c>
      <c r="DL25">
        <v>0.12795500000000001</v>
      </c>
      <c r="DM25">
        <v>0.12545999999999999</v>
      </c>
      <c r="DN25">
        <v>0.10621</v>
      </c>
      <c r="DO25">
        <v>24715.1</v>
      </c>
      <c r="DP25">
        <v>16424.3</v>
      </c>
      <c r="DQ25">
        <v>26522.3</v>
      </c>
      <c r="DR25">
        <v>17112.900000000001</v>
      </c>
      <c r="DS25">
        <v>32966.6</v>
      </c>
      <c r="DT25">
        <v>19945.400000000001</v>
      </c>
      <c r="DU25">
        <v>38636.800000000003</v>
      </c>
      <c r="DV25">
        <v>22646.7</v>
      </c>
      <c r="DW25">
        <v>1.8275999999999999</v>
      </c>
      <c r="DX25">
        <v>2.2351800000000002</v>
      </c>
      <c r="DY25">
        <v>0.122264</v>
      </c>
      <c r="DZ25">
        <v>0</v>
      </c>
      <c r="EA25">
        <v>23.6875</v>
      </c>
      <c r="EB25">
        <v>999.9</v>
      </c>
      <c r="EC25">
        <v>52.1</v>
      </c>
      <c r="ED25">
        <v>31</v>
      </c>
      <c r="EE25">
        <v>22.958300000000001</v>
      </c>
      <c r="EF25">
        <v>62.575699999999998</v>
      </c>
      <c r="EG25">
        <v>35.420699999999997</v>
      </c>
      <c r="EH25">
        <v>1</v>
      </c>
      <c r="EI25">
        <v>-0.12540200000000001</v>
      </c>
      <c r="EJ25">
        <v>-0.81943999999999995</v>
      </c>
      <c r="EK25">
        <v>20.328199999999999</v>
      </c>
      <c r="EL25">
        <v>5.2531100000000004</v>
      </c>
      <c r="EM25">
        <v>11.962</v>
      </c>
      <c r="EN25">
        <v>4.99064</v>
      </c>
      <c r="EO25">
        <v>3.2919</v>
      </c>
      <c r="EP25">
        <v>9999</v>
      </c>
      <c r="EQ25">
        <v>9999</v>
      </c>
      <c r="ER25">
        <v>9999</v>
      </c>
      <c r="ES25">
        <v>999.9</v>
      </c>
      <c r="ET25">
        <v>4.9727100000000002</v>
      </c>
      <c r="EU25">
        <v>1.8719399999999999</v>
      </c>
      <c r="EV25">
        <v>1.87216</v>
      </c>
      <c r="EW25">
        <v>1.8771899999999999</v>
      </c>
      <c r="EX25">
        <v>1.8713500000000001</v>
      </c>
      <c r="EY25">
        <v>1.8721300000000001</v>
      </c>
      <c r="EZ25">
        <v>1.8717999999999999</v>
      </c>
      <c r="FA25">
        <v>1.8686700000000001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3.4729999999999999</v>
      </c>
      <c r="FP25">
        <v>0.20630000000000001</v>
      </c>
      <c r="FQ25">
        <v>-0.9860249659309317</v>
      </c>
      <c r="FR25">
        <v>7.6898218637449396E-3</v>
      </c>
      <c r="FS25">
        <v>1.5097418776848419E-6</v>
      </c>
      <c r="FT25">
        <v>-9.8458676114205118E-11</v>
      </c>
      <c r="FU25">
        <v>0.20622499999999991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198.7</v>
      </c>
      <c r="GD25">
        <v>198.7</v>
      </c>
      <c r="GE25">
        <v>1.38428</v>
      </c>
      <c r="GF25">
        <v>2.6452599999999999</v>
      </c>
      <c r="GG25">
        <v>1.79932</v>
      </c>
      <c r="GH25">
        <v>2.3706100000000001</v>
      </c>
      <c r="GI25">
        <v>1.5979000000000001</v>
      </c>
      <c r="GJ25">
        <v>2.3864700000000001</v>
      </c>
      <c r="GK25">
        <v>34.031799999999997</v>
      </c>
      <c r="GL25">
        <v>24.157499999999999</v>
      </c>
      <c r="GM25">
        <v>18</v>
      </c>
      <c r="GN25">
        <v>365.68</v>
      </c>
      <c r="GO25">
        <v>684.04700000000003</v>
      </c>
      <c r="GP25">
        <v>25.831</v>
      </c>
      <c r="GQ25">
        <v>25.5031</v>
      </c>
      <c r="GR25">
        <v>30.0001</v>
      </c>
      <c r="GS25">
        <v>25.456199999999999</v>
      </c>
      <c r="GT25">
        <v>25.473400000000002</v>
      </c>
      <c r="GU25">
        <v>27.682700000000001</v>
      </c>
      <c r="GV25">
        <v>21.462299999999999</v>
      </c>
      <c r="GW25">
        <v>14.0047</v>
      </c>
      <c r="GX25">
        <v>25.83</v>
      </c>
      <c r="GY25">
        <v>600</v>
      </c>
      <c r="GZ25">
        <v>19.5</v>
      </c>
      <c r="HA25">
        <v>100.782</v>
      </c>
      <c r="HB25">
        <v>70.73</v>
      </c>
    </row>
    <row r="26" spans="1:210" x14ac:dyDescent="0.3">
      <c r="A26">
        <v>10</v>
      </c>
      <c r="B26">
        <v>1750173665.5</v>
      </c>
      <c r="C26">
        <v>1624.900000095367</v>
      </c>
      <c r="D26" t="s">
        <v>359</v>
      </c>
      <c r="E26" t="s">
        <v>360</v>
      </c>
      <c r="F26">
        <v>15</v>
      </c>
      <c r="G26">
        <v>1750173657.5064521</v>
      </c>
      <c r="H26">
        <f t="shared" si="0"/>
        <v>2.530395538081957E-3</v>
      </c>
      <c r="I26">
        <f t="shared" si="1"/>
        <v>2.5303955380819572</v>
      </c>
      <c r="J26">
        <f t="shared" si="2"/>
        <v>34.77935657140042</v>
      </c>
      <c r="K26">
        <f t="shared" si="3"/>
        <v>817.10983870967766</v>
      </c>
      <c r="L26">
        <f t="shared" si="4"/>
        <v>636.56196621849529</v>
      </c>
      <c r="M26">
        <f t="shared" si="5"/>
        <v>65.224699959857688</v>
      </c>
      <c r="N26">
        <f t="shared" si="6"/>
        <v>83.724361322889749</v>
      </c>
      <c r="O26">
        <f t="shared" si="7"/>
        <v>0.34603480105309053</v>
      </c>
      <c r="P26">
        <f t="shared" si="8"/>
        <v>2.4311221923554491</v>
      </c>
      <c r="Q26">
        <f t="shared" si="9"/>
        <v>0.32117296636917941</v>
      </c>
      <c r="R26">
        <f t="shared" si="10"/>
        <v>0.20281899969605946</v>
      </c>
      <c r="S26">
        <f t="shared" si="11"/>
        <v>178.30144870967743</v>
      </c>
      <c r="T26">
        <f t="shared" si="12"/>
        <v>26.74832782569106</v>
      </c>
      <c r="U26">
        <f t="shared" si="13"/>
        <v>25.874025806451609</v>
      </c>
      <c r="V26">
        <f t="shared" si="14"/>
        <v>3.349187407389798</v>
      </c>
      <c r="W26">
        <f t="shared" si="15"/>
        <v>74.772573282064457</v>
      </c>
      <c r="X26">
        <f t="shared" si="16"/>
        <v>2.5652122670307507</v>
      </c>
      <c r="Y26">
        <f t="shared" si="17"/>
        <v>3.4306860850622387</v>
      </c>
      <c r="Z26">
        <f t="shared" si="18"/>
        <v>0.78397514035904736</v>
      </c>
      <c r="AA26">
        <f t="shared" si="19"/>
        <v>-111.5904432294143</v>
      </c>
      <c r="AB26">
        <f t="shared" si="20"/>
        <v>53.284093485120835</v>
      </c>
      <c r="AC26">
        <f t="shared" si="21"/>
        <v>4.6865423084166036</v>
      </c>
      <c r="AD26">
        <f t="shared" si="22"/>
        <v>124.68164127380055</v>
      </c>
      <c r="AE26">
        <f t="shared" si="23"/>
        <v>34.77935657140042</v>
      </c>
      <c r="AF26">
        <f t="shared" si="24"/>
        <v>2.5303955380819572</v>
      </c>
      <c r="AG26">
        <f t="shared" si="25"/>
        <v>34.776096068281717</v>
      </c>
      <c r="AH26">
        <v>917.86027949918491</v>
      </c>
      <c r="AI26">
        <v>838.08371515151532</v>
      </c>
      <c r="AJ26">
        <v>-2.126354935338351E-3</v>
      </c>
      <c r="AK26">
        <v>83.970099767297825</v>
      </c>
      <c r="AL26">
        <f t="shared" si="26"/>
        <v>2.5219779213150884</v>
      </c>
      <c r="AM26">
        <v>19.484443059144279</v>
      </c>
      <c r="AN26">
        <v>25.016631278195469</v>
      </c>
      <c r="AO26">
        <v>-1.332947450335947E-5</v>
      </c>
      <c r="AP26">
        <v>90.537021309746265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54221.861436028688</v>
      </c>
      <c r="AV26">
        <f t="shared" si="30"/>
        <v>938.42867741935481</v>
      </c>
      <c r="AW26">
        <f t="shared" si="31"/>
        <v>750.74294193548394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336</v>
      </c>
      <c r="BC26">
        <v>2</v>
      </c>
      <c r="BD26" t="b">
        <v>0</v>
      </c>
      <c r="BE26">
        <v>1750173657.5064521</v>
      </c>
      <c r="BF26">
        <v>817.10983870967766</v>
      </c>
      <c r="BG26">
        <v>900.00906451612911</v>
      </c>
      <c r="BH26">
        <v>25.035248387096779</v>
      </c>
      <c r="BI26">
        <v>19.48482580645161</v>
      </c>
      <c r="BJ26">
        <v>810.91974193548367</v>
      </c>
      <c r="BK26">
        <v>24.829022580645159</v>
      </c>
      <c r="BL26">
        <v>400.03112903225809</v>
      </c>
      <c r="BM26">
        <v>102.3639677419355</v>
      </c>
      <c r="BN26">
        <v>0.1000552774193549</v>
      </c>
      <c r="BO26">
        <v>26.280567741935482</v>
      </c>
      <c r="BP26">
        <v>25.874025806451609</v>
      </c>
      <c r="BQ26">
        <v>999.90000000000032</v>
      </c>
      <c r="BR26">
        <v>0</v>
      </c>
      <c r="BS26">
        <v>0</v>
      </c>
      <c r="BT26">
        <v>9993.1935483870966</v>
      </c>
      <c r="BU26">
        <v>938.42867741935481</v>
      </c>
      <c r="BV26">
        <v>18.58659999999999</v>
      </c>
      <c r="BW26">
        <v>-82.899241935483872</v>
      </c>
      <c r="BX26">
        <v>838.09164516129033</v>
      </c>
      <c r="BY26">
        <v>917.89396774193551</v>
      </c>
      <c r="BZ26">
        <v>5.5504183870967738</v>
      </c>
      <c r="CA26">
        <v>900.00906451612911</v>
      </c>
      <c r="CB26">
        <v>19.48482580645161</v>
      </c>
      <c r="CC26">
        <v>2.562707419354838</v>
      </c>
      <c r="CD26">
        <v>1.994544193548387</v>
      </c>
      <c r="CE26">
        <v>21.430335483870959</v>
      </c>
      <c r="CF26">
        <v>17.401087096774191</v>
      </c>
      <c r="CG26">
        <v>1750161563.5</v>
      </c>
      <c r="CH26" t="s">
        <v>337</v>
      </c>
      <c r="CI26">
        <v>1750161563.5</v>
      </c>
      <c r="CJ26">
        <v>1750161562.5</v>
      </c>
      <c r="CK26">
        <v>10</v>
      </c>
      <c r="CL26">
        <v>0.41199999999999998</v>
      </c>
      <c r="CM26">
        <v>-3.9E-2</v>
      </c>
      <c r="CN26">
        <v>2.7469999999999999</v>
      </c>
      <c r="CO26">
        <v>0.20599999999999999</v>
      </c>
      <c r="CP26">
        <v>450</v>
      </c>
      <c r="CQ26">
        <v>19</v>
      </c>
      <c r="CR26">
        <v>0.5</v>
      </c>
      <c r="CS26">
        <v>0.14000000000000001</v>
      </c>
      <c r="CT26">
        <v>-82.938529268292697</v>
      </c>
      <c r="CU26">
        <v>0.73743577639113678</v>
      </c>
      <c r="CV26">
        <v>8.806887893035692E-2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5.5438780487804884</v>
      </c>
      <c r="DC26">
        <v>5.2475221325438449E-2</v>
      </c>
      <c r="DD26">
        <v>1.8167165130412291E-2</v>
      </c>
      <c r="DE26">
        <v>1</v>
      </c>
      <c r="DF26">
        <v>1</v>
      </c>
      <c r="DG26">
        <v>2</v>
      </c>
      <c r="DH26" t="s">
        <v>338</v>
      </c>
      <c r="DI26">
        <v>3.0245899999999999</v>
      </c>
      <c r="DJ26">
        <v>2.6912600000000002</v>
      </c>
      <c r="DK26">
        <v>0.155973</v>
      </c>
      <c r="DL26">
        <v>0.16786100000000001</v>
      </c>
      <c r="DM26">
        <v>0.12509799999999999</v>
      </c>
      <c r="DN26">
        <v>0.105957</v>
      </c>
      <c r="DO26">
        <v>23598.799999999999</v>
      </c>
      <c r="DP26">
        <v>15670.8</v>
      </c>
      <c r="DQ26">
        <v>26518.1</v>
      </c>
      <c r="DR26">
        <v>17110.7</v>
      </c>
      <c r="DS26">
        <v>32977.4</v>
      </c>
      <c r="DT26">
        <v>19949.900000000001</v>
      </c>
      <c r="DU26">
        <v>38631.1</v>
      </c>
      <c r="DV26">
        <v>22644.400000000001</v>
      </c>
      <c r="DW26">
        <v>1.8265199999999999</v>
      </c>
      <c r="DX26">
        <v>2.23522</v>
      </c>
      <c r="DY26">
        <v>0.10888299999999999</v>
      </c>
      <c r="DZ26">
        <v>0</v>
      </c>
      <c r="EA26">
        <v>24.100200000000001</v>
      </c>
      <c r="EB26">
        <v>999.9</v>
      </c>
      <c r="EC26">
        <v>52.4</v>
      </c>
      <c r="ED26">
        <v>31</v>
      </c>
      <c r="EE26">
        <v>23.095199999999998</v>
      </c>
      <c r="EF26">
        <v>62.595700000000001</v>
      </c>
      <c r="EG26">
        <v>35.164299999999997</v>
      </c>
      <c r="EH26">
        <v>1</v>
      </c>
      <c r="EI26">
        <v>-0.120467</v>
      </c>
      <c r="EJ26">
        <v>-0.69760999999999995</v>
      </c>
      <c r="EK26">
        <v>20.328199999999999</v>
      </c>
      <c r="EL26">
        <v>5.2511900000000002</v>
      </c>
      <c r="EM26">
        <v>11.962</v>
      </c>
      <c r="EN26">
        <v>4.9896399999999996</v>
      </c>
      <c r="EO26">
        <v>3.2918599999999998</v>
      </c>
      <c r="EP26">
        <v>9999</v>
      </c>
      <c r="EQ26">
        <v>9999</v>
      </c>
      <c r="ER26">
        <v>9999</v>
      </c>
      <c r="ES26">
        <v>999.9</v>
      </c>
      <c r="ET26">
        <v>4.9726900000000001</v>
      </c>
      <c r="EU26">
        <v>1.87195</v>
      </c>
      <c r="EV26">
        <v>1.8721399999999999</v>
      </c>
      <c r="EW26">
        <v>1.87721</v>
      </c>
      <c r="EX26">
        <v>1.8713500000000001</v>
      </c>
      <c r="EY26">
        <v>1.87212</v>
      </c>
      <c r="EZ26">
        <v>1.8717999999999999</v>
      </c>
      <c r="FA26">
        <v>1.8686700000000001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6.19</v>
      </c>
      <c r="FP26">
        <v>0.20619999999999999</v>
      </c>
      <c r="FQ26">
        <v>-0.9860249659309317</v>
      </c>
      <c r="FR26">
        <v>7.6898218637449396E-3</v>
      </c>
      <c r="FS26">
        <v>1.5097418776848419E-6</v>
      </c>
      <c r="FT26">
        <v>-9.8458676114205118E-11</v>
      </c>
      <c r="FU26">
        <v>0.20622499999999991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201.7</v>
      </c>
      <c r="GD26">
        <v>201.7</v>
      </c>
      <c r="GE26">
        <v>1.9262699999999999</v>
      </c>
      <c r="GF26">
        <v>2.6220699999999999</v>
      </c>
      <c r="GG26">
        <v>1.7981</v>
      </c>
      <c r="GH26">
        <v>2.3706100000000001</v>
      </c>
      <c r="GI26">
        <v>1.5979000000000001</v>
      </c>
      <c r="GJ26">
        <v>2.5390600000000001</v>
      </c>
      <c r="GK26">
        <v>34.054499999999997</v>
      </c>
      <c r="GL26">
        <v>24.1663</v>
      </c>
      <c r="GM26">
        <v>18</v>
      </c>
      <c r="GN26">
        <v>365.41300000000001</v>
      </c>
      <c r="GO26">
        <v>684.59699999999998</v>
      </c>
      <c r="GP26">
        <v>25.8307</v>
      </c>
      <c r="GQ26">
        <v>25.565999999999999</v>
      </c>
      <c r="GR26">
        <v>30.0002</v>
      </c>
      <c r="GS26">
        <v>25.497</v>
      </c>
      <c r="GT26">
        <v>25.5121</v>
      </c>
      <c r="GU26">
        <v>38.511099999999999</v>
      </c>
      <c r="GV26">
        <v>22.003599999999999</v>
      </c>
      <c r="GW26">
        <v>15.121700000000001</v>
      </c>
      <c r="GX26">
        <v>25.83</v>
      </c>
      <c r="GY26">
        <v>900</v>
      </c>
      <c r="GZ26">
        <v>19.5</v>
      </c>
      <c r="HA26">
        <v>100.767</v>
      </c>
      <c r="HB26">
        <v>70.721999999999994</v>
      </c>
    </row>
    <row r="27" spans="1:210" x14ac:dyDescent="0.3">
      <c r="A27">
        <v>11</v>
      </c>
      <c r="B27">
        <v>1750173846</v>
      </c>
      <c r="C27">
        <v>1805.400000095367</v>
      </c>
      <c r="D27" t="s">
        <v>361</v>
      </c>
      <c r="E27" t="s">
        <v>362</v>
      </c>
      <c r="F27">
        <v>15</v>
      </c>
      <c r="G27">
        <v>1750173838.25</v>
      </c>
      <c r="H27">
        <f t="shared" si="0"/>
        <v>2.4122756556333026E-3</v>
      </c>
      <c r="I27">
        <f t="shared" si="1"/>
        <v>2.4122756556333025</v>
      </c>
      <c r="J27">
        <f t="shared" si="2"/>
        <v>36.35147906409928</v>
      </c>
      <c r="K27">
        <f t="shared" si="3"/>
        <v>1112.2166666666669</v>
      </c>
      <c r="L27">
        <f t="shared" si="4"/>
        <v>897.3949684909237</v>
      </c>
      <c r="M27">
        <f t="shared" si="5"/>
        <v>91.947925519728244</v>
      </c>
      <c r="N27">
        <f t="shared" si="6"/>
        <v>113.95875709046996</v>
      </c>
      <c r="O27">
        <f t="shared" si="7"/>
        <v>0.30572948353075197</v>
      </c>
      <c r="P27">
        <f t="shared" si="8"/>
        <v>2.4316635809036442</v>
      </c>
      <c r="Q27">
        <f t="shared" si="9"/>
        <v>0.28615181893302055</v>
      </c>
      <c r="R27">
        <f t="shared" si="10"/>
        <v>0.18050014503079487</v>
      </c>
      <c r="S27">
        <f t="shared" si="11"/>
        <v>178.35605266666667</v>
      </c>
      <c r="T27">
        <f t="shared" si="12"/>
        <v>26.921108708654145</v>
      </c>
      <c r="U27">
        <f t="shared" si="13"/>
        <v>26.024623333333331</v>
      </c>
      <c r="V27">
        <f t="shared" si="14"/>
        <v>3.3791780102123439</v>
      </c>
      <c r="W27">
        <f t="shared" si="15"/>
        <v>73.456560787409586</v>
      </c>
      <c r="X27">
        <f t="shared" si="16"/>
        <v>2.5403777730681445</v>
      </c>
      <c r="Y27">
        <f t="shared" si="17"/>
        <v>3.4583402024772769</v>
      </c>
      <c r="Z27">
        <f t="shared" si="18"/>
        <v>0.83880023714419938</v>
      </c>
      <c r="AA27">
        <f t="shared" si="19"/>
        <v>-106.38135641342865</v>
      </c>
      <c r="AB27">
        <f t="shared" si="20"/>
        <v>51.386513110585639</v>
      </c>
      <c r="AC27">
        <f t="shared" si="21"/>
        <v>4.5251353318238001</v>
      </c>
      <c r="AD27">
        <f t="shared" si="22"/>
        <v>127.88634469564747</v>
      </c>
      <c r="AE27">
        <f t="shared" si="23"/>
        <v>36.35147906409928</v>
      </c>
      <c r="AF27">
        <f t="shared" si="24"/>
        <v>2.4122756556333025</v>
      </c>
      <c r="AG27">
        <f t="shared" si="25"/>
        <v>36.333918163718742</v>
      </c>
      <c r="AH27">
        <v>1223.8582781785301</v>
      </c>
      <c r="AI27">
        <v>1140.484606060606</v>
      </c>
      <c r="AJ27">
        <v>1.8346891926099621E-3</v>
      </c>
      <c r="AK27">
        <v>83.970099767297825</v>
      </c>
      <c r="AL27">
        <f t="shared" si="26"/>
        <v>2.4078266900363805</v>
      </c>
      <c r="AM27">
        <v>19.50110268833501</v>
      </c>
      <c r="AN27">
        <v>24.783232781954901</v>
      </c>
      <c r="AO27">
        <v>-2.1703800965280888E-6</v>
      </c>
      <c r="AP27">
        <v>90.537021309746265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54215.38711280049</v>
      </c>
      <c r="AV27">
        <f t="shared" si="30"/>
        <v>938.71606666666662</v>
      </c>
      <c r="AW27">
        <f t="shared" si="31"/>
        <v>750.97285333333332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336</v>
      </c>
      <c r="BC27">
        <v>2</v>
      </c>
      <c r="BD27" t="b">
        <v>0</v>
      </c>
      <c r="BE27">
        <v>1750173838.25</v>
      </c>
      <c r="BF27">
        <v>1112.2166666666669</v>
      </c>
      <c r="BG27">
        <v>1200.0236666666669</v>
      </c>
      <c r="BH27">
        <v>24.79362333333334</v>
      </c>
      <c r="BI27">
        <v>19.501809999999999</v>
      </c>
      <c r="BJ27">
        <v>1103.0160000000001</v>
      </c>
      <c r="BK27">
        <v>24.587403333333331</v>
      </c>
      <c r="BL27">
        <v>400.09346666666659</v>
      </c>
      <c r="BM27">
        <v>102.36086666666669</v>
      </c>
      <c r="BN27">
        <v>0.10006608666666671</v>
      </c>
      <c r="BO27">
        <v>26.416599999999999</v>
      </c>
      <c r="BP27">
        <v>26.024623333333331</v>
      </c>
      <c r="BQ27">
        <v>999.9000000000002</v>
      </c>
      <c r="BR27">
        <v>0</v>
      </c>
      <c r="BS27">
        <v>0</v>
      </c>
      <c r="BT27">
        <v>9997</v>
      </c>
      <c r="BU27">
        <v>938.71606666666662</v>
      </c>
      <c r="BV27">
        <v>18.58659999999999</v>
      </c>
      <c r="BW27">
        <v>-87.805373333333321</v>
      </c>
      <c r="BX27">
        <v>1140.493666666667</v>
      </c>
      <c r="BY27">
        <v>1223.8906666666669</v>
      </c>
      <c r="BZ27">
        <v>5.291818000000001</v>
      </c>
      <c r="CA27">
        <v>1200.0236666666669</v>
      </c>
      <c r="CB27">
        <v>19.501809999999999</v>
      </c>
      <c r="CC27">
        <v>2.5378986666666661</v>
      </c>
      <c r="CD27">
        <v>1.996223333333333</v>
      </c>
      <c r="CE27">
        <v>21.271603333333339</v>
      </c>
      <c r="CF27">
        <v>17.414406666666661</v>
      </c>
      <c r="CG27">
        <v>1750161563.5</v>
      </c>
      <c r="CH27" t="s">
        <v>337</v>
      </c>
      <c r="CI27">
        <v>1750161563.5</v>
      </c>
      <c r="CJ27">
        <v>1750161562.5</v>
      </c>
      <c r="CK27">
        <v>10</v>
      </c>
      <c r="CL27">
        <v>0.41199999999999998</v>
      </c>
      <c r="CM27">
        <v>-3.9E-2</v>
      </c>
      <c r="CN27">
        <v>2.7469999999999999</v>
      </c>
      <c r="CO27">
        <v>0.20599999999999999</v>
      </c>
      <c r="CP27">
        <v>450</v>
      </c>
      <c r="CQ27">
        <v>19</v>
      </c>
      <c r="CR27">
        <v>0.5</v>
      </c>
      <c r="CS27">
        <v>0.14000000000000001</v>
      </c>
      <c r="CT27">
        <v>-87.825314634146338</v>
      </c>
      <c r="CU27">
        <v>0.43444390243885112</v>
      </c>
      <c r="CV27">
        <v>5.5328551095519568E-2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5.2975602439024394</v>
      </c>
      <c r="DC27">
        <v>-0.1057319163763047</v>
      </c>
      <c r="DD27">
        <v>1.0789448433608011E-2</v>
      </c>
      <c r="DE27">
        <v>0</v>
      </c>
      <c r="DF27">
        <v>1</v>
      </c>
      <c r="DG27">
        <v>2</v>
      </c>
      <c r="DH27" t="s">
        <v>338</v>
      </c>
      <c r="DI27">
        <v>3.0245000000000002</v>
      </c>
      <c r="DJ27">
        <v>2.6913399999999998</v>
      </c>
      <c r="DK27">
        <v>0.18984799999999999</v>
      </c>
      <c r="DL27">
        <v>0.20122100000000001</v>
      </c>
      <c r="DM27">
        <v>0.12424499999999999</v>
      </c>
      <c r="DN27">
        <v>0.10598299999999999</v>
      </c>
      <c r="DO27">
        <v>22648.3</v>
      </c>
      <c r="DP27">
        <v>15042.8</v>
      </c>
      <c r="DQ27">
        <v>26514</v>
      </c>
      <c r="DR27">
        <v>17110.8</v>
      </c>
      <c r="DS27">
        <v>33007.4</v>
      </c>
      <c r="DT27">
        <v>19951.599999999999</v>
      </c>
      <c r="DU27">
        <v>38625.300000000003</v>
      </c>
      <c r="DV27">
        <v>22646.2</v>
      </c>
      <c r="DW27">
        <v>1.8258399999999999</v>
      </c>
      <c r="DX27">
        <v>2.2343999999999999</v>
      </c>
      <c r="DY27">
        <v>0.103951</v>
      </c>
      <c r="DZ27">
        <v>0</v>
      </c>
      <c r="EA27">
        <v>24.325600000000001</v>
      </c>
      <c r="EB27">
        <v>999.9</v>
      </c>
      <c r="EC27">
        <v>52.5</v>
      </c>
      <c r="ED27">
        <v>31</v>
      </c>
      <c r="EE27">
        <v>23.1387</v>
      </c>
      <c r="EF27">
        <v>62.465699999999998</v>
      </c>
      <c r="EG27">
        <v>35.248399999999997</v>
      </c>
      <c r="EH27">
        <v>1</v>
      </c>
      <c r="EI27">
        <v>-0.112594</v>
      </c>
      <c r="EJ27">
        <v>-0.60830899999999999</v>
      </c>
      <c r="EK27">
        <v>20.328800000000001</v>
      </c>
      <c r="EL27">
        <v>5.2522700000000002</v>
      </c>
      <c r="EM27">
        <v>11.962</v>
      </c>
      <c r="EN27">
        <v>4.98996</v>
      </c>
      <c r="EO27">
        <v>3.2919200000000002</v>
      </c>
      <c r="EP27">
        <v>9999</v>
      </c>
      <c r="EQ27">
        <v>9999</v>
      </c>
      <c r="ER27">
        <v>9999</v>
      </c>
      <c r="ES27">
        <v>999.9</v>
      </c>
      <c r="ET27">
        <v>4.9726800000000004</v>
      </c>
      <c r="EU27">
        <v>1.87195</v>
      </c>
      <c r="EV27">
        <v>1.87218</v>
      </c>
      <c r="EW27">
        <v>1.8771899999999999</v>
      </c>
      <c r="EX27">
        <v>1.8713599999999999</v>
      </c>
      <c r="EY27">
        <v>1.87212</v>
      </c>
      <c r="EZ27">
        <v>1.8717999999999999</v>
      </c>
      <c r="FA27">
        <v>1.8687199999999999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9.1999999999999993</v>
      </c>
      <c r="FP27">
        <v>0.20619999999999999</v>
      </c>
      <c r="FQ27">
        <v>-0.9860249659309317</v>
      </c>
      <c r="FR27">
        <v>7.6898218637449396E-3</v>
      </c>
      <c r="FS27">
        <v>1.5097418776848419E-6</v>
      </c>
      <c r="FT27">
        <v>-9.8458676114205118E-11</v>
      </c>
      <c r="FU27">
        <v>0.20622499999999991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204.7</v>
      </c>
      <c r="GD27">
        <v>204.7</v>
      </c>
      <c r="GE27">
        <v>2.4389599999999998</v>
      </c>
      <c r="GF27">
        <v>2.6232899999999999</v>
      </c>
      <c r="GG27">
        <v>1.7981</v>
      </c>
      <c r="GH27">
        <v>2.3706100000000001</v>
      </c>
      <c r="GI27">
        <v>1.5979000000000001</v>
      </c>
      <c r="GJ27">
        <v>2.5109900000000001</v>
      </c>
      <c r="GK27">
        <v>34.122500000000002</v>
      </c>
      <c r="GL27">
        <v>24.157499999999999</v>
      </c>
      <c r="GM27">
        <v>18</v>
      </c>
      <c r="GN27">
        <v>365.62</v>
      </c>
      <c r="GO27">
        <v>684.92600000000004</v>
      </c>
      <c r="GP27">
        <v>25.830400000000001</v>
      </c>
      <c r="GQ27">
        <v>25.670200000000001</v>
      </c>
      <c r="GR27">
        <v>30.000299999999999</v>
      </c>
      <c r="GS27">
        <v>25.5776</v>
      </c>
      <c r="GT27">
        <v>25.590599999999998</v>
      </c>
      <c r="GU27">
        <v>48.758099999999999</v>
      </c>
      <c r="GV27">
        <v>22.003599999999999</v>
      </c>
      <c r="GW27">
        <v>15.492599999999999</v>
      </c>
      <c r="GX27">
        <v>25.83</v>
      </c>
      <c r="GY27">
        <v>1200</v>
      </c>
      <c r="GZ27">
        <v>19.5</v>
      </c>
      <c r="HA27">
        <v>100.752</v>
      </c>
      <c r="HB27">
        <v>70.725300000000004</v>
      </c>
    </row>
    <row r="28" spans="1:210" x14ac:dyDescent="0.3">
      <c r="A28">
        <v>12</v>
      </c>
      <c r="B28">
        <v>1750174026.5</v>
      </c>
      <c r="C28">
        <v>1985.900000095367</v>
      </c>
      <c r="D28" t="s">
        <v>363</v>
      </c>
      <c r="E28" t="s">
        <v>364</v>
      </c>
      <c r="F28">
        <v>15</v>
      </c>
      <c r="G28">
        <v>1750174018.75</v>
      </c>
      <c r="H28">
        <f t="shared" si="0"/>
        <v>2.2565534902995914E-3</v>
      </c>
      <c r="I28">
        <f t="shared" si="1"/>
        <v>2.2565534902995914</v>
      </c>
      <c r="J28">
        <f t="shared" si="2"/>
        <v>36.502075118185658</v>
      </c>
      <c r="K28">
        <f t="shared" si="3"/>
        <v>1510.224666666667</v>
      </c>
      <c r="L28">
        <f t="shared" si="4"/>
        <v>1260.2715639999731</v>
      </c>
      <c r="M28">
        <f t="shared" si="5"/>
        <v>129.1146570941211</v>
      </c>
      <c r="N28">
        <f t="shared" si="6"/>
        <v>154.72231980928373</v>
      </c>
      <c r="O28">
        <f t="shared" si="7"/>
        <v>0.26664030651167692</v>
      </c>
      <c r="P28">
        <f t="shared" si="8"/>
        <v>2.431878156454105</v>
      </c>
      <c r="Q28">
        <f t="shared" si="9"/>
        <v>0.25161916242747867</v>
      </c>
      <c r="R28">
        <f t="shared" si="10"/>
        <v>0.15854158706169302</v>
      </c>
      <c r="S28">
        <f t="shared" si="11"/>
        <v>178.37093600000003</v>
      </c>
      <c r="T28">
        <f t="shared" si="12"/>
        <v>27.057022344392216</v>
      </c>
      <c r="U28">
        <f t="shared" si="13"/>
        <v>26.14139333333333</v>
      </c>
      <c r="V28">
        <f t="shared" si="14"/>
        <v>3.4025932400123016</v>
      </c>
      <c r="W28">
        <f t="shared" si="15"/>
        <v>72.212849830782417</v>
      </c>
      <c r="X28">
        <f t="shared" si="16"/>
        <v>2.5103233435171606</v>
      </c>
      <c r="Y28">
        <f t="shared" si="17"/>
        <v>3.4762834445665054</v>
      </c>
      <c r="Z28">
        <f t="shared" si="18"/>
        <v>0.89226989649514099</v>
      </c>
      <c r="AA28">
        <f t="shared" si="19"/>
        <v>-99.514008922211985</v>
      </c>
      <c r="AB28">
        <f t="shared" si="20"/>
        <v>47.587184435093505</v>
      </c>
      <c r="AC28">
        <f t="shared" si="21"/>
        <v>4.1944912178859459</v>
      </c>
      <c r="AD28">
        <f t="shared" si="22"/>
        <v>130.6386027307675</v>
      </c>
      <c r="AE28">
        <f t="shared" si="23"/>
        <v>36.502075118185658</v>
      </c>
      <c r="AF28">
        <f t="shared" si="24"/>
        <v>2.2565534902995914</v>
      </c>
      <c r="AG28">
        <f t="shared" si="25"/>
        <v>36.546546538665169</v>
      </c>
      <c r="AH28">
        <v>1631.9393396246719</v>
      </c>
      <c r="AI28">
        <v>1548.09806060606</v>
      </c>
      <c r="AJ28">
        <v>-2.2409266961317012E-3</v>
      </c>
      <c r="AK28">
        <v>83.970099767297825</v>
      </c>
      <c r="AL28">
        <f t="shared" si="26"/>
        <v>2.2447133386457021</v>
      </c>
      <c r="AM28">
        <v>19.56048041497192</v>
      </c>
      <c r="AN28">
        <v>24.486923007518779</v>
      </c>
      <c r="AO28">
        <v>-3.2117082772467419E-6</v>
      </c>
      <c r="AP28">
        <v>90.537021309746265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54206.485318592589</v>
      </c>
      <c r="AV28">
        <f t="shared" si="30"/>
        <v>938.79440000000011</v>
      </c>
      <c r="AW28">
        <f t="shared" si="31"/>
        <v>751.03552000000013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336</v>
      </c>
      <c r="BC28">
        <v>2</v>
      </c>
      <c r="BD28" t="b">
        <v>0</v>
      </c>
      <c r="BE28">
        <v>1750174018.75</v>
      </c>
      <c r="BF28">
        <v>1510.224666666667</v>
      </c>
      <c r="BG28">
        <v>1600.012666666667</v>
      </c>
      <c r="BH28">
        <v>24.502943333333331</v>
      </c>
      <c r="BI28">
        <v>19.55062666666667</v>
      </c>
      <c r="BJ28">
        <v>1496.6489999999999</v>
      </c>
      <c r="BK28">
        <v>24.29673</v>
      </c>
      <c r="BL28">
        <v>400.04209999999989</v>
      </c>
      <c r="BM28">
        <v>102.34983333333339</v>
      </c>
      <c r="BN28">
        <v>0.10003603</v>
      </c>
      <c r="BO28">
        <v>26.504356666666659</v>
      </c>
      <c r="BP28">
        <v>26.14139333333333</v>
      </c>
      <c r="BQ28">
        <v>999.9000000000002</v>
      </c>
      <c r="BR28">
        <v>0</v>
      </c>
      <c r="BS28">
        <v>0</v>
      </c>
      <c r="BT28">
        <v>9999.4666666666672</v>
      </c>
      <c r="BU28">
        <v>938.79440000000011</v>
      </c>
      <c r="BV28">
        <v>18.58659999999999</v>
      </c>
      <c r="BW28">
        <v>-89.789316666666693</v>
      </c>
      <c r="BX28">
        <v>1548.1590000000001</v>
      </c>
      <c r="BY28">
        <v>1631.9176666666669</v>
      </c>
      <c r="BZ28">
        <v>4.9523053333333316</v>
      </c>
      <c r="CA28">
        <v>1600.012666666667</v>
      </c>
      <c r="CB28">
        <v>19.55062666666667</v>
      </c>
      <c r="CC28">
        <v>2.5078729999999991</v>
      </c>
      <c r="CD28">
        <v>2.001005333333334</v>
      </c>
      <c r="CE28">
        <v>21.07769</v>
      </c>
      <c r="CF28">
        <v>17.452290000000001</v>
      </c>
      <c r="CG28">
        <v>1750161563.5</v>
      </c>
      <c r="CH28" t="s">
        <v>337</v>
      </c>
      <c r="CI28">
        <v>1750161563.5</v>
      </c>
      <c r="CJ28">
        <v>1750161562.5</v>
      </c>
      <c r="CK28">
        <v>10</v>
      </c>
      <c r="CL28">
        <v>0.41199999999999998</v>
      </c>
      <c r="CM28">
        <v>-3.9E-2</v>
      </c>
      <c r="CN28">
        <v>2.7469999999999999</v>
      </c>
      <c r="CO28">
        <v>0.20599999999999999</v>
      </c>
      <c r="CP28">
        <v>450</v>
      </c>
      <c r="CQ28">
        <v>19</v>
      </c>
      <c r="CR28">
        <v>0.5</v>
      </c>
      <c r="CS28">
        <v>0.14000000000000001</v>
      </c>
      <c r="CT28">
        <v>-89.772257499999995</v>
      </c>
      <c r="CU28">
        <v>-0.44143001876142951</v>
      </c>
      <c r="CV28">
        <v>8.0493701267553758E-2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4.9520989999999996</v>
      </c>
      <c r="DC28">
        <v>9.055384615361893E-3</v>
      </c>
      <c r="DD28">
        <v>8.8005771969797645E-3</v>
      </c>
      <c r="DE28">
        <v>1</v>
      </c>
      <c r="DF28">
        <v>2</v>
      </c>
      <c r="DG28">
        <v>2</v>
      </c>
      <c r="DH28" t="s">
        <v>344</v>
      </c>
      <c r="DI28">
        <v>3.0246499999999998</v>
      </c>
      <c r="DJ28">
        <v>2.6913900000000002</v>
      </c>
      <c r="DK28">
        <v>0.22852</v>
      </c>
      <c r="DL28">
        <v>0.239176</v>
      </c>
      <c r="DM28">
        <v>0.12316000000000001</v>
      </c>
      <c r="DN28">
        <v>0.106004</v>
      </c>
      <c r="DO28">
        <v>21564.400000000001</v>
      </c>
      <c r="DP28">
        <v>14328</v>
      </c>
      <c r="DQ28">
        <v>26510.1</v>
      </c>
      <c r="DR28">
        <v>17110.3</v>
      </c>
      <c r="DS28">
        <v>33046.199999999997</v>
      </c>
      <c r="DT28">
        <v>19952.5</v>
      </c>
      <c r="DU28">
        <v>38619.199999999997</v>
      </c>
      <c r="DV28">
        <v>22646.7</v>
      </c>
      <c r="DW28">
        <v>1.82544</v>
      </c>
      <c r="DX28">
        <v>2.2335199999999999</v>
      </c>
      <c r="DY28">
        <v>0.10255</v>
      </c>
      <c r="DZ28">
        <v>0</v>
      </c>
      <c r="EA28">
        <v>24.467500000000001</v>
      </c>
      <c r="EB28">
        <v>999.9</v>
      </c>
      <c r="EC28">
        <v>52.7</v>
      </c>
      <c r="ED28">
        <v>30.9</v>
      </c>
      <c r="EE28">
        <v>23.098199999999999</v>
      </c>
      <c r="EF28">
        <v>62.645699999999998</v>
      </c>
      <c r="EG28">
        <v>35.216299999999997</v>
      </c>
      <c r="EH28">
        <v>1</v>
      </c>
      <c r="EI28">
        <v>-0.105089</v>
      </c>
      <c r="EJ28">
        <v>-0.57333100000000004</v>
      </c>
      <c r="EK28">
        <v>20.328499999999998</v>
      </c>
      <c r="EL28">
        <v>5.2519099999999996</v>
      </c>
      <c r="EM28">
        <v>11.962</v>
      </c>
      <c r="EN28">
        <v>4.98996</v>
      </c>
      <c r="EO28">
        <v>3.29176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1.8719399999999999</v>
      </c>
      <c r="EV28">
        <v>1.87216</v>
      </c>
      <c r="EW28">
        <v>1.8771800000000001</v>
      </c>
      <c r="EX28">
        <v>1.8713599999999999</v>
      </c>
      <c r="EY28">
        <v>1.8721399999999999</v>
      </c>
      <c r="EZ28">
        <v>1.8717999999999999</v>
      </c>
      <c r="FA28">
        <v>1.8686799999999999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13.58</v>
      </c>
      <c r="FP28">
        <v>0.20619999999999999</v>
      </c>
      <c r="FQ28">
        <v>-0.9860249659309317</v>
      </c>
      <c r="FR28">
        <v>7.6898218637449396E-3</v>
      </c>
      <c r="FS28">
        <v>1.5097418776848419E-6</v>
      </c>
      <c r="FT28">
        <v>-9.8458676114205118E-11</v>
      </c>
      <c r="FU28">
        <v>0.20622499999999991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207.7</v>
      </c>
      <c r="GD28">
        <v>207.7</v>
      </c>
      <c r="GE28">
        <v>3.0859399999999999</v>
      </c>
      <c r="GF28">
        <v>2.6196299999999999</v>
      </c>
      <c r="GG28">
        <v>1.79932</v>
      </c>
      <c r="GH28">
        <v>2.36938</v>
      </c>
      <c r="GI28">
        <v>1.5979000000000001</v>
      </c>
      <c r="GJ28">
        <v>2.4169900000000002</v>
      </c>
      <c r="GK28">
        <v>34.1905</v>
      </c>
      <c r="GL28">
        <v>24.157499999999999</v>
      </c>
      <c r="GM28">
        <v>18</v>
      </c>
      <c r="GN28">
        <v>366.01799999999997</v>
      </c>
      <c r="GO28">
        <v>685.31299999999999</v>
      </c>
      <c r="GP28">
        <v>25.829799999999999</v>
      </c>
      <c r="GQ28">
        <v>25.766300000000001</v>
      </c>
      <c r="GR28">
        <v>30.000299999999999</v>
      </c>
      <c r="GS28">
        <v>25.665199999999999</v>
      </c>
      <c r="GT28">
        <v>25.677600000000002</v>
      </c>
      <c r="GU28">
        <v>61.694600000000001</v>
      </c>
      <c r="GV28">
        <v>22.279199999999999</v>
      </c>
      <c r="GW28">
        <v>16.314299999999999</v>
      </c>
      <c r="GX28">
        <v>25.83</v>
      </c>
      <c r="GY28">
        <v>1600</v>
      </c>
      <c r="GZ28">
        <v>19.5</v>
      </c>
      <c r="HA28">
        <v>100.736</v>
      </c>
      <c r="HB28">
        <v>70.725399999999993</v>
      </c>
    </row>
    <row r="29" spans="1:210" x14ac:dyDescent="0.3">
      <c r="A29">
        <v>13</v>
      </c>
      <c r="B29">
        <v>1750174207</v>
      </c>
      <c r="C29">
        <v>2166.400000095367</v>
      </c>
      <c r="D29" t="s">
        <v>365</v>
      </c>
      <c r="E29" t="s">
        <v>366</v>
      </c>
      <c r="F29">
        <v>15</v>
      </c>
      <c r="G29">
        <v>1750174199.25</v>
      </c>
      <c r="H29">
        <f t="shared" si="0"/>
        <v>2.1326975775493697E-3</v>
      </c>
      <c r="I29">
        <f t="shared" si="1"/>
        <v>2.1326975775493695</v>
      </c>
      <c r="J29">
        <f t="shared" si="2"/>
        <v>19.222220147428658</v>
      </c>
      <c r="K29">
        <f t="shared" si="3"/>
        <v>404.81466666666671</v>
      </c>
      <c r="L29">
        <f t="shared" si="4"/>
        <v>262.59273639832855</v>
      </c>
      <c r="M29">
        <f t="shared" si="5"/>
        <v>26.902293019969694</v>
      </c>
      <c r="N29">
        <f t="shared" si="6"/>
        <v>41.472749516301342</v>
      </c>
      <c r="O29">
        <f t="shared" si="7"/>
        <v>0.23434100219113407</v>
      </c>
      <c r="P29">
        <f t="shared" si="8"/>
        <v>2.4319516652086781</v>
      </c>
      <c r="Q29">
        <f t="shared" si="9"/>
        <v>0.22265398305453479</v>
      </c>
      <c r="R29">
        <f t="shared" si="10"/>
        <v>0.14016058694812983</v>
      </c>
      <c r="S29">
        <f t="shared" si="11"/>
        <v>178.41382533333336</v>
      </c>
      <c r="T29">
        <f t="shared" si="12"/>
        <v>27.169105029211963</v>
      </c>
      <c r="U29">
        <f t="shared" si="13"/>
        <v>26.252726666666671</v>
      </c>
      <c r="V29">
        <f t="shared" si="14"/>
        <v>3.4250501155038333</v>
      </c>
      <c r="W29">
        <f t="shared" si="15"/>
        <v>70.802398877030299</v>
      </c>
      <c r="X29">
        <f t="shared" si="16"/>
        <v>2.4719844431311944</v>
      </c>
      <c r="Y29">
        <f t="shared" si="17"/>
        <v>3.4913851540885505</v>
      </c>
      <c r="Z29">
        <f t="shared" si="18"/>
        <v>0.95306567237263895</v>
      </c>
      <c r="AA29">
        <f t="shared" si="19"/>
        <v>-94.051963169927205</v>
      </c>
      <c r="AB29">
        <f t="shared" si="20"/>
        <v>42.63523499278535</v>
      </c>
      <c r="AC29">
        <f t="shared" si="21"/>
        <v>3.7613790740571789</v>
      </c>
      <c r="AD29">
        <f t="shared" si="22"/>
        <v>130.75847623024868</v>
      </c>
      <c r="AE29">
        <f t="shared" si="23"/>
        <v>19.222220147428658</v>
      </c>
      <c r="AF29">
        <f t="shared" si="24"/>
        <v>2.1326975775493695</v>
      </c>
      <c r="AG29">
        <f t="shared" si="25"/>
        <v>19.209963861951302</v>
      </c>
      <c r="AH29">
        <v>458.87074441947522</v>
      </c>
      <c r="AI29">
        <v>414.78521212121211</v>
      </c>
      <c r="AJ29">
        <v>1.2766766552108459E-3</v>
      </c>
      <c r="AK29">
        <v>83.970099767297825</v>
      </c>
      <c r="AL29">
        <f t="shared" si="26"/>
        <v>2.1269635356172323</v>
      </c>
      <c r="AM29">
        <v>19.449957204746489</v>
      </c>
      <c r="AN29">
        <v>24.119839999999989</v>
      </c>
      <c r="AO29">
        <v>-1.9850337242145561E-5</v>
      </c>
      <c r="AP29">
        <v>90.537021309746265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54195.626132017576</v>
      </c>
      <c r="AV29">
        <f t="shared" si="30"/>
        <v>939.02013333333343</v>
      </c>
      <c r="AW29">
        <f t="shared" si="31"/>
        <v>751.21610666666675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336</v>
      </c>
      <c r="BC29">
        <v>2</v>
      </c>
      <c r="BD29" t="b">
        <v>0</v>
      </c>
      <c r="BE29">
        <v>1750174199.25</v>
      </c>
      <c r="BF29">
        <v>404.81466666666671</v>
      </c>
      <c r="BG29">
        <v>450.00196666666659</v>
      </c>
      <c r="BH29">
        <v>24.128990000000009</v>
      </c>
      <c r="BI29">
        <v>19.44674666666667</v>
      </c>
      <c r="BJ29">
        <v>402.46759999999989</v>
      </c>
      <c r="BK29">
        <v>23.922756666666668</v>
      </c>
      <c r="BL29">
        <v>400.04626666666661</v>
      </c>
      <c r="BM29">
        <v>102.3487333333333</v>
      </c>
      <c r="BN29">
        <v>9.9999213333333337E-2</v>
      </c>
      <c r="BO29">
        <v>26.577909999999999</v>
      </c>
      <c r="BP29">
        <v>26.252726666666671</v>
      </c>
      <c r="BQ29">
        <v>999.9000000000002</v>
      </c>
      <c r="BR29">
        <v>0</v>
      </c>
      <c r="BS29">
        <v>0</v>
      </c>
      <c r="BT29">
        <v>10000.049999999999</v>
      </c>
      <c r="BU29">
        <v>939.02013333333343</v>
      </c>
      <c r="BV29">
        <v>18.58659999999999</v>
      </c>
      <c r="BW29">
        <v>-45.187243333333328</v>
      </c>
      <c r="BX29">
        <v>414.82396666666682</v>
      </c>
      <c r="BY29">
        <v>458.9265666666667</v>
      </c>
      <c r="BZ29">
        <v>4.682237333333334</v>
      </c>
      <c r="CA29">
        <v>450.00196666666659</v>
      </c>
      <c r="CB29">
        <v>19.44674666666667</v>
      </c>
      <c r="CC29">
        <v>2.46957</v>
      </c>
      <c r="CD29">
        <v>1.990348666666667</v>
      </c>
      <c r="CE29">
        <v>20.827343333333332</v>
      </c>
      <c r="CF29">
        <v>17.367766666666661</v>
      </c>
      <c r="CG29">
        <v>1750161563.5</v>
      </c>
      <c r="CH29" t="s">
        <v>337</v>
      </c>
      <c r="CI29">
        <v>1750161563.5</v>
      </c>
      <c r="CJ29">
        <v>1750161562.5</v>
      </c>
      <c r="CK29">
        <v>10</v>
      </c>
      <c r="CL29">
        <v>0.41199999999999998</v>
      </c>
      <c r="CM29">
        <v>-3.9E-2</v>
      </c>
      <c r="CN29">
        <v>2.7469999999999999</v>
      </c>
      <c r="CO29">
        <v>0.20599999999999999</v>
      </c>
      <c r="CP29">
        <v>450</v>
      </c>
      <c r="CQ29">
        <v>19</v>
      </c>
      <c r="CR29">
        <v>0.5</v>
      </c>
      <c r="CS29">
        <v>0.14000000000000001</v>
      </c>
      <c r="CT29">
        <v>-45.161497560975612</v>
      </c>
      <c r="CU29">
        <v>-0.44040209059236701</v>
      </c>
      <c r="CV29">
        <v>5.3761440020478557E-2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4.6881607317073168</v>
      </c>
      <c r="DC29">
        <v>-0.1377869686411049</v>
      </c>
      <c r="DD29">
        <v>1.368575178437881E-2</v>
      </c>
      <c r="DE29">
        <v>0</v>
      </c>
      <c r="DF29">
        <v>1</v>
      </c>
      <c r="DG29">
        <v>2</v>
      </c>
      <c r="DH29" t="s">
        <v>338</v>
      </c>
      <c r="DI29">
        <v>3.0244900000000001</v>
      </c>
      <c r="DJ29">
        <v>2.69109</v>
      </c>
      <c r="DK29">
        <v>9.5133300000000004E-2</v>
      </c>
      <c r="DL29">
        <v>0.103995</v>
      </c>
      <c r="DM29">
        <v>0.121848</v>
      </c>
      <c r="DN29">
        <v>0.105769</v>
      </c>
      <c r="DO29">
        <v>25288.3</v>
      </c>
      <c r="DP29">
        <v>16873</v>
      </c>
      <c r="DQ29">
        <v>26507.9</v>
      </c>
      <c r="DR29">
        <v>17111.2</v>
      </c>
      <c r="DS29">
        <v>33092.800000000003</v>
      </c>
      <c r="DT29">
        <v>19958.5</v>
      </c>
      <c r="DU29">
        <v>38617.199999999997</v>
      </c>
      <c r="DV29">
        <v>22649.599999999999</v>
      </c>
      <c r="DW29">
        <v>1.82352</v>
      </c>
      <c r="DX29">
        <v>2.2297799999999999</v>
      </c>
      <c r="DY29">
        <v>0.10445699999999999</v>
      </c>
      <c r="DZ29">
        <v>0</v>
      </c>
      <c r="EA29">
        <v>24.547799999999999</v>
      </c>
      <c r="EB29">
        <v>999.9</v>
      </c>
      <c r="EC29">
        <v>52.7</v>
      </c>
      <c r="ED29">
        <v>30.9</v>
      </c>
      <c r="EE29">
        <v>23.097000000000001</v>
      </c>
      <c r="EF29">
        <v>62.575699999999998</v>
      </c>
      <c r="EG29">
        <v>35.084099999999999</v>
      </c>
      <c r="EH29">
        <v>1</v>
      </c>
      <c r="EI29">
        <v>-0.100122</v>
      </c>
      <c r="EJ29">
        <v>-0.53856199999999999</v>
      </c>
      <c r="EK29">
        <v>20.328800000000001</v>
      </c>
      <c r="EL29">
        <v>5.2519099999999996</v>
      </c>
      <c r="EM29">
        <v>11.962</v>
      </c>
      <c r="EN29">
        <v>4.9898400000000001</v>
      </c>
      <c r="EO29">
        <v>3.29196</v>
      </c>
      <c r="EP29">
        <v>9999</v>
      </c>
      <c r="EQ29">
        <v>9999</v>
      </c>
      <c r="ER29">
        <v>9999</v>
      </c>
      <c r="ES29">
        <v>999.9</v>
      </c>
      <c r="ET29">
        <v>4.9726900000000001</v>
      </c>
      <c r="EU29">
        <v>1.87195</v>
      </c>
      <c r="EV29">
        <v>1.87219</v>
      </c>
      <c r="EW29">
        <v>1.8771800000000001</v>
      </c>
      <c r="EX29">
        <v>1.8713500000000001</v>
      </c>
      <c r="EY29">
        <v>1.87212</v>
      </c>
      <c r="EZ29">
        <v>1.8717999999999999</v>
      </c>
      <c r="FA29">
        <v>1.8687100000000001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2.3460000000000001</v>
      </c>
      <c r="FP29">
        <v>0.20619999999999999</v>
      </c>
      <c r="FQ29">
        <v>-0.9860249659309317</v>
      </c>
      <c r="FR29">
        <v>7.6898218637449396E-3</v>
      </c>
      <c r="FS29">
        <v>1.5097418776848419E-6</v>
      </c>
      <c r="FT29">
        <v>-9.8458676114205118E-11</v>
      </c>
      <c r="FU29">
        <v>0.20622499999999991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210.7</v>
      </c>
      <c r="GD29">
        <v>210.7</v>
      </c>
      <c r="GE29">
        <v>1.09741</v>
      </c>
      <c r="GF29">
        <v>2.6110799999999998</v>
      </c>
      <c r="GG29">
        <v>1.7981</v>
      </c>
      <c r="GH29">
        <v>2.3706100000000001</v>
      </c>
      <c r="GI29">
        <v>1.5979000000000001</v>
      </c>
      <c r="GJ29">
        <v>2.5549300000000001</v>
      </c>
      <c r="GK29">
        <v>34.213299999999997</v>
      </c>
      <c r="GL29">
        <v>24.1663</v>
      </c>
      <c r="GM29">
        <v>18</v>
      </c>
      <c r="GN29">
        <v>365.51799999999997</v>
      </c>
      <c r="GO29">
        <v>682.96199999999999</v>
      </c>
      <c r="GP29">
        <v>25.829899999999999</v>
      </c>
      <c r="GQ29">
        <v>25.8354</v>
      </c>
      <c r="GR29">
        <v>30.000299999999999</v>
      </c>
      <c r="GS29">
        <v>25.7348</v>
      </c>
      <c r="GT29">
        <v>25.747299999999999</v>
      </c>
      <c r="GU29">
        <v>21.933700000000002</v>
      </c>
      <c r="GV29">
        <v>22.279199999999999</v>
      </c>
      <c r="GW29">
        <v>17.0566</v>
      </c>
      <c r="GX29">
        <v>25.83</v>
      </c>
      <c r="GY29">
        <v>450</v>
      </c>
      <c r="GZ29">
        <v>19.5</v>
      </c>
      <c r="HA29">
        <v>100.73</v>
      </c>
      <c r="HB29">
        <v>70.732200000000006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2025-06-17T15:32:48Z</dcterms:created>
  <dcterms:modified xsi:type="dcterms:W3CDTF">2025-12-01T11:37:46Z</dcterms:modified>
</cp:coreProperties>
</file>