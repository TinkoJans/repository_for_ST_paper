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tinko_jans_wur_nl/Documents/PhD/experiments/Oefenen DUAL-PAM onder SUN_FR/final measurements/Aci_curves/"/>
    </mc:Choice>
  </mc:AlternateContent>
  <xr:revisionPtr revIDLastSave="3" documentId="11_ACE07100F64B5B95B1FF65A3055143D70638F0CC" xr6:coauthVersionLast="47" xr6:coauthVersionMax="47" xr10:uidLastSave="{EFDEBDEA-BA4C-44AC-BD4C-A508E7B9FEEA}"/>
  <bookViews>
    <workbookView xWindow="1536" yWindow="1536" windowWidth="17280" windowHeight="888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29" i="1" l="1"/>
  <c r="AX29" i="1"/>
  <c r="AV29" i="1"/>
  <c r="AW29" i="1" s="1"/>
  <c r="AU29" i="1"/>
  <c r="AS29" i="1"/>
  <c r="AF29" i="1" s="1"/>
  <c r="I29" i="1" s="1"/>
  <c r="H29" i="1" s="1"/>
  <c r="AL29" i="1"/>
  <c r="AG29" i="1"/>
  <c r="Y29" i="1"/>
  <c r="X29" i="1"/>
  <c r="W29" i="1" s="1"/>
  <c r="S29" i="1"/>
  <c r="P29" i="1"/>
  <c r="AY28" i="1"/>
  <c r="AX28" i="1"/>
  <c r="AV28" i="1"/>
  <c r="S28" i="1" s="1"/>
  <c r="AU28" i="1"/>
  <c r="AS28" i="1" s="1"/>
  <c r="AT28" i="1"/>
  <c r="AL28" i="1"/>
  <c r="AG28" i="1"/>
  <c r="Y28" i="1"/>
  <c r="X28" i="1"/>
  <c r="W28" i="1" s="1"/>
  <c r="P28" i="1"/>
  <c r="AY27" i="1"/>
  <c r="AX27" i="1"/>
  <c r="AV27" i="1"/>
  <c r="AU27" i="1"/>
  <c r="AS27" i="1" s="1"/>
  <c r="AL27" i="1"/>
  <c r="AG27" i="1"/>
  <c r="Y27" i="1"/>
  <c r="X27" i="1"/>
  <c r="W27" i="1"/>
  <c r="P27" i="1"/>
  <c r="N27" i="1"/>
  <c r="AY26" i="1"/>
  <c r="AX26" i="1"/>
  <c r="AV26" i="1"/>
  <c r="AW26" i="1" s="1"/>
  <c r="AU26" i="1"/>
  <c r="AS26" i="1" s="1"/>
  <c r="AF26" i="1" s="1"/>
  <c r="I26" i="1" s="1"/>
  <c r="H26" i="1" s="1"/>
  <c r="AL26" i="1"/>
  <c r="AG26" i="1"/>
  <c r="Y26" i="1"/>
  <c r="X26" i="1"/>
  <c r="W26" i="1" s="1"/>
  <c r="P26" i="1"/>
  <c r="AY25" i="1"/>
  <c r="AX25" i="1"/>
  <c r="AV25" i="1"/>
  <c r="AW25" i="1" s="1"/>
  <c r="AU25" i="1"/>
  <c r="AS25" i="1"/>
  <c r="AF25" i="1" s="1"/>
  <c r="I25" i="1" s="1"/>
  <c r="H25" i="1" s="1"/>
  <c r="AL25" i="1"/>
  <c r="AG25" i="1"/>
  <c r="Y25" i="1"/>
  <c r="X25" i="1"/>
  <c r="W25" i="1" s="1"/>
  <c r="S25" i="1"/>
  <c r="P25" i="1"/>
  <c r="K25" i="1"/>
  <c r="AY24" i="1"/>
  <c r="AX24" i="1"/>
  <c r="AV24" i="1"/>
  <c r="S24" i="1" s="1"/>
  <c r="AU24" i="1"/>
  <c r="AS24" i="1" s="1"/>
  <c r="AT24" i="1" s="1"/>
  <c r="AL24" i="1"/>
  <c r="AG24" i="1"/>
  <c r="Y24" i="1"/>
  <c r="X24" i="1"/>
  <c r="W24" i="1" s="1"/>
  <c r="P24" i="1"/>
  <c r="AY23" i="1"/>
  <c r="AX23" i="1"/>
  <c r="AV23" i="1"/>
  <c r="AU23" i="1"/>
  <c r="AT23" i="1"/>
  <c r="AS23" i="1"/>
  <c r="AL23" i="1"/>
  <c r="AG23" i="1"/>
  <c r="AF23" i="1"/>
  <c r="I23" i="1" s="1"/>
  <c r="H23" i="1" s="1"/>
  <c r="AE23" i="1"/>
  <c r="J23" i="1" s="1"/>
  <c r="Y23" i="1"/>
  <c r="X23" i="1"/>
  <c r="W23" i="1"/>
  <c r="P23" i="1"/>
  <c r="N23" i="1"/>
  <c r="K23" i="1"/>
  <c r="AY22" i="1"/>
  <c r="AX22" i="1"/>
  <c r="AV22" i="1"/>
  <c r="AW22" i="1" s="1"/>
  <c r="AU22" i="1"/>
  <c r="AS22" i="1" s="1"/>
  <c r="AL22" i="1"/>
  <c r="AG22" i="1"/>
  <c r="Y22" i="1"/>
  <c r="X22" i="1"/>
  <c r="P22" i="1"/>
  <c r="AY21" i="1"/>
  <c r="AX21" i="1"/>
  <c r="AV21" i="1"/>
  <c r="AW21" i="1" s="1"/>
  <c r="AU21" i="1"/>
  <c r="AS21" i="1"/>
  <c r="AL21" i="1"/>
  <c r="AG21" i="1"/>
  <c r="Y21" i="1"/>
  <c r="X21" i="1"/>
  <c r="W21" i="1" s="1"/>
  <c r="S21" i="1"/>
  <c r="P21" i="1"/>
  <c r="K21" i="1"/>
  <c r="AY20" i="1"/>
  <c r="AX20" i="1"/>
  <c r="AV20" i="1"/>
  <c r="S20" i="1" s="1"/>
  <c r="AU20" i="1"/>
  <c r="AS20" i="1" s="1"/>
  <c r="AT20" i="1" s="1"/>
  <c r="AL20" i="1"/>
  <c r="AG20" i="1"/>
  <c r="Y20" i="1"/>
  <c r="X20" i="1"/>
  <c r="W20" i="1" s="1"/>
  <c r="P20" i="1"/>
  <c r="AY19" i="1"/>
  <c r="AX19" i="1"/>
  <c r="AW19" i="1"/>
  <c r="AV19" i="1"/>
  <c r="S19" i="1" s="1"/>
  <c r="T19" i="1" s="1"/>
  <c r="U19" i="1" s="1"/>
  <c r="AC19" i="1" s="1"/>
  <c r="AU19" i="1"/>
  <c r="AT19" i="1"/>
  <c r="AS19" i="1"/>
  <c r="AL19" i="1"/>
  <c r="AG19" i="1"/>
  <c r="AF19" i="1"/>
  <c r="I19" i="1" s="1"/>
  <c r="H19" i="1" s="1"/>
  <c r="AE19" i="1"/>
  <c r="J19" i="1" s="1"/>
  <c r="Y19" i="1"/>
  <c r="X19" i="1"/>
  <c r="W19" i="1"/>
  <c r="P19" i="1"/>
  <c r="N19" i="1"/>
  <c r="K19" i="1"/>
  <c r="AY18" i="1"/>
  <c r="AX18" i="1"/>
  <c r="AV18" i="1"/>
  <c r="AW18" i="1" s="1"/>
  <c r="AU18" i="1"/>
  <c r="AS18" i="1" s="1"/>
  <c r="AL18" i="1"/>
  <c r="AG18" i="1"/>
  <c r="AF18" i="1"/>
  <c r="I18" i="1" s="1"/>
  <c r="H18" i="1" s="1"/>
  <c r="Y18" i="1"/>
  <c r="X18" i="1"/>
  <c r="P18" i="1"/>
  <c r="AY17" i="1"/>
  <c r="AX17" i="1"/>
  <c r="AV17" i="1"/>
  <c r="AW17" i="1" s="1"/>
  <c r="AU17" i="1"/>
  <c r="AS17" i="1"/>
  <c r="AL17" i="1"/>
  <c r="AG17" i="1"/>
  <c r="Y17" i="1"/>
  <c r="X17" i="1"/>
  <c r="W17" i="1" s="1"/>
  <c r="S17" i="1"/>
  <c r="P17" i="1"/>
  <c r="AA18" i="1" l="1"/>
  <c r="AA26" i="1"/>
  <c r="AA23" i="1"/>
  <c r="AB19" i="1"/>
  <c r="AT27" i="1"/>
  <c r="K27" i="1"/>
  <c r="AE27" i="1"/>
  <c r="J27" i="1" s="1"/>
  <c r="AF27" i="1"/>
  <c r="I27" i="1" s="1"/>
  <c r="H27" i="1" s="1"/>
  <c r="AE22" i="1"/>
  <c r="J22" i="1" s="1"/>
  <c r="AT22" i="1"/>
  <c r="N22" i="1"/>
  <c r="K22" i="1"/>
  <c r="AF17" i="1"/>
  <c r="I17" i="1" s="1"/>
  <c r="H17" i="1" s="1"/>
  <c r="N17" i="1"/>
  <c r="AT17" i="1"/>
  <c r="AE17" i="1"/>
  <c r="J17" i="1" s="1"/>
  <c r="AA19" i="1"/>
  <c r="AD19" i="1" s="1"/>
  <c r="Q19" i="1"/>
  <c r="O19" i="1" s="1"/>
  <c r="R19" i="1" s="1"/>
  <c r="L19" i="1" s="1"/>
  <c r="M19" i="1" s="1"/>
  <c r="AF22" i="1"/>
  <c r="I22" i="1" s="1"/>
  <c r="H22" i="1" s="1"/>
  <c r="AA25" i="1"/>
  <c r="K17" i="1"/>
  <c r="AE18" i="1"/>
  <c r="J18" i="1" s="1"/>
  <c r="N18" i="1"/>
  <c r="AT18" i="1"/>
  <c r="K18" i="1"/>
  <c r="V19" i="1"/>
  <c r="Z19" i="1" s="1"/>
  <c r="K24" i="1"/>
  <c r="AF24" i="1"/>
  <c r="I24" i="1" s="1"/>
  <c r="H24" i="1" s="1"/>
  <c r="AE24" i="1"/>
  <c r="J24" i="1" s="1"/>
  <c r="N24" i="1"/>
  <c r="AW27" i="1"/>
  <c r="S27" i="1"/>
  <c r="AB29" i="1"/>
  <c r="AE26" i="1"/>
  <c r="J26" i="1" s="1"/>
  <c r="N26" i="1"/>
  <c r="AT26" i="1"/>
  <c r="K26" i="1"/>
  <c r="W18" i="1"/>
  <c r="AF21" i="1"/>
  <c r="I21" i="1" s="1"/>
  <c r="H21" i="1" s="1"/>
  <c r="N21" i="1"/>
  <c r="AE21" i="1"/>
  <c r="J21" i="1" s="1"/>
  <c r="AT21" i="1"/>
  <c r="Q29" i="1"/>
  <c r="O29" i="1" s="1"/>
  <c r="R29" i="1" s="1"/>
  <c r="AA29" i="1"/>
  <c r="K20" i="1"/>
  <c r="AF20" i="1"/>
  <c r="I20" i="1" s="1"/>
  <c r="H20" i="1" s="1"/>
  <c r="AE20" i="1"/>
  <c r="J20" i="1" s="1"/>
  <c r="N20" i="1"/>
  <c r="T21" i="1"/>
  <c r="U21" i="1" s="1"/>
  <c r="W22" i="1"/>
  <c r="S23" i="1"/>
  <c r="AW23" i="1"/>
  <c r="K28" i="1"/>
  <c r="AF28" i="1"/>
  <c r="I28" i="1" s="1"/>
  <c r="H28" i="1" s="1"/>
  <c r="AE28" i="1"/>
  <c r="J28" i="1" s="1"/>
  <c r="N28" i="1"/>
  <c r="T25" i="1"/>
  <c r="U25" i="1" s="1"/>
  <c r="Q25" i="1" s="1"/>
  <c r="O25" i="1" s="1"/>
  <c r="R25" i="1" s="1"/>
  <c r="L25" i="1" s="1"/>
  <c r="M25" i="1" s="1"/>
  <c r="AT25" i="1"/>
  <c r="T29" i="1"/>
  <c r="U29" i="1" s="1"/>
  <c r="AT29" i="1"/>
  <c r="S18" i="1"/>
  <c r="AW20" i="1"/>
  <c r="S22" i="1"/>
  <c r="AW24" i="1"/>
  <c r="S26" i="1"/>
  <c r="AW28" i="1"/>
  <c r="N29" i="1"/>
  <c r="AE25" i="1"/>
  <c r="J25" i="1" s="1"/>
  <c r="AE29" i="1"/>
  <c r="J29" i="1" s="1"/>
  <c r="K29" i="1"/>
  <c r="N25" i="1"/>
  <c r="AA28" i="1" l="1"/>
  <c r="T28" i="1"/>
  <c r="U28" i="1" s="1"/>
  <c r="T18" i="1"/>
  <c r="U18" i="1" s="1"/>
  <c r="AA27" i="1"/>
  <c r="T26" i="1"/>
  <c r="U26" i="1" s="1"/>
  <c r="Q21" i="1"/>
  <c r="O21" i="1" s="1"/>
  <c r="R21" i="1" s="1"/>
  <c r="L21" i="1" s="1"/>
  <c r="M21" i="1" s="1"/>
  <c r="AA21" i="1"/>
  <c r="AA20" i="1"/>
  <c r="V29" i="1"/>
  <c r="Z29" i="1" s="1"/>
  <c r="AC29" i="1"/>
  <c r="AD29" i="1" s="1"/>
  <c r="T20" i="1"/>
  <c r="U20" i="1" s="1"/>
  <c r="AA24" i="1"/>
  <c r="T24" i="1"/>
  <c r="U24" i="1" s="1"/>
  <c r="T23" i="1"/>
  <c r="U23" i="1" s="1"/>
  <c r="Q17" i="1"/>
  <c r="O17" i="1" s="1"/>
  <c r="R17" i="1" s="1"/>
  <c r="L17" i="1" s="1"/>
  <c r="M17" i="1" s="1"/>
  <c r="AA17" i="1"/>
  <c r="V25" i="1"/>
  <c r="Z25" i="1" s="1"/>
  <c r="AC25" i="1"/>
  <c r="AB25" i="1"/>
  <c r="L29" i="1"/>
  <c r="M29" i="1" s="1"/>
  <c r="T17" i="1"/>
  <c r="U17" i="1" s="1"/>
  <c r="AA22" i="1"/>
  <c r="V21" i="1"/>
  <c r="Z21" i="1" s="1"/>
  <c r="AC21" i="1"/>
  <c r="AB21" i="1"/>
  <c r="T27" i="1"/>
  <c r="U27" i="1" s="1"/>
  <c r="Q27" i="1" s="1"/>
  <c r="O27" i="1" s="1"/>
  <c r="R27" i="1" s="1"/>
  <c r="L27" i="1" s="1"/>
  <c r="M27" i="1" s="1"/>
  <c r="T22" i="1"/>
  <c r="U22" i="1" s="1"/>
  <c r="Q22" i="1" s="1"/>
  <c r="O22" i="1" s="1"/>
  <c r="R22" i="1" s="1"/>
  <c r="L22" i="1" s="1"/>
  <c r="M22" i="1" s="1"/>
  <c r="V20" i="1" l="1"/>
  <c r="Z20" i="1" s="1"/>
  <c r="AC20" i="1"/>
  <c r="AB20" i="1"/>
  <c r="AD21" i="1"/>
  <c r="Q20" i="1"/>
  <c r="O20" i="1" s="1"/>
  <c r="R20" i="1" s="1"/>
  <c r="L20" i="1" s="1"/>
  <c r="M20" i="1" s="1"/>
  <c r="V18" i="1"/>
  <c r="Z18" i="1" s="1"/>
  <c r="AC18" i="1"/>
  <c r="Q18" i="1"/>
  <c r="O18" i="1" s="1"/>
  <c r="R18" i="1" s="1"/>
  <c r="L18" i="1" s="1"/>
  <c r="M18" i="1" s="1"/>
  <c r="AB18" i="1"/>
  <c r="V22" i="1"/>
  <c r="Z22" i="1" s="1"/>
  <c r="AC22" i="1"/>
  <c r="AD22" i="1" s="1"/>
  <c r="AB22" i="1"/>
  <c r="V17" i="1"/>
  <c r="Z17" i="1" s="1"/>
  <c r="AB17" i="1"/>
  <c r="AC17" i="1"/>
  <c r="AD17" i="1" s="1"/>
  <c r="AC23" i="1"/>
  <c r="AD23" i="1" s="1"/>
  <c r="V23" i="1"/>
  <c r="Z23" i="1" s="1"/>
  <c r="AB23" i="1"/>
  <c r="Q23" i="1"/>
  <c r="O23" i="1" s="1"/>
  <c r="R23" i="1" s="1"/>
  <c r="L23" i="1" s="1"/>
  <c r="M23" i="1" s="1"/>
  <c r="AC24" i="1"/>
  <c r="V24" i="1"/>
  <c r="Z24" i="1" s="1"/>
  <c r="AB24" i="1"/>
  <c r="AC28" i="1"/>
  <c r="V28" i="1"/>
  <c r="Z28" i="1" s="1"/>
  <c r="AB28" i="1"/>
  <c r="AC27" i="1"/>
  <c r="V27" i="1"/>
  <c r="Z27" i="1" s="1"/>
  <c r="AB27" i="1"/>
  <c r="Q24" i="1"/>
  <c r="O24" i="1" s="1"/>
  <c r="R24" i="1" s="1"/>
  <c r="L24" i="1" s="1"/>
  <c r="M24" i="1" s="1"/>
  <c r="Q28" i="1"/>
  <c r="O28" i="1" s="1"/>
  <c r="R28" i="1" s="1"/>
  <c r="L28" i="1" s="1"/>
  <c r="M28" i="1" s="1"/>
  <c r="AD25" i="1"/>
  <c r="V26" i="1"/>
  <c r="Z26" i="1" s="1"/>
  <c r="AC26" i="1"/>
  <c r="AD26" i="1" s="1"/>
  <c r="Q26" i="1"/>
  <c r="O26" i="1" s="1"/>
  <c r="R26" i="1" s="1"/>
  <c r="L26" i="1" s="1"/>
  <c r="M26" i="1" s="1"/>
  <c r="AB26" i="1"/>
  <c r="AD28" i="1" l="1"/>
  <c r="AD18" i="1"/>
  <c r="AD24" i="1"/>
  <c r="AD27" i="1"/>
  <c r="AD20" i="1"/>
</calcChain>
</file>

<file path=xl/sharedStrings.xml><?xml version="1.0" encoding="utf-8"?>
<sst xmlns="http://schemas.openxmlformats.org/spreadsheetml/2006/main" count="814" uniqueCount="368">
  <si>
    <t>File opened</t>
  </si>
  <si>
    <t>2025-06-10 14:12:32</t>
  </si>
  <si>
    <t>Console s/n</t>
  </si>
  <si>
    <t>68C-831462</t>
  </si>
  <si>
    <t>Console ver</t>
  </si>
  <si>
    <t>Bluestem v.2.1.13</t>
  </si>
  <si>
    <t>Scripts ver</t>
  </si>
  <si>
    <t>2024.01  2.1.13, Apr 2024</t>
  </si>
  <si>
    <t>Head s/n</t>
  </si>
  <si>
    <t>68H-581462</t>
  </si>
  <si>
    <t>Head ver</t>
  </si>
  <si>
    <t>1.4.23</t>
  </si>
  <si>
    <t>Head cal</t>
  </si>
  <si>
    <t>{"oxygen": "21", "co2azero": "0.943647", "co2aspan1": "1.00228", "co2aspan2": "-0.036196", "co2aspan2a": "0.260385", "co2aspan2b": "0.258524", "co2aspanconc1": "2010", "co2aspanconc2": "301.2", "co2bzero": "0.905271", "co2bspan1": "1.00334", "co2bspan2": "-0.0382705", "co2bspan2a": "0.262281", "co2bspan2b": "0.260523", "co2bspanconc1": "2010", "co2bspanconc2": "301.2", "h2oazero": "1.02109", "h2oaspan1": "1.01571", "h2oaspan2": "0", "h2oaspan2a": "0.0738364", "h2oaspan2b": "0.0749962", "h2oaspanconc1": "12.57", "h2oaspanconc2": "0", "h2obzero": "1.01275", "h2obspan1": "1.01286", "h2obspan2": "0", "h2obspan2a": "0.0746968", "h2obspan2b": "0.0756572", "h2obspanconc1": "12.57", "h2obspanconc2": "0", "tazero": "0.26865", "tbzero": "-0.0104237", "flowmeterzero": "2.50203", "flowazero": "0.26215", "flowbzero": "0.26238", "chamberpressurezero": "2.59129", "ssa_ref": "32326.6", "ssb_ref": "28106.6"}</t>
  </si>
  <si>
    <t>Factory cal date</t>
  </si>
  <si>
    <t>25 Jun 2024</t>
  </si>
  <si>
    <t>CO2 rangematch</t>
  </si>
  <si>
    <t>Thu May  1 14:21</t>
  </si>
  <si>
    <t>H2O rangematch</t>
  </si>
  <si>
    <t>Thu Mar  6 15:58</t>
  </si>
  <si>
    <t>Chamber type</t>
  </si>
  <si>
    <t>6800-12</t>
  </si>
  <si>
    <t>Chamber s/n</t>
  </si>
  <si>
    <t>SLS-561173</t>
  </si>
  <si>
    <t>Chamber rev</t>
  </si>
  <si>
    <t>0</t>
  </si>
  <si>
    <t>Chamber cal</t>
  </si>
  <si>
    <t>8.02</t>
  </si>
  <si>
    <t>14:12:32</t>
  </si>
  <si>
    <t>Stability Definition:	F (FlrLS): Per=20	ΔH2O (Meas2): Slp&lt;0.1 Per=20	ΔCO2 (Meas2): Slp&lt;0.5 Per=20</t>
  </si>
  <si>
    <t>SysConst</t>
  </si>
  <si>
    <t>AvgTime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</si>
  <si>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</si>
  <si>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</si>
  <si>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</si>
  <si>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</si>
  <si>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</si>
  <si>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</si>
  <si>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</si>
  <si>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</si>
  <si>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</si>
  <si>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</si>
  <si>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</si>
  <si>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</si>
  <si>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</si>
  <si>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</si>
  <si>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</si>
  <si>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</si>
  <si>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</si>
  <si>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</si>
  <si>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</si>
  <si>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</si>
  <si>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</si>
  <si>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</si>
  <si>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</si>
  <si>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</si>
  <si>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</si>
  <si>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</si>
  <si>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</si>
  <si>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</si>
  <si>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</si>
  <si>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</si>
  <si>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</si>
  <si>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</si>
  <si>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</si>
  <si>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</si>
  <si>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</si>
  <si>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</si>
  <si>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</si>
  <si>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</si>
  <si>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</si>
  <si>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</si>
  <si>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</si>
  <si>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</si>
  <si>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</si>
  <si>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</si>
  <si>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</si>
  <si>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</si>
  <si>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</si>
  <si>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</si>
  <si>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3.87353 164.811 341.529 589.053 854.757 1059.13 1300.15 1489.11</t>
  </si>
  <si>
    <t>Fs_true</t>
  </si>
  <si>
    <t>0.254297 200.828 383.492 595.075 806.506 1001.54 1201.33 1400.86</t>
  </si>
  <si>
    <t>leak_wt</t>
  </si>
  <si>
    <t>SysObs</t>
  </si>
  <si>
    <t>GasEx</t>
  </si>
  <si>
    <t>Dynamic</t>
  </si>
  <si>
    <t>Leak</t>
  </si>
  <si>
    <t>LeafQ</t>
  </si>
  <si>
    <t>Const</t>
  </si>
  <si>
    <t>Meas</t>
  </si>
  <si>
    <t>Meas2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</si>
  <si>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</si>
  <si>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</si>
  <si>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</si>
  <si>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</si>
  <si>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</si>
  <si>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</si>
  <si>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</si>
  <si>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</si>
  <si>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</si>
  <si>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</si>
  <si>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</si>
  <si>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</si>
  <si>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</si>
  <si>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</si>
  <si>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</si>
  <si>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</si>
  <si>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</si>
  <si>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</si>
  <si>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</si>
  <si>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</si>
  <si>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</si>
  <si>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</si>
  <si>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</si>
  <si>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</si>
  <si>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</si>
  <si>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</si>
  <si>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</si>
  <si>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</si>
  <si>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</si>
  <si>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</si>
  <si>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</si>
  <si>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</si>
  <si>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</si>
  <si>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</si>
  <si>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</si>
  <si>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</si>
  <si>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</si>
  <si>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</si>
  <si>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</si>
  <si>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</si>
  <si>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</si>
  <si>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</si>
  <si>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</si>
  <si>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</si>
  <si>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</si>
  <si>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</si>
  <si>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</si>
  <si>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</si>
  <si>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</si>
  <si>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</si>
  <si>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</si>
  <si>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</si>
  <si>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</si>
  <si>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</si>
  <si>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</si>
  <si>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</si>
  <si>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</si>
  <si>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</si>
  <si>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</si>
  <si>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</si>
  <si>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</si>
  <si>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</si>
  <si>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</si>
  <si>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</si>
  <si>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</si>
  <si>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</si>
  <si>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</si>
  <si>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</si>
  <si>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</si>
  <si>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</si>
  <si>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</si>
  <si>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</si>
  <si>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</si>
  <si>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</si>
  <si>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</si>
  <si>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</si>
  <si>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</si>
  <si>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</si>
  <si>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</si>
  <si>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</si>
  <si>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</si>
  <si>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</si>
  <si>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</si>
  <si>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</si>
  <si>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</si>
  <si>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</si>
  <si>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</si>
  <si>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</si>
  <si>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</si>
  <si>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</si>
  <si>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</si>
  <si>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</si>
  <si>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</si>
  <si>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</si>
  <si>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</si>
  <si>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</si>
  <si>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</si>
  <si>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</si>
  <si>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</si>
  <si>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</si>
  <si>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</si>
  <si>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</si>
  <si>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</si>
  <si>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</si>
  <si>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</si>
  <si>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</si>
  <si>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</si>
  <si>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</si>
  <si>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</si>
  <si>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</si>
  <si>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</si>
  <si>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</si>
  <si>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</si>
  <si>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</si>
  <si>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</si>
  <si>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</si>
  <si>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</si>
  <si>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</si>
  <si>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</si>
  <si>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</si>
  <si>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</si>
  <si>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</si>
  <si>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</si>
  <si>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</si>
  <si>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</si>
  <si>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</si>
  <si>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</si>
  <si>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</si>
  <si>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</si>
  <si>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</si>
  <si>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</si>
  <si>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</si>
  <si>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</si>
  <si>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</si>
  <si>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</si>
  <si>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</si>
  <si>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</si>
  <si>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</si>
  <si>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</si>
  <si>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</si>
  <si>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</si>
  <si>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</si>
  <si>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</si>
  <si>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</si>
  <si>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</si>
  <si>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</si>
  <si>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</si>
  <si>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</si>
  <si>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</si>
  <si>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</si>
  <si>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</si>
  <si>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</si>
  <si>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</si>
  <si>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</si>
  <si>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</si>
  <si>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</si>
  <si>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</si>
  <si>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</si>
  <si>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</si>
  <si>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</si>
  <si>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</si>
  <si>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</si>
  <si>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</si>
  <si>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</si>
  <si>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</si>
  <si>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</si>
  <si>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</si>
  <si>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</si>
  <si>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</si>
  <si>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</si>
  <si>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</si>
  <si>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</si>
  <si>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</si>
  <si>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</si>
  <si>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</si>
  <si>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</si>
  <si>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</si>
  <si>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</si>
  <si>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</si>
  <si>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</si>
  <si>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</si>
  <si>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</si>
  <si>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</si>
  <si>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</si>
  <si>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</si>
  <si>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</si>
  <si>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</si>
  <si>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</si>
  <si>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</si>
  <si>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</si>
  <si>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</si>
  <si>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</si>
  <si>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</si>
  <si>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</si>
  <si>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</si>
  <si>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</si>
  <si>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</si>
  <si>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</si>
  <si>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</si>
  <si>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</si>
  <si>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</si>
  <si>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</si>
  <si>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</si>
  <si>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</si>
  <si>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</si>
  <si>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</si>
  <si>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</si>
  <si>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</si>
  <si>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</si>
  <si>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</si>
  <si>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</si>
  <si>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</si>
  <si>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</si>
  <si>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</si>
  <si>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</si>
  <si>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</si>
  <si>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</si>
  <si>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</si>
  <si>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</si>
  <si>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</si>
  <si>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</si>
  <si>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</si>
  <si>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</si>
  <si>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</si>
  <si>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</si>
  <si>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</si>
  <si>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</si>
  <si>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</si>
  <si>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</si>
  <si>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</si>
  <si>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</si>
  <si>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</si>
  <si>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</si>
  <si>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</si>
  <si>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</si>
  <si>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</si>
  <si>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</si>
  <si>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</si>
  <si>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</si>
  <si>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</si>
  <si>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</si>
  <si>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</si>
  <si>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20250610 14:55:00</t>
  </si>
  <si>
    <t>14:55:00</t>
  </si>
  <si>
    <t>0: Broadleaf</t>
  </si>
  <si>
    <t>10:35:13</t>
  </si>
  <si>
    <t>2/2</t>
  </si>
  <si>
    <t>11111111</t>
  </si>
  <si>
    <t>oooooooo</t>
  </si>
  <si>
    <t>on</t>
  </si>
  <si>
    <t>20250610 14:58:01</t>
  </si>
  <si>
    <t>14:58:01</t>
  </si>
  <si>
    <t>20250610 15:01:01</t>
  </si>
  <si>
    <t>15:01:01</t>
  </si>
  <si>
    <t>20250610 15:04:02</t>
  </si>
  <si>
    <t>15:04:02</t>
  </si>
  <si>
    <t>20250610 15:07:02</t>
  </si>
  <si>
    <t>15:07:02</t>
  </si>
  <si>
    <t>20250610 15:10:03</t>
  </si>
  <si>
    <t>15:10:03</t>
  </si>
  <si>
    <t>20250610 15:13:03</t>
  </si>
  <si>
    <t>15:13:03</t>
  </si>
  <si>
    <t>20250610 15:16:04</t>
  </si>
  <si>
    <t>15:16:04</t>
  </si>
  <si>
    <t>20250610 15:19:05</t>
  </si>
  <si>
    <t>15:19:05</t>
  </si>
  <si>
    <t>1/2</t>
  </si>
  <si>
    <t>20250610 15:22:05</t>
  </si>
  <si>
    <t>15:22:05</t>
  </si>
  <si>
    <t>0/2</t>
  </si>
  <si>
    <t>20250610 15:25:06</t>
  </si>
  <si>
    <t>15:25:06</t>
  </si>
  <si>
    <t>20250610 15:28:06</t>
  </si>
  <si>
    <t>15:28:06</t>
  </si>
  <si>
    <t>20250610 15:31:07</t>
  </si>
  <si>
    <t>15:31:07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</si>
</sst>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B29"/>
  <sheetViews>
    <sheetView tabSelected="1" topLeftCell="AN10" workbookViewId="0">
      <selection activeCell="BC15" sqref="BC15"/>
    </sheetView>
  </sheetViews>
  <sheetFormatPr defaultRowHeight="14.4" x14ac:dyDescent="0.3"/>
  <sheetData>
    <row r="2" spans="1:210" x14ac:dyDescent="0.3">
      <c r="A2" t="s">
        <v>30</v>
      </c>
      <c r="B2" t="s">
        <v>31</v>
      </c>
      <c r="C2" t="s">
        <v>32</v>
      </c>
    </row>
    <row r="3" spans="1:210" x14ac:dyDescent="0.3">
      <c r="B3">
        <v>5</v>
      </c>
      <c r="C3">
        <v>21</v>
      </c>
    </row>
    <row r="4" spans="1:210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</row>
    <row r="5" spans="1:210" x14ac:dyDescent="0.3">
      <c r="B5" t="s">
        <v>21</v>
      </c>
      <c r="D5">
        <v>0.5</v>
      </c>
      <c r="E5">
        <v>0.44869569641082102</v>
      </c>
      <c r="F5">
        <v>1.9000035327750701E-3</v>
      </c>
      <c r="G5">
        <v>-4.2608878182654401E-2</v>
      </c>
      <c r="H5">
        <v>-3.4565160027444299E-3</v>
      </c>
      <c r="I5">
        <v>2</v>
      </c>
      <c r="J5">
        <v>9</v>
      </c>
      <c r="K5">
        <v>96.7</v>
      </c>
    </row>
    <row r="6" spans="1:210" x14ac:dyDescent="0.3">
      <c r="A6" t="s">
        <v>44</v>
      </c>
      <c r="B6" t="s">
        <v>45</v>
      </c>
      <c r="C6" t="s">
        <v>46</v>
      </c>
      <c r="D6" t="s">
        <v>47</v>
      </c>
      <c r="E6" t="s">
        <v>48</v>
      </c>
    </row>
    <row r="7" spans="1:210" x14ac:dyDescent="0.3">
      <c r="B7">
        <v>0</v>
      </c>
      <c r="C7">
        <v>1</v>
      </c>
      <c r="D7">
        <v>0</v>
      </c>
      <c r="E7">
        <v>0</v>
      </c>
    </row>
    <row r="8" spans="1:210" x14ac:dyDescent="0.3">
      <c r="A8" t="s">
        <v>49</v>
      </c>
      <c r="B8" t="s">
        <v>50</v>
      </c>
      <c r="C8" t="s">
        <v>52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  <c r="P8" t="s">
        <v>66</v>
      </c>
      <c r="Q8" t="s">
        <v>67</v>
      </c>
    </row>
    <row r="9" spans="1:210" x14ac:dyDescent="0.3">
      <c r="B9" t="s">
        <v>51</v>
      </c>
      <c r="C9" t="s">
        <v>53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0" x14ac:dyDescent="0.3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</row>
    <row r="11" spans="1:210" x14ac:dyDescent="0.3">
      <c r="B11">
        <v>1</v>
      </c>
      <c r="C11">
        <v>0</v>
      </c>
      <c r="D11">
        <v>0</v>
      </c>
      <c r="E11">
        <v>0</v>
      </c>
      <c r="F11">
        <v>0</v>
      </c>
    </row>
    <row r="12" spans="1:210" x14ac:dyDescent="0.3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81</v>
      </c>
      <c r="H12" t="s">
        <v>83</v>
      </c>
    </row>
    <row r="13" spans="1:210" x14ac:dyDescent="0.3">
      <c r="B13">
        <v>-6276</v>
      </c>
      <c r="C13">
        <v>6.6</v>
      </c>
      <c r="D13">
        <v>1.7090000000000001E-5</v>
      </c>
      <c r="E13">
        <v>3.11</v>
      </c>
      <c r="F13" t="s">
        <v>80</v>
      </c>
      <c r="G13" t="s">
        <v>82</v>
      </c>
      <c r="H13">
        <v>1.5</v>
      </c>
    </row>
    <row r="14" spans="1:210" x14ac:dyDescent="0.3">
      <c r="A14" t="s">
        <v>84</v>
      </c>
      <c r="B14" t="s">
        <v>84</v>
      </c>
      <c r="C14" t="s">
        <v>84</v>
      </c>
      <c r="D14" t="s">
        <v>84</v>
      </c>
      <c r="E14" t="s">
        <v>84</v>
      </c>
      <c r="F14" t="s">
        <v>84</v>
      </c>
      <c r="G14" t="s">
        <v>85</v>
      </c>
      <c r="H14" t="s">
        <v>85</v>
      </c>
      <c r="I14" t="s">
        <v>85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85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85</v>
      </c>
      <c r="X14" t="s">
        <v>85</v>
      </c>
      <c r="Y14" t="s">
        <v>85</v>
      </c>
      <c r="Z14" t="s">
        <v>85</v>
      </c>
      <c r="AA14" t="s">
        <v>85</v>
      </c>
      <c r="AB14" t="s">
        <v>85</v>
      </c>
      <c r="AC14" t="s">
        <v>85</v>
      </c>
      <c r="AD14" t="s">
        <v>85</v>
      </c>
      <c r="AE14" t="s">
        <v>85</v>
      </c>
      <c r="AF14" t="s">
        <v>85</v>
      </c>
      <c r="AG14" t="s">
        <v>86</v>
      </c>
      <c r="AH14" t="s">
        <v>86</v>
      </c>
      <c r="AI14" t="s">
        <v>86</v>
      </c>
      <c r="AJ14" t="s">
        <v>86</v>
      </c>
      <c r="AK14" t="s">
        <v>86</v>
      </c>
      <c r="AL14" t="s">
        <v>86</v>
      </c>
      <c r="AM14" t="s">
        <v>86</v>
      </c>
      <c r="AN14" t="s">
        <v>86</v>
      </c>
      <c r="AO14" t="s">
        <v>86</v>
      </c>
      <c r="AP14" t="s">
        <v>86</v>
      </c>
      <c r="AQ14" t="s">
        <v>87</v>
      </c>
      <c r="AR14" t="s">
        <v>87</v>
      </c>
      <c r="AS14" t="s">
        <v>87</v>
      </c>
      <c r="AT14" t="s">
        <v>87</v>
      </c>
      <c r="AU14" t="s">
        <v>87</v>
      </c>
      <c r="AV14" t="s">
        <v>88</v>
      </c>
      <c r="AW14" t="s">
        <v>88</v>
      </c>
      <c r="AX14" t="s">
        <v>88</v>
      </c>
      <c r="AY14" t="s">
        <v>88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90</v>
      </c>
      <c r="BM14" t="s">
        <v>90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93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94</v>
      </c>
      <c r="DW14" t="s">
        <v>94</v>
      </c>
      <c r="DX14" t="s">
        <v>94</v>
      </c>
      <c r="DY14" t="s">
        <v>94</v>
      </c>
      <c r="DZ14" t="s">
        <v>94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95</v>
      </c>
      <c r="EG14" t="s">
        <v>95</v>
      </c>
      <c r="EH14" t="s">
        <v>95</v>
      </c>
      <c r="EI14" t="s">
        <v>95</v>
      </c>
      <c r="EJ14" t="s">
        <v>95</v>
      </c>
      <c r="EK14" t="s">
        <v>95</v>
      </c>
      <c r="EL14" t="s">
        <v>95</v>
      </c>
      <c r="EM14" t="s">
        <v>95</v>
      </c>
      <c r="EN14" t="s">
        <v>95</v>
      </c>
      <c r="EO14" t="s">
        <v>95</v>
      </c>
      <c r="EP14" t="s">
        <v>95</v>
      </c>
      <c r="EQ14" t="s">
        <v>95</v>
      </c>
      <c r="ER14" t="s">
        <v>95</v>
      </c>
      <c r="ES14" t="s">
        <v>95</v>
      </c>
      <c r="ET14" t="s">
        <v>96</v>
      </c>
      <c r="EU14" t="s">
        <v>96</v>
      </c>
      <c r="EV14" t="s">
        <v>96</v>
      </c>
      <c r="EW14" t="s">
        <v>96</v>
      </c>
      <c r="EX14" t="s">
        <v>96</v>
      </c>
      <c r="EY14" t="s">
        <v>96</v>
      </c>
      <c r="EZ14" t="s">
        <v>96</v>
      </c>
      <c r="FA14" t="s">
        <v>96</v>
      </c>
      <c r="FB14" t="s">
        <v>96</v>
      </c>
      <c r="FC14" t="s">
        <v>96</v>
      </c>
      <c r="FD14" t="s">
        <v>96</v>
      </c>
      <c r="FE14" t="s">
        <v>96</v>
      </c>
      <c r="FF14" t="s">
        <v>96</v>
      </c>
      <c r="FG14" t="s">
        <v>96</v>
      </c>
      <c r="FH14" t="s">
        <v>96</v>
      </c>
      <c r="FI14" t="s">
        <v>96</v>
      </c>
      <c r="FJ14" t="s">
        <v>96</v>
      </c>
      <c r="FK14" t="s">
        <v>96</v>
      </c>
      <c r="FL14" t="s">
        <v>96</v>
      </c>
      <c r="FM14" t="s">
        <v>97</v>
      </c>
      <c r="FN14" t="s">
        <v>97</v>
      </c>
      <c r="FO14" t="s">
        <v>97</v>
      </c>
      <c r="FP14" t="s">
        <v>97</v>
      </c>
      <c r="FQ14" t="s">
        <v>97</v>
      </c>
      <c r="FR14" t="s">
        <v>97</v>
      </c>
      <c r="FS14" t="s">
        <v>97</v>
      </c>
      <c r="FT14" t="s">
        <v>97</v>
      </c>
      <c r="FU14" t="s">
        <v>97</v>
      </c>
      <c r="FV14" t="s">
        <v>97</v>
      </c>
      <c r="FW14" t="s">
        <v>97</v>
      </c>
      <c r="FX14" t="s">
        <v>97</v>
      </c>
      <c r="FY14" t="s">
        <v>97</v>
      </c>
      <c r="FZ14" t="s">
        <v>97</v>
      </c>
      <c r="GA14" t="s">
        <v>97</v>
      </c>
      <c r="GB14" t="s">
        <v>97</v>
      </c>
      <c r="GC14" t="s">
        <v>97</v>
      </c>
      <c r="GD14" t="s">
        <v>97</v>
      </c>
      <c r="GE14" t="s">
        <v>98</v>
      </c>
      <c r="GF14" t="s">
        <v>98</v>
      </c>
      <c r="GG14" t="s">
        <v>98</v>
      </c>
      <c r="GH14" t="s">
        <v>98</v>
      </c>
      <c r="GI14" t="s">
        <v>98</v>
      </c>
      <c r="GJ14" t="s">
        <v>98</v>
      </c>
      <c r="GK14" t="s">
        <v>98</v>
      </c>
      <c r="GL14" t="s">
        <v>98</v>
      </c>
      <c r="GM14" t="s">
        <v>99</v>
      </c>
      <c r="GN14" t="s">
        <v>99</v>
      </c>
      <c r="GO14" t="s">
        <v>99</v>
      </c>
      <c r="GP14" t="s">
        <v>99</v>
      </c>
      <c r="GQ14" t="s">
        <v>99</v>
      </c>
      <c r="GR14" t="s">
        <v>99</v>
      </c>
      <c r="GS14" t="s">
        <v>99</v>
      </c>
      <c r="GT14" t="s">
        <v>99</v>
      </c>
      <c r="GU14" t="s">
        <v>99</v>
      </c>
      <c r="GV14" t="s">
        <v>99</v>
      </c>
      <c r="GW14" t="s">
        <v>99</v>
      </c>
      <c r="GX14" t="s">
        <v>99</v>
      </c>
      <c r="GY14" t="s">
        <v>99</v>
      </c>
      <c r="GZ14" t="s">
        <v>99</v>
      </c>
      <c r="HA14" t="s">
        <v>99</v>
      </c>
      <c r="HB14" t="s">
        <v>99</v>
      </c>
    </row>
    <row r="15" spans="1:210" x14ac:dyDescent="0.3">
      <c r="A15" t="s">
        <v>100</v>
      </c>
      <c r="B15" t="s">
        <v>101</v>
      </c>
      <c r="C15" t="s">
        <v>102</v>
      </c>
      <c r="D15" t="s">
        <v>103</v>
      </c>
      <c r="E15" t="s">
        <v>104</v>
      </c>
      <c r="F15" t="s">
        <v>105</v>
      </c>
      <c r="G15" t="s">
        <v>106</v>
      </c>
      <c r="H15" t="s">
        <v>107</v>
      </c>
      <c r="I15" t="s">
        <v>108</v>
      </c>
      <c r="J15" t="s">
        <v>109</v>
      </c>
      <c r="K15" t="s">
        <v>110</v>
      </c>
      <c r="L15" t="s">
        <v>111</v>
      </c>
      <c r="M15" t="s">
        <v>112</v>
      </c>
      <c r="N15" t="s">
        <v>113</v>
      </c>
      <c r="O15" t="s">
        <v>114</v>
      </c>
      <c r="P15" t="s">
        <v>115</v>
      </c>
      <c r="Q15" t="s">
        <v>116</v>
      </c>
      <c r="R15" t="s">
        <v>117</v>
      </c>
      <c r="S15" t="s">
        <v>118</v>
      </c>
      <c r="T15" t="s">
        <v>119</v>
      </c>
      <c r="U15" t="s">
        <v>120</v>
      </c>
      <c r="V15" t="s">
        <v>121</v>
      </c>
      <c r="W15" t="s">
        <v>122</v>
      </c>
      <c r="X15" t="s">
        <v>123</v>
      </c>
      <c r="Y15" t="s">
        <v>124</v>
      </c>
      <c r="Z15" t="s">
        <v>125</v>
      </c>
      <c r="AA15" t="s">
        <v>126</v>
      </c>
      <c r="AB15" t="s">
        <v>127</v>
      </c>
      <c r="AC15" t="s">
        <v>128</v>
      </c>
      <c r="AD15" t="s">
        <v>129</v>
      </c>
      <c r="AE15" t="s">
        <v>130</v>
      </c>
      <c r="AF15" t="s">
        <v>131</v>
      </c>
      <c r="AG15" t="s">
        <v>132</v>
      </c>
      <c r="AH15" t="s">
        <v>133</v>
      </c>
      <c r="AI15" t="s">
        <v>134</v>
      </c>
      <c r="AJ15" t="s">
        <v>135</v>
      </c>
      <c r="AK15" t="s">
        <v>136</v>
      </c>
      <c r="AL15" t="s">
        <v>137</v>
      </c>
      <c r="AM15" t="s">
        <v>138</v>
      </c>
      <c r="AN15" t="s">
        <v>139</v>
      </c>
      <c r="AO15" t="s">
        <v>140</v>
      </c>
      <c r="AP15" t="s">
        <v>141</v>
      </c>
      <c r="AQ15" t="s">
        <v>87</v>
      </c>
      <c r="AR15" t="s">
        <v>142</v>
      </c>
      <c r="AS15" t="s">
        <v>143</v>
      </c>
      <c r="AT15" t="s">
        <v>144</v>
      </c>
      <c r="AU15" t="s">
        <v>145</v>
      </c>
      <c r="AV15" t="s">
        <v>146</v>
      </c>
      <c r="AW15" t="s">
        <v>147</v>
      </c>
      <c r="AX15" t="s">
        <v>148</v>
      </c>
      <c r="AY15" t="s">
        <v>149</v>
      </c>
      <c r="AZ15" t="s">
        <v>150</v>
      </c>
      <c r="BA15" t="s">
        <v>151</v>
      </c>
      <c r="BB15" t="s">
        <v>152</v>
      </c>
      <c r="BC15" t="s">
        <v>153</v>
      </c>
      <c r="BD15" t="s">
        <v>154</v>
      </c>
      <c r="BE15" t="s">
        <v>106</v>
      </c>
      <c r="BF15" t="s">
        <v>155</v>
      </c>
      <c r="BG15" t="s">
        <v>156</v>
      </c>
      <c r="BH15" t="s">
        <v>157</v>
      </c>
      <c r="BI15" t="s">
        <v>158</v>
      </c>
      <c r="BJ15" t="s">
        <v>159</v>
      </c>
      <c r="BK15" t="s">
        <v>160</v>
      </c>
      <c r="BL15" t="s">
        <v>161</v>
      </c>
      <c r="BM15" t="s">
        <v>162</v>
      </c>
      <c r="BN15" t="s">
        <v>163</v>
      </c>
      <c r="BO15" t="s">
        <v>164</v>
      </c>
      <c r="BP15" t="s">
        <v>165</v>
      </c>
      <c r="BQ15" t="s">
        <v>166</v>
      </c>
      <c r="BR15" t="s">
        <v>167</v>
      </c>
      <c r="BS15" t="s">
        <v>168</v>
      </c>
      <c r="BT15" t="s">
        <v>169</v>
      </c>
      <c r="BU15" t="s">
        <v>170</v>
      </c>
      <c r="BV15" t="s">
        <v>171</v>
      </c>
      <c r="BW15" t="s">
        <v>172</v>
      </c>
      <c r="BX15" t="s">
        <v>173</v>
      </c>
      <c r="BY15" t="s">
        <v>174</v>
      </c>
      <c r="BZ15" t="s">
        <v>175</v>
      </c>
      <c r="CA15" t="s">
        <v>176</v>
      </c>
      <c r="CB15" t="s">
        <v>177</v>
      </c>
      <c r="CC15" t="s">
        <v>178</v>
      </c>
      <c r="CD15" t="s">
        <v>179</v>
      </c>
      <c r="CE15" t="s">
        <v>180</v>
      </c>
      <c r="CF15" t="s">
        <v>181</v>
      </c>
      <c r="CG15" t="s">
        <v>101</v>
      </c>
      <c r="CH15" t="s">
        <v>104</v>
      </c>
      <c r="CI15" t="s">
        <v>182</v>
      </c>
      <c r="CJ15" t="s">
        <v>183</v>
      </c>
      <c r="CK15" t="s">
        <v>184</v>
      </c>
      <c r="CL15" t="s">
        <v>185</v>
      </c>
      <c r="CM15" t="s">
        <v>186</v>
      </c>
      <c r="CN15" t="s">
        <v>187</v>
      </c>
      <c r="CO15" t="s">
        <v>188</v>
      </c>
      <c r="CP15" t="s">
        <v>189</v>
      </c>
      <c r="CQ15" t="s">
        <v>190</v>
      </c>
      <c r="CR15" t="s">
        <v>191</v>
      </c>
      <c r="CS15" t="s">
        <v>192</v>
      </c>
      <c r="CT15" t="s">
        <v>193</v>
      </c>
      <c r="CU15" t="s">
        <v>194</v>
      </c>
      <c r="CV15" t="s">
        <v>195</v>
      </c>
      <c r="CW15" t="s">
        <v>196</v>
      </c>
      <c r="CX15" t="s">
        <v>197</v>
      </c>
      <c r="CY15" t="s">
        <v>198</v>
      </c>
      <c r="CZ15" t="s">
        <v>199</v>
      </c>
      <c r="DA15" t="s">
        <v>200</v>
      </c>
      <c r="DB15" t="s">
        <v>201</v>
      </c>
      <c r="DC15" t="s">
        <v>202</v>
      </c>
      <c r="DD15" t="s">
        <v>203</v>
      </c>
      <c r="DE15" t="s">
        <v>204</v>
      </c>
      <c r="DF15" t="s">
        <v>205</v>
      </c>
      <c r="DG15" t="s">
        <v>206</v>
      </c>
      <c r="DH15" t="s">
        <v>207</v>
      </c>
      <c r="DI15" t="s">
        <v>208</v>
      </c>
      <c r="DJ15" t="s">
        <v>209</v>
      </c>
      <c r="DK15" t="s">
        <v>210</v>
      </c>
      <c r="DL15" t="s">
        <v>211</v>
      </c>
      <c r="DM15" t="s">
        <v>212</v>
      </c>
      <c r="DN15" t="s">
        <v>213</v>
      </c>
      <c r="DO15" t="s">
        <v>214</v>
      </c>
      <c r="DP15" t="s">
        <v>215</v>
      </c>
      <c r="DQ15" t="s">
        <v>216</v>
      </c>
      <c r="DR15" t="s">
        <v>217</v>
      </c>
      <c r="DS15" t="s">
        <v>218</v>
      </c>
      <c r="DT15" t="s">
        <v>219</v>
      </c>
      <c r="DU15" t="s">
        <v>220</v>
      </c>
      <c r="DV15" t="s">
        <v>221</v>
      </c>
      <c r="DW15" t="s">
        <v>222</v>
      </c>
      <c r="DX15" t="s">
        <v>223</v>
      </c>
      <c r="DY15" t="s">
        <v>224</v>
      </c>
      <c r="DZ15" t="s">
        <v>225</v>
      </c>
      <c r="EA15" t="s">
        <v>226</v>
      </c>
      <c r="EB15" t="s">
        <v>227</v>
      </c>
      <c r="EC15" t="s">
        <v>228</v>
      </c>
      <c r="ED15" t="s">
        <v>229</v>
      </c>
      <c r="EE15" t="s">
        <v>230</v>
      </c>
      <c r="EF15" t="s">
        <v>231</v>
      </c>
      <c r="EG15" t="s">
        <v>232</v>
      </c>
      <c r="EH15" t="s">
        <v>233</v>
      </c>
      <c r="EI15" t="s">
        <v>234</v>
      </c>
      <c r="EJ15" t="s">
        <v>235</v>
      </c>
      <c r="EK15" t="s">
        <v>236</v>
      </c>
      <c r="EL15" t="s">
        <v>237</v>
      </c>
      <c r="EM15" t="s">
        <v>238</v>
      </c>
      <c r="EN15" t="s">
        <v>239</v>
      </c>
      <c r="EO15" t="s">
        <v>240</v>
      </c>
      <c r="EP15" t="s">
        <v>241</v>
      </c>
      <c r="EQ15" t="s">
        <v>242</v>
      </c>
      <c r="ER15" t="s">
        <v>243</v>
      </c>
      <c r="ES15" t="s">
        <v>244</v>
      </c>
      <c r="ET15" t="s">
        <v>245</v>
      </c>
      <c r="EU15" t="s">
        <v>246</v>
      </c>
      <c r="EV15" t="s">
        <v>247</v>
      </c>
      <c r="EW15" t="s">
        <v>248</v>
      </c>
      <c r="EX15" t="s">
        <v>249</v>
      </c>
      <c r="EY15" t="s">
        <v>250</v>
      </c>
      <c r="EZ15" t="s">
        <v>251</v>
      </c>
      <c r="FA15" t="s">
        <v>252</v>
      </c>
      <c r="FB15" t="s">
        <v>253</v>
      </c>
      <c r="FC15" t="s">
        <v>254</v>
      </c>
      <c r="FD15" t="s">
        <v>255</v>
      </c>
      <c r="FE15" t="s">
        <v>256</v>
      </c>
      <c r="FF15" t="s">
        <v>257</v>
      </c>
      <c r="FG15" t="s">
        <v>258</v>
      </c>
      <c r="FH15" t="s">
        <v>259</v>
      </c>
      <c r="FI15" t="s">
        <v>260</v>
      </c>
      <c r="FJ15" t="s">
        <v>261</v>
      </c>
      <c r="FK15" t="s">
        <v>262</v>
      </c>
      <c r="FL15" t="s">
        <v>263</v>
      </c>
      <c r="FM15" t="s">
        <v>264</v>
      </c>
      <c r="FN15" t="s">
        <v>265</v>
      </c>
      <c r="FO15" t="s">
        <v>266</v>
      </c>
      <c r="FP15" t="s">
        <v>267</v>
      </c>
      <c r="FQ15" t="s">
        <v>268</v>
      </c>
      <c r="FR15" t="s">
        <v>269</v>
      </c>
      <c r="FS15" t="s">
        <v>270</v>
      </c>
      <c r="FT15" t="s">
        <v>271</v>
      </c>
      <c r="FU15" t="s">
        <v>272</v>
      </c>
      <c r="FV15" t="s">
        <v>273</v>
      </c>
      <c r="FW15" t="s">
        <v>274</v>
      </c>
      <c r="FX15" t="s">
        <v>275</v>
      </c>
      <c r="FY15" t="s">
        <v>276</v>
      </c>
      <c r="FZ15" t="s">
        <v>277</v>
      </c>
      <c r="GA15" t="s">
        <v>278</v>
      </c>
      <c r="GB15" t="s">
        <v>279</v>
      </c>
      <c r="GC15" t="s">
        <v>280</v>
      </c>
      <c r="GD15" t="s">
        <v>281</v>
      </c>
      <c r="GE15" t="s">
        <v>282</v>
      </c>
      <c r="GF15" t="s">
        <v>283</v>
      </c>
      <c r="GG15" t="s">
        <v>284</v>
      </c>
      <c r="GH15" t="s">
        <v>285</v>
      </c>
      <c r="GI15" t="s">
        <v>286</v>
      </c>
      <c r="GJ15" t="s">
        <v>287</v>
      </c>
      <c r="GK15" t="s">
        <v>288</v>
      </c>
      <c r="GL15" t="s">
        <v>289</v>
      </c>
      <c r="GM15" t="s">
        <v>290</v>
      </c>
      <c r="GN15" t="s">
        <v>291</v>
      </c>
      <c r="GO15" t="s">
        <v>292</v>
      </c>
      <c r="GP15" t="s">
        <v>293</v>
      </c>
      <c r="GQ15" t="s">
        <v>294</v>
      </c>
      <c r="GR15" t="s">
        <v>295</v>
      </c>
      <c r="GS15" t="s">
        <v>296</v>
      </c>
      <c r="GT15" t="s">
        <v>297</v>
      </c>
      <c r="GU15" t="s">
        <v>298</v>
      </c>
      <c r="GV15" t="s">
        <v>299</v>
      </c>
      <c r="GW15" t="s">
        <v>300</v>
      </c>
      <c r="GX15" t="s">
        <v>301</v>
      </c>
      <c r="GY15" t="s">
        <v>302</v>
      </c>
      <c r="GZ15" t="s">
        <v>303</v>
      </c>
      <c r="HA15" t="s">
        <v>304</v>
      </c>
      <c r="HB15" t="s">
        <v>305</v>
      </c>
    </row>
    <row r="16" spans="1:210" x14ac:dyDescent="0.3">
      <c r="B16" t="s">
        <v>306</v>
      </c>
      <c r="C16" t="s">
        <v>306</v>
      </c>
      <c r="F16" t="s">
        <v>306</v>
      </c>
      <c r="G16" t="s">
        <v>306</v>
      </c>
      <c r="H16" t="s">
        <v>307</v>
      </c>
      <c r="I16" t="s">
        <v>308</v>
      </c>
      <c r="J16" t="s">
        <v>309</v>
      </c>
      <c r="K16" t="s">
        <v>310</v>
      </c>
      <c r="L16" t="s">
        <v>310</v>
      </c>
      <c r="M16" t="s">
        <v>162</v>
      </c>
      <c r="N16" t="s">
        <v>162</v>
      </c>
      <c r="O16" t="s">
        <v>307</v>
      </c>
      <c r="P16" t="s">
        <v>307</v>
      </c>
      <c r="Q16" t="s">
        <v>307</v>
      </c>
      <c r="R16" t="s">
        <v>307</v>
      </c>
      <c r="S16" t="s">
        <v>311</v>
      </c>
      <c r="T16" t="s">
        <v>312</v>
      </c>
      <c r="U16" t="s">
        <v>312</v>
      </c>
      <c r="V16" t="s">
        <v>313</v>
      </c>
      <c r="W16" t="s">
        <v>314</v>
      </c>
      <c r="X16" t="s">
        <v>313</v>
      </c>
      <c r="Y16" t="s">
        <v>313</v>
      </c>
      <c r="Z16" t="s">
        <v>313</v>
      </c>
      <c r="AA16" t="s">
        <v>311</v>
      </c>
      <c r="AB16" t="s">
        <v>311</v>
      </c>
      <c r="AC16" t="s">
        <v>311</v>
      </c>
      <c r="AD16" t="s">
        <v>311</v>
      </c>
      <c r="AE16" t="s">
        <v>309</v>
      </c>
      <c r="AF16" t="s">
        <v>308</v>
      </c>
      <c r="AG16" t="s">
        <v>309</v>
      </c>
      <c r="AH16" t="s">
        <v>310</v>
      </c>
      <c r="AI16" t="s">
        <v>310</v>
      </c>
      <c r="AJ16" t="s">
        <v>315</v>
      </c>
      <c r="AK16" t="s">
        <v>316</v>
      </c>
      <c r="AL16" t="s">
        <v>308</v>
      </c>
      <c r="AM16" t="s">
        <v>317</v>
      </c>
      <c r="AN16" t="s">
        <v>317</v>
      </c>
      <c r="AO16" t="s">
        <v>318</v>
      </c>
      <c r="AP16" t="s">
        <v>316</v>
      </c>
      <c r="AQ16" t="s">
        <v>319</v>
      </c>
      <c r="AR16" t="s">
        <v>314</v>
      </c>
      <c r="AT16" t="s">
        <v>314</v>
      </c>
      <c r="AU16" t="s">
        <v>319</v>
      </c>
      <c r="AV16" t="s">
        <v>309</v>
      </c>
      <c r="AW16" t="s">
        <v>309</v>
      </c>
      <c r="AY16" t="s">
        <v>320</v>
      </c>
      <c r="AZ16" t="s">
        <v>321</v>
      </c>
      <c r="BC16" t="s">
        <v>307</v>
      </c>
      <c r="BE16" t="s">
        <v>306</v>
      </c>
      <c r="BF16" t="s">
        <v>310</v>
      </c>
      <c r="BG16" t="s">
        <v>310</v>
      </c>
      <c r="BH16" t="s">
        <v>317</v>
      </c>
      <c r="BI16" t="s">
        <v>317</v>
      </c>
      <c r="BJ16" t="s">
        <v>310</v>
      </c>
      <c r="BK16" t="s">
        <v>317</v>
      </c>
      <c r="BL16" t="s">
        <v>319</v>
      </c>
      <c r="BM16" t="s">
        <v>313</v>
      </c>
      <c r="BN16" t="s">
        <v>313</v>
      </c>
      <c r="BO16" t="s">
        <v>312</v>
      </c>
      <c r="BP16" t="s">
        <v>312</v>
      </c>
      <c r="BQ16" t="s">
        <v>312</v>
      </c>
      <c r="BR16" t="s">
        <v>312</v>
      </c>
      <c r="BS16" t="s">
        <v>312</v>
      </c>
      <c r="BT16" t="s">
        <v>322</v>
      </c>
      <c r="BU16" t="s">
        <v>309</v>
      </c>
      <c r="BV16" t="s">
        <v>309</v>
      </c>
      <c r="BW16" t="s">
        <v>310</v>
      </c>
      <c r="BX16" t="s">
        <v>310</v>
      </c>
      <c r="BY16" t="s">
        <v>310</v>
      </c>
      <c r="BZ16" t="s">
        <v>317</v>
      </c>
      <c r="CA16" t="s">
        <v>310</v>
      </c>
      <c r="CB16" t="s">
        <v>317</v>
      </c>
      <c r="CC16" t="s">
        <v>313</v>
      </c>
      <c r="CD16" t="s">
        <v>313</v>
      </c>
      <c r="CE16" t="s">
        <v>312</v>
      </c>
      <c r="CF16" t="s">
        <v>312</v>
      </c>
      <c r="CG16" t="s">
        <v>323</v>
      </c>
      <c r="CI16" t="s">
        <v>306</v>
      </c>
      <c r="CJ16" t="s">
        <v>306</v>
      </c>
      <c r="CL16" t="s">
        <v>324</v>
      </c>
      <c r="CM16" t="s">
        <v>325</v>
      </c>
      <c r="CN16" t="s">
        <v>324</v>
      </c>
      <c r="CO16" t="s">
        <v>325</v>
      </c>
      <c r="CP16" t="s">
        <v>324</v>
      </c>
      <c r="CQ16" t="s">
        <v>325</v>
      </c>
      <c r="CR16" t="s">
        <v>314</v>
      </c>
      <c r="CS16" t="s">
        <v>314</v>
      </c>
      <c r="CT16" t="s">
        <v>310</v>
      </c>
      <c r="CU16" t="s">
        <v>326</v>
      </c>
      <c r="CV16" t="s">
        <v>310</v>
      </c>
      <c r="CY16" t="s">
        <v>327</v>
      </c>
      <c r="DB16" t="s">
        <v>317</v>
      </c>
      <c r="DC16" t="s">
        <v>328</v>
      </c>
      <c r="DD16" t="s">
        <v>317</v>
      </c>
      <c r="DI16" t="s">
        <v>329</v>
      </c>
      <c r="DJ16" t="s">
        <v>329</v>
      </c>
      <c r="DW16" t="s">
        <v>329</v>
      </c>
      <c r="DX16" t="s">
        <v>329</v>
      </c>
      <c r="DY16" t="s">
        <v>330</v>
      </c>
      <c r="DZ16" t="s">
        <v>330</v>
      </c>
      <c r="EA16" t="s">
        <v>312</v>
      </c>
      <c r="EB16" t="s">
        <v>312</v>
      </c>
      <c r="EC16" t="s">
        <v>314</v>
      </c>
      <c r="ED16" t="s">
        <v>312</v>
      </c>
      <c r="EE16" t="s">
        <v>317</v>
      </c>
      <c r="EF16" t="s">
        <v>314</v>
      </c>
      <c r="EG16" t="s">
        <v>314</v>
      </c>
      <c r="EI16" t="s">
        <v>329</v>
      </c>
      <c r="EJ16" t="s">
        <v>329</v>
      </c>
      <c r="EK16" t="s">
        <v>329</v>
      </c>
      <c r="EL16" t="s">
        <v>329</v>
      </c>
      <c r="EM16" t="s">
        <v>329</v>
      </c>
      <c r="EN16" t="s">
        <v>329</v>
      </c>
      <c r="EO16" t="s">
        <v>329</v>
      </c>
      <c r="EP16" t="s">
        <v>331</v>
      </c>
      <c r="EQ16" t="s">
        <v>331</v>
      </c>
      <c r="ER16" t="s">
        <v>331</v>
      </c>
      <c r="ES16" t="s">
        <v>332</v>
      </c>
      <c r="ET16" t="s">
        <v>329</v>
      </c>
      <c r="EU16" t="s">
        <v>329</v>
      </c>
      <c r="EV16" t="s">
        <v>329</v>
      </c>
      <c r="EW16" t="s">
        <v>329</v>
      </c>
      <c r="EX16" t="s">
        <v>329</v>
      </c>
      <c r="EY16" t="s">
        <v>329</v>
      </c>
      <c r="EZ16" t="s">
        <v>329</v>
      </c>
      <c r="FA16" t="s">
        <v>329</v>
      </c>
      <c r="FB16" t="s">
        <v>329</v>
      </c>
      <c r="FC16" t="s">
        <v>329</v>
      </c>
      <c r="FD16" t="s">
        <v>329</v>
      </c>
      <c r="FE16" t="s">
        <v>329</v>
      </c>
      <c r="FL16" t="s">
        <v>329</v>
      </c>
      <c r="FM16" t="s">
        <v>314</v>
      </c>
      <c r="FN16" t="s">
        <v>314</v>
      </c>
      <c r="FO16" t="s">
        <v>324</v>
      </c>
      <c r="FP16" t="s">
        <v>325</v>
      </c>
      <c r="FQ16" t="s">
        <v>324</v>
      </c>
      <c r="FU16" t="s">
        <v>325</v>
      </c>
      <c r="FY16" t="s">
        <v>310</v>
      </c>
      <c r="FZ16" t="s">
        <v>310</v>
      </c>
      <c r="GA16" t="s">
        <v>317</v>
      </c>
      <c r="GB16" t="s">
        <v>317</v>
      </c>
      <c r="GC16" t="s">
        <v>333</v>
      </c>
      <c r="GD16" t="s">
        <v>333</v>
      </c>
      <c r="GE16" t="s">
        <v>329</v>
      </c>
      <c r="GF16" t="s">
        <v>329</v>
      </c>
      <c r="GG16" t="s">
        <v>329</v>
      </c>
      <c r="GH16" t="s">
        <v>329</v>
      </c>
      <c r="GI16" t="s">
        <v>329</v>
      </c>
      <c r="GJ16" t="s">
        <v>329</v>
      </c>
      <c r="GK16" t="s">
        <v>312</v>
      </c>
      <c r="GL16" t="s">
        <v>329</v>
      </c>
      <c r="GN16" t="s">
        <v>319</v>
      </c>
      <c r="GO16" t="s">
        <v>319</v>
      </c>
      <c r="GP16" t="s">
        <v>312</v>
      </c>
      <c r="GQ16" t="s">
        <v>312</v>
      </c>
      <c r="GR16" t="s">
        <v>312</v>
      </c>
      <c r="GS16" t="s">
        <v>312</v>
      </c>
      <c r="GT16" t="s">
        <v>312</v>
      </c>
      <c r="GU16" t="s">
        <v>314</v>
      </c>
      <c r="GV16" t="s">
        <v>314</v>
      </c>
      <c r="GW16" t="s">
        <v>314</v>
      </c>
      <c r="GX16" t="s">
        <v>312</v>
      </c>
      <c r="GY16" t="s">
        <v>310</v>
      </c>
      <c r="GZ16" t="s">
        <v>317</v>
      </c>
      <c r="HA16" t="s">
        <v>314</v>
      </c>
      <c r="HB16" t="s">
        <v>314</v>
      </c>
    </row>
    <row r="17" spans="1:210" x14ac:dyDescent="0.3">
      <c r="A17">
        <v>1</v>
      </c>
      <c r="B17">
        <v>1749560100.5999999</v>
      </c>
      <c r="C17">
        <v>0</v>
      </c>
      <c r="D17" t="s">
        <v>334</v>
      </c>
      <c r="E17" t="s">
        <v>335</v>
      </c>
      <c r="F17">
        <v>15</v>
      </c>
      <c r="G17">
        <v>1749560092.849999</v>
      </c>
      <c r="H17">
        <f t="shared" ref="H17:H29" si="0">(I17)/1000</f>
        <v>1.3174353436924357E-3</v>
      </c>
      <c r="I17">
        <f t="shared" ref="I17:I29" si="1">IF(BD17, AL17, AF17)</f>
        <v>1.3174353436924358</v>
      </c>
      <c r="J17">
        <f t="shared" ref="J17:J29" si="2">IF(BD17, AG17, AE17)</f>
        <v>12.685782297563303</v>
      </c>
      <c r="K17">
        <f t="shared" ref="K17:K29" si="3">BF17 - IF(AS17&gt;1, J17*AZ17*100/(AU17), 0)</f>
        <v>420.20909999999992</v>
      </c>
      <c r="L17">
        <f t="shared" ref="L17:L29" si="4">((R17-H17/2)*K17-J17)/(R17+H17/2)</f>
        <v>257.70036989441928</v>
      </c>
      <c r="M17">
        <f t="shared" ref="M17:M29" si="5">L17*(BM17+BN17)/1000</f>
        <v>26.35959134138335</v>
      </c>
      <c r="N17">
        <f t="shared" ref="N17:N29" si="6">(BF17 - IF(AS17&gt;1, J17*AZ17*100/(AU17), 0))*(BM17+BN17)/1000</f>
        <v>42.982243907793325</v>
      </c>
      <c r="O17">
        <f t="shared" ref="O17:O29" si="7">2/((1/Q17-1/P17)+SIGN(Q17)*SQRT((1/Q17-1/P17)*(1/Q17-1/P17) + 4*BA17/((BA17+1)*(BA17+1))*(2*1/Q17*1/P17-1/P17*1/P17)))</f>
        <v>0.1325929063794381</v>
      </c>
      <c r="P17">
        <f t="shared" ref="P17:P29" si="8">IF(LEFT(BB17,1)&lt;&gt;"0",IF(LEFT(BB17,1)="1",3,BC17),$D$5+$E$5*(BT17*BM17/($K$5*1000))+$F$5*(BT17*BM17/($K$5*1000))*MAX(MIN(AZ17,$J$5),$I$5)*MAX(MIN(AZ17,$J$5),$I$5)+$G$5*MAX(MIN(AZ17,$J$5),$I$5)*(BT17*BM17/($K$5*1000))+$H$5*(BT17*BM17/($K$5*1000))*(BT17*BM17/($K$5*1000)))</f>
        <v>2.4297857162982268</v>
      </c>
      <c r="Q17">
        <f t="shared" ref="Q17:Q29" si="9">H17*(1000-(1000*0.61365*EXP(17.502*U17/(240.97+U17))/(BM17+BN17)+BH17)/2)/(1000*0.61365*EXP(17.502*U17/(240.97+U17))/(BM17+BN17)-BH17)</f>
        <v>0.12875962498067661</v>
      </c>
      <c r="R17">
        <f t="shared" ref="R17:R29" si="10">1/((BA17+1)/(O17/1.6)+1/(P17/1.37)) + BA17/((BA17+1)/(O17/1.6) + BA17/(P17/1.37))</f>
        <v>8.0810017017317687E-2</v>
      </c>
      <c r="S17">
        <f t="shared" ref="S17:S29" si="11">(AV17*AY17)</f>
        <v>87.794674333333333</v>
      </c>
      <c r="T17">
        <f t="shared" ref="T17:T29" si="12">(BO17+(S17+2*0.95*0.0000000567*(((BO17+$B$7)+273)^4-(BO17+273)^4)-44100*H17)/(1.84*29.3*P17+8*0.95*0.0000000567*(BO17+273)^3))</f>
        <v>26.24509214737774</v>
      </c>
      <c r="U17">
        <f t="shared" ref="U17:U29" si="13">($C$7*BP17+$D$7*BQ17+$E$7*T17)</f>
        <v>25.656776666666659</v>
      </c>
      <c r="V17">
        <f t="shared" ref="V17:V29" si="14">0.61365*EXP(17.502*U17/(240.97+U17))</f>
        <v>3.3063331956879805</v>
      </c>
      <c r="W17">
        <f t="shared" ref="W17:W29" si="15">(X17/Y17*100)</f>
        <v>67.671341510492809</v>
      </c>
      <c r="X17">
        <f t="shared" ref="X17:X29" si="16">BH17*(BM17+BN17)/1000</f>
        <v>2.2883730477314579</v>
      </c>
      <c r="Y17">
        <f t="shared" ref="Y17:Y29" si="17">0.61365*EXP(17.502*BO17/(240.97+BO17))</f>
        <v>3.3815984679077675</v>
      </c>
      <c r="Z17">
        <f t="shared" ref="Z17:Z29" si="18">(V17-BH17*(BM17+BN17)/1000)</f>
        <v>1.0179601479565226</v>
      </c>
      <c r="AA17">
        <f t="shared" ref="AA17:AA29" si="19">(-H17*44100)</f>
        <v>-58.098898656836411</v>
      </c>
      <c r="AB17">
        <f t="shared" ref="AB17:AB29" si="20">2*29.3*P17*0.92*(BO17-U17)</f>
        <v>49.771401133709865</v>
      </c>
      <c r="AC17">
        <f t="shared" ref="AC17:AC29" si="21">2*0.95*0.0000000567*(((BO17+$B$7)+273)^4-(U17+273)^4)</f>
        <v>4.3698737940979528</v>
      </c>
      <c r="AD17">
        <f t="shared" ref="AD17:AD29" si="22">S17+AC17+AA17+AB17</f>
        <v>83.83705060430475</v>
      </c>
      <c r="AE17">
        <f t="shared" ref="AE17:AE29" si="23">BL17*AS17*(BG17-BF17*(1000-AS17*BI17)/(1000-AS17*BH17))/(100*AZ17)</f>
        <v>12.685782297563303</v>
      </c>
      <c r="AF17">
        <f t="shared" ref="AF17:AF29" si="24">1000*BL17*AS17*(BH17-BI17)/(100*AZ17*(1000-AS17*BH17))</f>
        <v>1.3174353436924358</v>
      </c>
      <c r="AG17">
        <f t="shared" ref="AG17:AG29" si="25">(AH17 - AI17 - BM17*1000/(8.314*(BO17+273.15)) * AK17/BL17 * AJ17) * BL17/(100*AZ17) * (1000 - BI17)/1000</f>
        <v>12.690833969672719</v>
      </c>
      <c r="AH17">
        <v>458.93238351347549</v>
      </c>
      <c r="AI17">
        <v>429.8114545454543</v>
      </c>
      <c r="AJ17">
        <v>7.1521254733766804E-5</v>
      </c>
      <c r="AK17">
        <v>83.929830234139885</v>
      </c>
      <c r="AL17">
        <f t="shared" ref="AL17:AL29" si="26">(AN17 - AM17 + BM17*1000/(8.314*(BO17+273.15)) * AP17/BL17 * AO17) * BL17/(100*AZ17) * 1000/(1000 - AN17)</f>
        <v>1.3153539194707542</v>
      </c>
      <c r="AM17">
        <v>19.474504742400441</v>
      </c>
      <c r="AN17">
        <v>22.36773986448334</v>
      </c>
      <c r="AO17">
        <v>-4.667132833361379E-7</v>
      </c>
      <c r="AP17">
        <v>90.573349035339163</v>
      </c>
      <c r="AQ17">
        <v>0</v>
      </c>
      <c r="AR17">
        <v>0</v>
      </c>
      <c r="AS17">
        <f t="shared" ref="AS17:AS29" si="27">IF(AQ17*$H$13&gt;=AU17,1,(AU17/(AU17-AQ17*$H$13)))</f>
        <v>1</v>
      </c>
      <c r="AT17">
        <f t="shared" ref="AT17:AT29" si="28">(AS17-1)*100</f>
        <v>0</v>
      </c>
      <c r="AU17">
        <f t="shared" ref="AU17:AU29" si="29">MAX(0,($B$13+$C$13*BT17)/(1+$D$13*BT17)*BM17/(BO17+273)*$E$13)</f>
        <v>54217.225198444452</v>
      </c>
      <c r="AV17">
        <f t="shared" ref="AV17:AV29" si="30">$B$11*BU17+$C$11*BV17</f>
        <v>462.07723333333331</v>
      </c>
      <c r="AW17">
        <f t="shared" ref="AW17:AW29" si="31">AV17*AX17</f>
        <v>369.66178666666667</v>
      </c>
      <c r="AX17">
        <f t="shared" ref="AX17:AX29" si="32">($B$11*$D$9+$C$11*$D$9)/($B$11+$C$11)</f>
        <v>0.8</v>
      </c>
      <c r="AY17">
        <f t="shared" ref="AY17:AY29" si="33">($B$11*$K$9+$C$11*$K$9)/($B$11+$C$11)</f>
        <v>0.19</v>
      </c>
      <c r="AZ17">
        <v>9</v>
      </c>
      <c r="BA17">
        <v>1.88</v>
      </c>
      <c r="BB17" t="s">
        <v>336</v>
      </c>
      <c r="BC17">
        <v>2</v>
      </c>
      <c r="BD17" t="b">
        <v>0</v>
      </c>
      <c r="BE17">
        <v>1749560092.849999</v>
      </c>
      <c r="BF17">
        <v>420.20909999999992</v>
      </c>
      <c r="BG17">
        <v>449.99650000000003</v>
      </c>
      <c r="BH17">
        <v>22.37191666666666</v>
      </c>
      <c r="BI17">
        <v>19.474119999999999</v>
      </c>
      <c r="BJ17">
        <v>416.72536666666662</v>
      </c>
      <c r="BK17">
        <v>22.118326666666661</v>
      </c>
      <c r="BL17">
        <v>400.01620000000003</v>
      </c>
      <c r="BM17">
        <v>102.1877333333333</v>
      </c>
      <c r="BN17">
        <v>0.10001794999999999</v>
      </c>
      <c r="BO17">
        <v>26.036726666666659</v>
      </c>
      <c r="BP17">
        <v>25.656776666666659</v>
      </c>
      <c r="BQ17">
        <v>999.9000000000002</v>
      </c>
      <c r="BR17">
        <v>0</v>
      </c>
      <c r="BS17">
        <v>0</v>
      </c>
      <c r="BT17">
        <v>10001.76666666667</v>
      </c>
      <c r="BU17">
        <v>462.07723333333331</v>
      </c>
      <c r="BV17">
        <v>11.2888</v>
      </c>
      <c r="BW17">
        <v>-29.787479999999999</v>
      </c>
      <c r="BX17">
        <v>429.82506666666671</v>
      </c>
      <c r="BY17">
        <v>458.93386666666657</v>
      </c>
      <c r="BZ17">
        <v>2.897796</v>
      </c>
      <c r="CA17">
        <v>449.99650000000003</v>
      </c>
      <c r="CB17">
        <v>19.474119999999999</v>
      </c>
      <c r="CC17">
        <v>2.286134333333333</v>
      </c>
      <c r="CD17">
        <v>1.9900163333333329</v>
      </c>
      <c r="CE17">
        <v>19.579029999999999</v>
      </c>
      <c r="CF17">
        <v>17.365126666666669</v>
      </c>
      <c r="CG17">
        <v>1749544513.0999999</v>
      </c>
      <c r="CH17" t="s">
        <v>337</v>
      </c>
      <c r="CI17">
        <v>1749544513.0999999</v>
      </c>
      <c r="CJ17">
        <v>1749544511.5999999</v>
      </c>
      <c r="CK17">
        <v>2</v>
      </c>
      <c r="CL17">
        <v>-1E-3</v>
      </c>
      <c r="CM17">
        <v>-1E-3</v>
      </c>
      <c r="CN17">
        <v>3.7469999999999999</v>
      </c>
      <c r="CO17">
        <v>0.254</v>
      </c>
      <c r="CP17">
        <v>450</v>
      </c>
      <c r="CQ17">
        <v>19</v>
      </c>
      <c r="CR17">
        <v>0.37</v>
      </c>
      <c r="CS17">
        <v>0.18</v>
      </c>
      <c r="CT17">
        <v>-29.804378048780489</v>
      </c>
      <c r="CU17">
        <v>0.11344390243891481</v>
      </c>
      <c r="CV17">
        <v>4.3730485611327197E-2</v>
      </c>
      <c r="CW17">
        <v>1</v>
      </c>
      <c r="CX17">
        <v>0</v>
      </c>
      <c r="CY17">
        <v>0</v>
      </c>
      <c r="CZ17">
        <v>0</v>
      </c>
      <c r="DA17">
        <v>-1</v>
      </c>
      <c r="DB17">
        <v>2.8986009756097562</v>
      </c>
      <c r="DC17">
        <v>-1.604487804877967E-2</v>
      </c>
      <c r="DD17">
        <v>1.8670033441882191E-3</v>
      </c>
      <c r="DE17">
        <v>1</v>
      </c>
      <c r="DF17">
        <v>2</v>
      </c>
      <c r="DG17">
        <v>2</v>
      </c>
      <c r="DH17" t="s">
        <v>338</v>
      </c>
      <c r="DI17">
        <v>3.0244200000000001</v>
      </c>
      <c r="DJ17">
        <v>2.69116</v>
      </c>
      <c r="DK17">
        <v>9.7089400000000006E-2</v>
      </c>
      <c r="DL17">
        <v>0.10338700000000001</v>
      </c>
      <c r="DM17">
        <v>0.114701</v>
      </c>
      <c r="DN17">
        <v>0.10525</v>
      </c>
      <c r="DO17">
        <v>25160.7</v>
      </c>
      <c r="DP17">
        <v>16963.400000000001</v>
      </c>
      <c r="DQ17">
        <v>26439.7</v>
      </c>
      <c r="DR17">
        <v>17195</v>
      </c>
      <c r="DS17">
        <v>33296.5</v>
      </c>
      <c r="DT17">
        <v>20084.900000000001</v>
      </c>
      <c r="DU17">
        <v>38518.300000000003</v>
      </c>
      <c r="DV17">
        <v>22774.799999999999</v>
      </c>
      <c r="DW17">
        <v>1.79826</v>
      </c>
      <c r="DX17">
        <v>2.2027000000000001</v>
      </c>
      <c r="DY17">
        <v>6.4393900000000004E-2</v>
      </c>
      <c r="DZ17">
        <v>0</v>
      </c>
      <c r="EA17">
        <v>24.601600000000001</v>
      </c>
      <c r="EB17">
        <v>999.9</v>
      </c>
      <c r="EC17">
        <v>53.9</v>
      </c>
      <c r="ED17">
        <v>31.3</v>
      </c>
      <c r="EE17">
        <v>24.204799999999999</v>
      </c>
      <c r="EF17">
        <v>62.849200000000003</v>
      </c>
      <c r="EG17">
        <v>35.853400000000001</v>
      </c>
      <c r="EH17">
        <v>1</v>
      </c>
      <c r="EI17">
        <v>3.5499999999999997E-2</v>
      </c>
      <c r="EJ17">
        <v>-0.25622200000000001</v>
      </c>
      <c r="EK17">
        <v>20.3432</v>
      </c>
      <c r="EL17">
        <v>5.2528699999999997</v>
      </c>
      <c r="EM17">
        <v>11.962</v>
      </c>
      <c r="EN17">
        <v>4.9897999999999998</v>
      </c>
      <c r="EO17">
        <v>3.29182</v>
      </c>
      <c r="EP17">
        <v>9999</v>
      </c>
      <c r="EQ17">
        <v>9999</v>
      </c>
      <c r="ER17">
        <v>9999</v>
      </c>
      <c r="ES17">
        <v>999.9</v>
      </c>
      <c r="ET17">
        <v>4.9726699999999999</v>
      </c>
      <c r="EU17">
        <v>1.8719300000000001</v>
      </c>
      <c r="EV17">
        <v>1.87212</v>
      </c>
      <c r="EW17">
        <v>1.8771500000000001</v>
      </c>
      <c r="EX17">
        <v>1.87134</v>
      </c>
      <c r="EY17">
        <v>1.8721000000000001</v>
      </c>
      <c r="EZ17">
        <v>1.8717900000000001</v>
      </c>
      <c r="FA17">
        <v>1.8686</v>
      </c>
      <c r="FB17">
        <v>0</v>
      </c>
      <c r="FC17">
        <v>0</v>
      </c>
      <c r="FD17">
        <v>0</v>
      </c>
      <c r="FE17">
        <v>0</v>
      </c>
      <c r="FF17" t="s">
        <v>339</v>
      </c>
      <c r="FG17" t="s">
        <v>340</v>
      </c>
      <c r="FH17" t="s">
        <v>341</v>
      </c>
      <c r="FI17" t="s">
        <v>341</v>
      </c>
      <c r="FJ17" t="s">
        <v>341</v>
      </c>
      <c r="FK17" t="s">
        <v>341</v>
      </c>
      <c r="FL17">
        <v>0</v>
      </c>
      <c r="FM17">
        <v>100</v>
      </c>
      <c r="FN17">
        <v>100</v>
      </c>
      <c r="FO17">
        <v>3.484</v>
      </c>
      <c r="FP17">
        <v>0.2535</v>
      </c>
      <c r="FQ17">
        <v>2.4079072826054929E-2</v>
      </c>
      <c r="FR17">
        <v>7.6898218637449396E-3</v>
      </c>
      <c r="FS17">
        <v>1.5097418776848419E-6</v>
      </c>
      <c r="FT17">
        <v>-9.8458676114205118E-11</v>
      </c>
      <c r="FU17">
        <v>0.25358499999999401</v>
      </c>
      <c r="FV17">
        <v>0</v>
      </c>
      <c r="FW17">
        <v>0</v>
      </c>
      <c r="FX17">
        <v>0</v>
      </c>
      <c r="FY17">
        <v>3</v>
      </c>
      <c r="FZ17">
        <v>2164</v>
      </c>
      <c r="GA17">
        <v>-1</v>
      </c>
      <c r="GB17">
        <v>-1</v>
      </c>
      <c r="GC17">
        <v>259.8</v>
      </c>
      <c r="GD17">
        <v>259.8</v>
      </c>
      <c r="GE17">
        <v>1.10107</v>
      </c>
      <c r="GF17">
        <v>2.6122999999999998</v>
      </c>
      <c r="GG17">
        <v>1.7981</v>
      </c>
      <c r="GH17">
        <v>2.3742700000000001</v>
      </c>
      <c r="GI17">
        <v>1.5979000000000001</v>
      </c>
      <c r="GJ17">
        <v>2.5280800000000001</v>
      </c>
      <c r="GK17">
        <v>34.554900000000004</v>
      </c>
      <c r="GL17">
        <v>24.1663</v>
      </c>
      <c r="GM17">
        <v>18</v>
      </c>
      <c r="GN17">
        <v>364.32299999999998</v>
      </c>
      <c r="GO17">
        <v>682.03800000000001</v>
      </c>
      <c r="GP17">
        <v>25.83</v>
      </c>
      <c r="GQ17">
        <v>27.512899999999998</v>
      </c>
      <c r="GR17">
        <v>30.0001</v>
      </c>
      <c r="GS17">
        <v>27.479900000000001</v>
      </c>
      <c r="GT17">
        <v>27.502500000000001</v>
      </c>
      <c r="GU17">
        <v>21.991299999999999</v>
      </c>
      <c r="GV17">
        <v>25.9711</v>
      </c>
      <c r="GW17">
        <v>5.0211800000000002</v>
      </c>
      <c r="GX17">
        <v>25.83</v>
      </c>
      <c r="GY17">
        <v>450</v>
      </c>
      <c r="GZ17">
        <v>19.5</v>
      </c>
      <c r="HA17">
        <v>100.47199999999999</v>
      </c>
      <c r="HB17">
        <v>71.103899999999996</v>
      </c>
    </row>
    <row r="18" spans="1:210" x14ac:dyDescent="0.3">
      <c r="A18">
        <v>2</v>
      </c>
      <c r="B18">
        <v>1749560281.0999999</v>
      </c>
      <c r="C18">
        <v>180.5</v>
      </c>
      <c r="D18" t="s">
        <v>342</v>
      </c>
      <c r="E18" t="s">
        <v>343</v>
      </c>
      <c r="F18">
        <v>15</v>
      </c>
      <c r="G18">
        <v>1749560273.349999</v>
      </c>
      <c r="H18">
        <f t="shared" si="0"/>
        <v>1.3088214796162681E-3</v>
      </c>
      <c r="I18">
        <f t="shared" si="1"/>
        <v>1.308821479616268</v>
      </c>
      <c r="J18">
        <f t="shared" si="2"/>
        <v>8.0212489731198495</v>
      </c>
      <c r="K18">
        <f t="shared" si="3"/>
        <v>281.11993333333328</v>
      </c>
      <c r="L18">
        <f t="shared" si="4"/>
        <v>176.61163400426267</v>
      </c>
      <c r="M18">
        <f t="shared" si="5"/>
        <v>18.064642715736877</v>
      </c>
      <c r="N18">
        <f t="shared" si="6"/>
        <v>28.754227798016213</v>
      </c>
      <c r="O18">
        <f t="shared" si="7"/>
        <v>0.13058936189265902</v>
      </c>
      <c r="P18">
        <f t="shared" si="8"/>
        <v>2.4294034680875338</v>
      </c>
      <c r="Q18">
        <f t="shared" si="9"/>
        <v>0.12686874813697332</v>
      </c>
      <c r="R18">
        <f t="shared" si="10"/>
        <v>7.9618494226326247E-2</v>
      </c>
      <c r="S18">
        <f t="shared" si="11"/>
        <v>87.793185999999992</v>
      </c>
      <c r="T18">
        <f t="shared" si="12"/>
        <v>26.256729454677576</v>
      </c>
      <c r="U18">
        <f t="shared" si="13"/>
        <v>25.678909999999998</v>
      </c>
      <c r="V18">
        <f t="shared" si="14"/>
        <v>3.3106771541380642</v>
      </c>
      <c r="W18">
        <f t="shared" si="15"/>
        <v>67.516150269623637</v>
      </c>
      <c r="X18">
        <f t="shared" si="16"/>
        <v>2.2843346456997446</v>
      </c>
      <c r="Y18">
        <f t="shared" si="17"/>
        <v>3.3833899542218053</v>
      </c>
      <c r="Z18">
        <f t="shared" si="18"/>
        <v>1.0263425084383195</v>
      </c>
      <c r="AA18">
        <f t="shared" si="19"/>
        <v>-57.719027251077421</v>
      </c>
      <c r="AB18">
        <f t="shared" si="20"/>
        <v>48.037333896206263</v>
      </c>
      <c r="AC18">
        <f t="shared" si="21"/>
        <v>4.2189463366179485</v>
      </c>
      <c r="AD18">
        <f t="shared" si="22"/>
        <v>82.330438981746781</v>
      </c>
      <c r="AE18">
        <f t="shared" si="23"/>
        <v>8.0212489731198495</v>
      </c>
      <c r="AF18">
        <f t="shared" si="24"/>
        <v>1.308821479616268</v>
      </c>
      <c r="AG18">
        <f t="shared" si="25"/>
        <v>8.0330185816001212</v>
      </c>
      <c r="AH18">
        <v>305.95339928624333</v>
      </c>
      <c r="AI18">
        <v>287.52131515151513</v>
      </c>
      <c r="AJ18">
        <v>1.6048345290906489E-5</v>
      </c>
      <c r="AK18">
        <v>83.929830234139885</v>
      </c>
      <c r="AL18">
        <f t="shared" si="26"/>
        <v>1.3111188053954255</v>
      </c>
      <c r="AM18">
        <v>19.451221267783311</v>
      </c>
      <c r="AN18">
        <v>22.33520293619425</v>
      </c>
      <c r="AO18">
        <v>-1.242070781467755E-7</v>
      </c>
      <c r="AP18">
        <v>90.573349035339163</v>
      </c>
      <c r="AQ18">
        <v>0</v>
      </c>
      <c r="AR18">
        <v>0</v>
      </c>
      <c r="AS18">
        <f t="shared" si="27"/>
        <v>1</v>
      </c>
      <c r="AT18">
        <f t="shared" si="28"/>
        <v>0</v>
      </c>
      <c r="AU18">
        <f t="shared" si="29"/>
        <v>54202.657768760619</v>
      </c>
      <c r="AV18">
        <f t="shared" si="30"/>
        <v>462.06939999999997</v>
      </c>
      <c r="AW18">
        <f t="shared" si="31"/>
        <v>369.65552000000002</v>
      </c>
      <c r="AX18">
        <f t="shared" si="32"/>
        <v>0.8</v>
      </c>
      <c r="AY18">
        <f t="shared" si="33"/>
        <v>0.19</v>
      </c>
      <c r="AZ18">
        <v>9</v>
      </c>
      <c r="BA18">
        <v>1.88</v>
      </c>
      <c r="BB18" t="s">
        <v>336</v>
      </c>
      <c r="BC18">
        <v>2</v>
      </c>
      <c r="BD18" t="b">
        <v>0</v>
      </c>
      <c r="BE18">
        <v>1749560273.349999</v>
      </c>
      <c r="BF18">
        <v>281.11993333333328</v>
      </c>
      <c r="BG18">
        <v>299.9946333333333</v>
      </c>
      <c r="BH18">
        <v>22.333133333333329</v>
      </c>
      <c r="BI18">
        <v>19.4542</v>
      </c>
      <c r="BJ18">
        <v>278.83629999999988</v>
      </c>
      <c r="BK18">
        <v>22.079546666666669</v>
      </c>
      <c r="BL18">
        <v>400.02046666666672</v>
      </c>
      <c r="BM18">
        <v>102.1845666666667</v>
      </c>
      <c r="BN18">
        <v>9.9990166666666672E-2</v>
      </c>
      <c r="BO18">
        <v>26.045680000000001</v>
      </c>
      <c r="BP18">
        <v>25.678909999999998</v>
      </c>
      <c r="BQ18">
        <v>999.9000000000002</v>
      </c>
      <c r="BR18">
        <v>0</v>
      </c>
      <c r="BS18">
        <v>0</v>
      </c>
      <c r="BT18">
        <v>9999.6</v>
      </c>
      <c r="BU18">
        <v>462.06939999999997</v>
      </c>
      <c r="BV18">
        <v>11.2888</v>
      </c>
      <c r="BW18">
        <v>-18.8748</v>
      </c>
      <c r="BX18">
        <v>287.54169999999988</v>
      </c>
      <c r="BY18">
        <v>305.94656666666668</v>
      </c>
      <c r="BZ18">
        <v>2.8789316666666669</v>
      </c>
      <c r="CA18">
        <v>299.9946333333333</v>
      </c>
      <c r="CB18">
        <v>19.4542</v>
      </c>
      <c r="CC18">
        <v>2.2821026666666668</v>
      </c>
      <c r="CD18">
        <v>1.987921333333333</v>
      </c>
      <c r="CE18">
        <v>19.55063333333333</v>
      </c>
      <c r="CF18">
        <v>17.34845</v>
      </c>
      <c r="CG18">
        <v>1749544513.0999999</v>
      </c>
      <c r="CH18" t="s">
        <v>337</v>
      </c>
      <c r="CI18">
        <v>1749544513.0999999</v>
      </c>
      <c r="CJ18">
        <v>1749544511.5999999</v>
      </c>
      <c r="CK18">
        <v>2</v>
      </c>
      <c r="CL18">
        <v>-1E-3</v>
      </c>
      <c r="CM18">
        <v>-1E-3</v>
      </c>
      <c r="CN18">
        <v>3.7469999999999999</v>
      </c>
      <c r="CO18">
        <v>0.254</v>
      </c>
      <c r="CP18">
        <v>450</v>
      </c>
      <c r="CQ18">
        <v>19</v>
      </c>
      <c r="CR18">
        <v>0.37</v>
      </c>
      <c r="CS18">
        <v>0.18</v>
      </c>
      <c r="CT18">
        <v>-18.865365853658531</v>
      </c>
      <c r="CU18">
        <v>-0.28474285714291647</v>
      </c>
      <c r="CV18">
        <v>3.3704907435666821E-2</v>
      </c>
      <c r="CW18">
        <v>1</v>
      </c>
      <c r="CX18">
        <v>0</v>
      </c>
      <c r="CY18">
        <v>0</v>
      </c>
      <c r="CZ18">
        <v>0</v>
      </c>
      <c r="DA18">
        <v>-1</v>
      </c>
      <c r="DB18">
        <v>2.8761456097560978</v>
      </c>
      <c r="DC18">
        <v>6.3184808362368602E-2</v>
      </c>
      <c r="DD18">
        <v>6.5292721922052249E-3</v>
      </c>
      <c r="DE18">
        <v>1</v>
      </c>
      <c r="DF18">
        <v>2</v>
      </c>
      <c r="DG18">
        <v>2</v>
      </c>
      <c r="DH18" t="s">
        <v>338</v>
      </c>
      <c r="DI18">
        <v>3.0243000000000002</v>
      </c>
      <c r="DJ18">
        <v>2.6913100000000001</v>
      </c>
      <c r="DK18">
        <v>7.06619E-2</v>
      </c>
      <c r="DL18">
        <v>7.5413400000000005E-2</v>
      </c>
      <c r="DM18">
        <v>0.114578</v>
      </c>
      <c r="DN18">
        <v>0.105157</v>
      </c>
      <c r="DO18">
        <v>25896.9</v>
      </c>
      <c r="DP18">
        <v>17492.7</v>
      </c>
      <c r="DQ18">
        <v>26439.5</v>
      </c>
      <c r="DR18">
        <v>17195.099999999999</v>
      </c>
      <c r="DS18">
        <v>33300.5</v>
      </c>
      <c r="DT18">
        <v>20087.3</v>
      </c>
      <c r="DU18">
        <v>38518.199999999997</v>
      </c>
      <c r="DV18">
        <v>22775.7</v>
      </c>
      <c r="DW18">
        <v>1.79826</v>
      </c>
      <c r="DX18">
        <v>2.202</v>
      </c>
      <c r="DY18">
        <v>6.3830600000000001E-2</v>
      </c>
      <c r="DZ18">
        <v>0</v>
      </c>
      <c r="EA18">
        <v>24.622299999999999</v>
      </c>
      <c r="EB18">
        <v>999.9</v>
      </c>
      <c r="EC18">
        <v>53.7</v>
      </c>
      <c r="ED18">
        <v>31.3</v>
      </c>
      <c r="EE18">
        <v>24.1172</v>
      </c>
      <c r="EF18">
        <v>62.869300000000003</v>
      </c>
      <c r="EG18">
        <v>36.049700000000001</v>
      </c>
      <c r="EH18">
        <v>1</v>
      </c>
      <c r="EI18">
        <v>3.52378E-2</v>
      </c>
      <c r="EJ18">
        <v>-0.25350800000000001</v>
      </c>
      <c r="EK18">
        <v>20.3432</v>
      </c>
      <c r="EL18">
        <v>5.2520300000000004</v>
      </c>
      <c r="EM18">
        <v>11.962</v>
      </c>
      <c r="EN18">
        <v>4.9896000000000003</v>
      </c>
      <c r="EO18">
        <v>3.2916599999999998</v>
      </c>
      <c r="EP18">
        <v>9999</v>
      </c>
      <c r="EQ18">
        <v>9999</v>
      </c>
      <c r="ER18">
        <v>9999</v>
      </c>
      <c r="ES18">
        <v>999.9</v>
      </c>
      <c r="ET18">
        <v>4.9726499999999998</v>
      </c>
      <c r="EU18">
        <v>1.8719300000000001</v>
      </c>
      <c r="EV18">
        <v>1.8721099999999999</v>
      </c>
      <c r="EW18">
        <v>1.8771599999999999</v>
      </c>
      <c r="EX18">
        <v>1.87134</v>
      </c>
      <c r="EY18">
        <v>1.8721300000000001</v>
      </c>
      <c r="EZ18">
        <v>1.8717999999999999</v>
      </c>
      <c r="FA18">
        <v>1.8686100000000001</v>
      </c>
      <c r="FB18">
        <v>0</v>
      </c>
      <c r="FC18">
        <v>0</v>
      </c>
      <c r="FD18">
        <v>0</v>
      </c>
      <c r="FE18">
        <v>0</v>
      </c>
      <c r="FF18" t="s">
        <v>339</v>
      </c>
      <c r="FG18" t="s">
        <v>340</v>
      </c>
      <c r="FH18" t="s">
        <v>341</v>
      </c>
      <c r="FI18" t="s">
        <v>341</v>
      </c>
      <c r="FJ18" t="s">
        <v>341</v>
      </c>
      <c r="FK18" t="s">
        <v>341</v>
      </c>
      <c r="FL18">
        <v>0</v>
      </c>
      <c r="FM18">
        <v>100</v>
      </c>
      <c r="FN18">
        <v>100</v>
      </c>
      <c r="FO18">
        <v>2.2839999999999998</v>
      </c>
      <c r="FP18">
        <v>0.25359999999999999</v>
      </c>
      <c r="FQ18">
        <v>2.4079072826054929E-2</v>
      </c>
      <c r="FR18">
        <v>7.6898218637449396E-3</v>
      </c>
      <c r="FS18">
        <v>1.5097418776848419E-6</v>
      </c>
      <c r="FT18">
        <v>-9.8458676114205118E-11</v>
      </c>
      <c r="FU18">
        <v>0.25358499999999401</v>
      </c>
      <c r="FV18">
        <v>0</v>
      </c>
      <c r="FW18">
        <v>0</v>
      </c>
      <c r="FX18">
        <v>0</v>
      </c>
      <c r="FY18">
        <v>3</v>
      </c>
      <c r="FZ18">
        <v>2164</v>
      </c>
      <c r="GA18">
        <v>-1</v>
      </c>
      <c r="GB18">
        <v>-1</v>
      </c>
      <c r="GC18">
        <v>262.8</v>
      </c>
      <c r="GD18">
        <v>262.8</v>
      </c>
      <c r="GE18">
        <v>0.79834000000000005</v>
      </c>
      <c r="GF18">
        <v>2.6403799999999999</v>
      </c>
      <c r="GG18">
        <v>1.79932</v>
      </c>
      <c r="GH18">
        <v>2.3742700000000001</v>
      </c>
      <c r="GI18">
        <v>1.5979000000000001</v>
      </c>
      <c r="GJ18">
        <v>2.3986800000000001</v>
      </c>
      <c r="GK18">
        <v>34.5777</v>
      </c>
      <c r="GL18">
        <v>24.157499999999999</v>
      </c>
      <c r="GM18">
        <v>18</v>
      </c>
      <c r="GN18">
        <v>364.29300000000001</v>
      </c>
      <c r="GO18">
        <v>681.33199999999999</v>
      </c>
      <c r="GP18">
        <v>25.829899999999999</v>
      </c>
      <c r="GQ18">
        <v>27.508199999999999</v>
      </c>
      <c r="GR18">
        <v>30.0001</v>
      </c>
      <c r="GS18">
        <v>27.475300000000001</v>
      </c>
      <c r="GT18">
        <v>27.4954</v>
      </c>
      <c r="GU18">
        <v>15.937799999999999</v>
      </c>
      <c r="GV18">
        <v>25.691400000000002</v>
      </c>
      <c r="GW18">
        <v>4.2793700000000001</v>
      </c>
      <c r="GX18">
        <v>25.83</v>
      </c>
      <c r="GY18">
        <v>300</v>
      </c>
      <c r="GZ18">
        <v>19.5</v>
      </c>
      <c r="HA18">
        <v>100.471</v>
      </c>
      <c r="HB18">
        <v>71.105599999999995</v>
      </c>
    </row>
    <row r="19" spans="1:210" x14ac:dyDescent="0.3">
      <c r="A19">
        <v>3</v>
      </c>
      <c r="B19">
        <v>1749560461.5999999</v>
      </c>
      <c r="C19">
        <v>361</v>
      </c>
      <c r="D19" t="s">
        <v>344</v>
      </c>
      <c r="E19" t="s">
        <v>345</v>
      </c>
      <c r="F19">
        <v>15</v>
      </c>
      <c r="G19">
        <v>1749560453.849999</v>
      </c>
      <c r="H19">
        <f t="shared" si="0"/>
        <v>1.348305869407223E-3</v>
      </c>
      <c r="I19">
        <f t="shared" si="1"/>
        <v>1.348305869407223</v>
      </c>
      <c r="J19">
        <f t="shared" si="2"/>
        <v>4.764680646449313</v>
      </c>
      <c r="K19">
        <f t="shared" si="3"/>
        <v>188.70306666666659</v>
      </c>
      <c r="L19">
        <f t="shared" si="4"/>
        <v>128.94909079257792</v>
      </c>
      <c r="M19">
        <f t="shared" si="5"/>
        <v>13.189352534828631</v>
      </c>
      <c r="N19">
        <f t="shared" si="6"/>
        <v>19.301192861246527</v>
      </c>
      <c r="O19">
        <f t="shared" si="7"/>
        <v>0.13682350534342105</v>
      </c>
      <c r="P19">
        <f t="shared" si="8"/>
        <v>2.4294321510466119</v>
      </c>
      <c r="Q19">
        <f t="shared" si="9"/>
        <v>0.1327451483801376</v>
      </c>
      <c r="R19">
        <f t="shared" si="10"/>
        <v>8.3322100459165993E-2</v>
      </c>
      <c r="S19">
        <f t="shared" si="11"/>
        <v>87.794465333333335</v>
      </c>
      <c r="T19">
        <f t="shared" si="12"/>
        <v>26.253615269394164</v>
      </c>
      <c r="U19">
        <f t="shared" si="13"/>
        <v>25.685406666666669</v>
      </c>
      <c r="V19">
        <f t="shared" si="14"/>
        <v>3.3119531567003877</v>
      </c>
      <c r="W19">
        <f t="shared" si="15"/>
        <v>67.988622388910741</v>
      </c>
      <c r="X19">
        <f t="shared" si="16"/>
        <v>2.3015587566922071</v>
      </c>
      <c r="Y19">
        <f t="shared" si="17"/>
        <v>3.3852116366276044</v>
      </c>
      <c r="Z19">
        <f t="shared" si="18"/>
        <v>1.0103944000081806</v>
      </c>
      <c r="AA19">
        <f t="shared" si="19"/>
        <v>-59.460288840858539</v>
      </c>
      <c r="AB19">
        <f t="shared" si="20"/>
        <v>48.378874058166659</v>
      </c>
      <c r="AC19">
        <f t="shared" si="21"/>
        <v>4.2492250517896775</v>
      </c>
      <c r="AD19">
        <f t="shared" si="22"/>
        <v>80.962275602431134</v>
      </c>
      <c r="AE19">
        <f t="shared" si="23"/>
        <v>4.764680646449313</v>
      </c>
      <c r="AF19">
        <f t="shared" si="24"/>
        <v>1.348305869407223</v>
      </c>
      <c r="AG19">
        <f t="shared" si="25"/>
        <v>4.7619275798075131</v>
      </c>
      <c r="AH19">
        <v>203.98113523352981</v>
      </c>
      <c r="AI19">
        <v>193.05451515151509</v>
      </c>
      <c r="AJ19">
        <v>-1.3654956161785199E-4</v>
      </c>
      <c r="AK19">
        <v>83.929830234139885</v>
      </c>
      <c r="AL19">
        <f t="shared" si="26"/>
        <v>1.3523962285356037</v>
      </c>
      <c r="AM19">
        <v>19.535526014122912</v>
      </c>
      <c r="AN19">
        <v>22.509910446075668</v>
      </c>
      <c r="AO19">
        <v>3.9642042505948072E-7</v>
      </c>
      <c r="AP19">
        <v>90.573349035339163</v>
      </c>
      <c r="AQ19">
        <v>0</v>
      </c>
      <c r="AR19">
        <v>0</v>
      </c>
      <c r="AS19">
        <f t="shared" si="27"/>
        <v>1</v>
      </c>
      <c r="AT19">
        <f t="shared" si="28"/>
        <v>0</v>
      </c>
      <c r="AU19">
        <f t="shared" si="29"/>
        <v>54201.949221796152</v>
      </c>
      <c r="AV19">
        <f t="shared" si="30"/>
        <v>462.0761333333333</v>
      </c>
      <c r="AW19">
        <f t="shared" si="31"/>
        <v>369.66090666666668</v>
      </c>
      <c r="AX19">
        <f t="shared" si="32"/>
        <v>0.8</v>
      </c>
      <c r="AY19">
        <f t="shared" si="33"/>
        <v>0.19</v>
      </c>
      <c r="AZ19">
        <v>9</v>
      </c>
      <c r="BA19">
        <v>1.88</v>
      </c>
      <c r="BB19" t="s">
        <v>336</v>
      </c>
      <c r="BC19">
        <v>2</v>
      </c>
      <c r="BD19" t="b">
        <v>0</v>
      </c>
      <c r="BE19">
        <v>1749560453.849999</v>
      </c>
      <c r="BF19">
        <v>188.70306666666659</v>
      </c>
      <c r="BG19">
        <v>199.99603333333329</v>
      </c>
      <c r="BH19">
        <v>22.50178</v>
      </c>
      <c r="BI19">
        <v>19.53636333333333</v>
      </c>
      <c r="BJ19">
        <v>187.18726666666669</v>
      </c>
      <c r="BK19">
        <v>22.248196666666662</v>
      </c>
      <c r="BL19">
        <v>400.00110000000012</v>
      </c>
      <c r="BM19">
        <v>102.18340000000001</v>
      </c>
      <c r="BN19">
        <v>0.1000085433333333</v>
      </c>
      <c r="BO19">
        <v>26.054780000000001</v>
      </c>
      <c r="BP19">
        <v>25.685406666666669</v>
      </c>
      <c r="BQ19">
        <v>999.9000000000002</v>
      </c>
      <c r="BR19">
        <v>0</v>
      </c>
      <c r="BS19">
        <v>0</v>
      </c>
      <c r="BT19">
        <v>9999.9</v>
      </c>
      <c r="BU19">
        <v>462.0761333333333</v>
      </c>
      <c r="BV19">
        <v>11.2888</v>
      </c>
      <c r="BW19">
        <v>-11.29296333333334</v>
      </c>
      <c r="BX19">
        <v>193.04696666666669</v>
      </c>
      <c r="BY19">
        <v>203.9811</v>
      </c>
      <c r="BZ19">
        <v>2.9654229999999999</v>
      </c>
      <c r="CA19">
        <v>199.99603333333329</v>
      </c>
      <c r="CB19">
        <v>19.53636333333333</v>
      </c>
      <c r="CC19">
        <v>2.2993070000000002</v>
      </c>
      <c r="CD19">
        <v>1.9962903333333331</v>
      </c>
      <c r="CE19">
        <v>19.671543333333339</v>
      </c>
      <c r="CF19">
        <v>17.41494333333333</v>
      </c>
      <c r="CG19">
        <v>1749544513.0999999</v>
      </c>
      <c r="CH19" t="s">
        <v>337</v>
      </c>
      <c r="CI19">
        <v>1749544513.0999999</v>
      </c>
      <c r="CJ19">
        <v>1749544511.5999999</v>
      </c>
      <c r="CK19">
        <v>2</v>
      </c>
      <c r="CL19">
        <v>-1E-3</v>
      </c>
      <c r="CM19">
        <v>-1E-3</v>
      </c>
      <c r="CN19">
        <v>3.7469999999999999</v>
      </c>
      <c r="CO19">
        <v>0.254</v>
      </c>
      <c r="CP19">
        <v>450</v>
      </c>
      <c r="CQ19">
        <v>19</v>
      </c>
      <c r="CR19">
        <v>0.37</v>
      </c>
      <c r="CS19">
        <v>0.18</v>
      </c>
      <c r="CT19">
        <v>-11.274497500000001</v>
      </c>
      <c r="CU19">
        <v>-0.30246641651028272</v>
      </c>
      <c r="CV19">
        <v>4.5200500481189287E-2</v>
      </c>
      <c r="CW19">
        <v>1</v>
      </c>
      <c r="CX19">
        <v>0</v>
      </c>
      <c r="CY19">
        <v>0</v>
      </c>
      <c r="CZ19">
        <v>0</v>
      </c>
      <c r="DA19">
        <v>-1</v>
      </c>
      <c r="DB19">
        <v>2.9631197500000002</v>
      </c>
      <c r="DC19">
        <v>4.4064652908072571E-2</v>
      </c>
      <c r="DD19">
        <v>4.5188214655482919E-3</v>
      </c>
      <c r="DE19">
        <v>1</v>
      </c>
      <c r="DF19">
        <v>2</v>
      </c>
      <c r="DG19">
        <v>2</v>
      </c>
      <c r="DH19" t="s">
        <v>338</v>
      </c>
      <c r="DI19">
        <v>3.0245299999999999</v>
      </c>
      <c r="DJ19">
        <v>2.6914500000000001</v>
      </c>
      <c r="DK19">
        <v>5.01179E-2</v>
      </c>
      <c r="DL19">
        <v>5.3404399999999998E-2</v>
      </c>
      <c r="DM19">
        <v>0.11520900000000001</v>
      </c>
      <c r="DN19">
        <v>0.105494</v>
      </c>
      <c r="DO19">
        <v>26468.799999999999</v>
      </c>
      <c r="DP19">
        <v>17909.3</v>
      </c>
      <c r="DQ19">
        <v>26439</v>
      </c>
      <c r="DR19">
        <v>17195.3</v>
      </c>
      <c r="DS19">
        <v>33275.599999999999</v>
      </c>
      <c r="DT19">
        <v>20079.400000000001</v>
      </c>
      <c r="DU19">
        <v>38518.1</v>
      </c>
      <c r="DV19">
        <v>22775.7</v>
      </c>
      <c r="DW19">
        <v>1.7984599999999999</v>
      </c>
      <c r="DX19">
        <v>2.2016200000000001</v>
      </c>
      <c r="DY19">
        <v>6.3532599999999995E-2</v>
      </c>
      <c r="DZ19">
        <v>0</v>
      </c>
      <c r="EA19">
        <v>24.643000000000001</v>
      </c>
      <c r="EB19">
        <v>999.9</v>
      </c>
      <c r="EC19">
        <v>53.6</v>
      </c>
      <c r="ED19">
        <v>31.4</v>
      </c>
      <c r="EE19">
        <v>24.207100000000001</v>
      </c>
      <c r="EF19">
        <v>62.959299999999999</v>
      </c>
      <c r="EG19">
        <v>35.861400000000003</v>
      </c>
      <c r="EH19">
        <v>1</v>
      </c>
      <c r="EI19">
        <v>3.5166700000000002E-2</v>
      </c>
      <c r="EJ19">
        <v>-0.24222199999999999</v>
      </c>
      <c r="EK19">
        <v>20.343299999999999</v>
      </c>
      <c r="EL19">
        <v>5.2483199999999997</v>
      </c>
      <c r="EM19">
        <v>11.962</v>
      </c>
      <c r="EN19">
        <v>4.9897600000000004</v>
      </c>
      <c r="EO19">
        <v>3.29182</v>
      </c>
      <c r="EP19">
        <v>9999</v>
      </c>
      <c r="EQ19">
        <v>9999</v>
      </c>
      <c r="ER19">
        <v>9999</v>
      </c>
      <c r="ES19">
        <v>999.9</v>
      </c>
      <c r="ET19">
        <v>4.9726600000000003</v>
      </c>
      <c r="EU19">
        <v>1.8719399999999999</v>
      </c>
      <c r="EV19">
        <v>1.8721099999999999</v>
      </c>
      <c r="EW19">
        <v>1.8771599999999999</v>
      </c>
      <c r="EX19">
        <v>1.87134</v>
      </c>
      <c r="EY19">
        <v>1.87212</v>
      </c>
      <c r="EZ19">
        <v>1.8717900000000001</v>
      </c>
      <c r="FA19">
        <v>1.86863</v>
      </c>
      <c r="FB19">
        <v>0</v>
      </c>
      <c r="FC19">
        <v>0</v>
      </c>
      <c r="FD19">
        <v>0</v>
      </c>
      <c r="FE19">
        <v>0</v>
      </c>
      <c r="FF19" t="s">
        <v>339</v>
      </c>
      <c r="FG19" t="s">
        <v>340</v>
      </c>
      <c r="FH19" t="s">
        <v>341</v>
      </c>
      <c r="FI19" t="s">
        <v>341</v>
      </c>
      <c r="FJ19" t="s">
        <v>341</v>
      </c>
      <c r="FK19" t="s">
        <v>341</v>
      </c>
      <c r="FL19">
        <v>0</v>
      </c>
      <c r="FM19">
        <v>100</v>
      </c>
      <c r="FN19">
        <v>100</v>
      </c>
      <c r="FO19">
        <v>1.516</v>
      </c>
      <c r="FP19">
        <v>0.25359999999999999</v>
      </c>
      <c r="FQ19">
        <v>2.4079072826054929E-2</v>
      </c>
      <c r="FR19">
        <v>7.6898218637449396E-3</v>
      </c>
      <c r="FS19">
        <v>1.5097418776848419E-6</v>
      </c>
      <c r="FT19">
        <v>-9.8458676114205118E-11</v>
      </c>
      <c r="FU19">
        <v>0.25358499999999401</v>
      </c>
      <c r="FV19">
        <v>0</v>
      </c>
      <c r="FW19">
        <v>0</v>
      </c>
      <c r="FX19">
        <v>0</v>
      </c>
      <c r="FY19">
        <v>3</v>
      </c>
      <c r="FZ19">
        <v>2164</v>
      </c>
      <c r="GA19">
        <v>-1</v>
      </c>
      <c r="GB19">
        <v>-1</v>
      </c>
      <c r="GC19">
        <v>265.8</v>
      </c>
      <c r="GD19">
        <v>265.8</v>
      </c>
      <c r="GE19">
        <v>0.58593799999999996</v>
      </c>
      <c r="GF19">
        <v>2.6293899999999999</v>
      </c>
      <c r="GG19">
        <v>1.7981</v>
      </c>
      <c r="GH19">
        <v>2.3742700000000001</v>
      </c>
      <c r="GI19">
        <v>1.5979000000000001</v>
      </c>
      <c r="GJ19">
        <v>2.50244</v>
      </c>
      <c r="GK19">
        <v>34.6006</v>
      </c>
      <c r="GL19">
        <v>24.157499999999999</v>
      </c>
      <c r="GM19">
        <v>18</v>
      </c>
      <c r="GN19">
        <v>364.38</v>
      </c>
      <c r="GO19">
        <v>680.96799999999996</v>
      </c>
      <c r="GP19">
        <v>25.83</v>
      </c>
      <c r="GQ19">
        <v>27.5106</v>
      </c>
      <c r="GR19">
        <v>30.0001</v>
      </c>
      <c r="GS19">
        <v>27.472999999999999</v>
      </c>
      <c r="GT19">
        <v>27.493099999999998</v>
      </c>
      <c r="GU19">
        <v>11.6822</v>
      </c>
      <c r="GV19">
        <v>25.409800000000001</v>
      </c>
      <c r="GW19">
        <v>3.5333199999999998</v>
      </c>
      <c r="GX19">
        <v>25.83</v>
      </c>
      <c r="GY19">
        <v>200</v>
      </c>
      <c r="GZ19">
        <v>19.5</v>
      </c>
      <c r="HA19">
        <v>100.47</v>
      </c>
      <c r="HB19">
        <v>71.106099999999998</v>
      </c>
    </row>
    <row r="20" spans="1:210" x14ac:dyDescent="0.3">
      <c r="A20">
        <v>4</v>
      </c>
      <c r="B20">
        <v>1749560642.0999999</v>
      </c>
      <c r="C20">
        <v>541.5</v>
      </c>
      <c r="D20" t="s">
        <v>346</v>
      </c>
      <c r="E20" t="s">
        <v>347</v>
      </c>
      <c r="F20">
        <v>15</v>
      </c>
      <c r="G20">
        <v>1749560634.349999</v>
      </c>
      <c r="H20">
        <f t="shared" si="0"/>
        <v>1.4217515720476011E-3</v>
      </c>
      <c r="I20">
        <f t="shared" si="1"/>
        <v>1.4217515720476011</v>
      </c>
      <c r="J20">
        <f t="shared" si="2"/>
        <v>2.2292245792123531</v>
      </c>
      <c r="K20">
        <f t="shared" si="3"/>
        <v>119.6149666666667</v>
      </c>
      <c r="L20">
        <f t="shared" si="4"/>
        <v>93.030513904382389</v>
      </c>
      <c r="M20">
        <f t="shared" si="5"/>
        <v>9.5158701610366769</v>
      </c>
      <c r="N20">
        <f t="shared" si="6"/>
        <v>12.235130650644631</v>
      </c>
      <c r="O20">
        <f t="shared" si="7"/>
        <v>0.14732375918082527</v>
      </c>
      <c r="P20">
        <f t="shared" si="8"/>
        <v>2.4294348566328554</v>
      </c>
      <c r="Q20">
        <f t="shared" si="9"/>
        <v>0.14260693474748729</v>
      </c>
      <c r="R20">
        <f t="shared" si="10"/>
        <v>8.9540647070786905E-2</v>
      </c>
      <c r="S20">
        <f t="shared" si="11"/>
        <v>87.803610666666671</v>
      </c>
      <c r="T20">
        <f t="shared" si="12"/>
        <v>26.222567740030303</v>
      </c>
      <c r="U20">
        <f t="shared" si="13"/>
        <v>25.67426</v>
      </c>
      <c r="V20">
        <f t="shared" si="14"/>
        <v>3.3097641168861349</v>
      </c>
      <c r="W20">
        <f t="shared" si="15"/>
        <v>68.509408449490067</v>
      </c>
      <c r="X20">
        <f t="shared" si="16"/>
        <v>2.318038709486077</v>
      </c>
      <c r="Y20">
        <f t="shared" si="17"/>
        <v>3.383533388987146</v>
      </c>
      <c r="Z20">
        <f t="shared" si="18"/>
        <v>0.99172540740005788</v>
      </c>
      <c r="AA20">
        <f t="shared" si="19"/>
        <v>-62.699244327299205</v>
      </c>
      <c r="AB20">
        <f t="shared" si="20"/>
        <v>48.740857431813211</v>
      </c>
      <c r="AC20">
        <f t="shared" si="21"/>
        <v>4.2805945129053882</v>
      </c>
      <c r="AD20">
        <f t="shared" si="22"/>
        <v>78.125818284086051</v>
      </c>
      <c r="AE20">
        <f t="shared" si="23"/>
        <v>2.2292245792123531</v>
      </c>
      <c r="AF20">
        <f t="shared" si="24"/>
        <v>1.4217515720476011</v>
      </c>
      <c r="AG20">
        <f t="shared" si="25"/>
        <v>2.2503571815620935</v>
      </c>
      <c r="AH20">
        <v>127.5077724766073</v>
      </c>
      <c r="AI20">
        <v>122.3460909090909</v>
      </c>
      <c r="AJ20">
        <v>-3.0231242360363161E-4</v>
      </c>
      <c r="AK20">
        <v>83.929830234139885</v>
      </c>
      <c r="AL20">
        <f t="shared" si="26"/>
        <v>1.4238270446185552</v>
      </c>
      <c r="AM20">
        <v>19.53614149021622</v>
      </c>
      <c r="AN20">
        <v>22.667188650479961</v>
      </c>
      <c r="AO20">
        <v>7.3644555735309281E-7</v>
      </c>
      <c r="AP20">
        <v>90.573349035339163</v>
      </c>
      <c r="AQ20">
        <v>0</v>
      </c>
      <c r="AR20">
        <v>0</v>
      </c>
      <c r="AS20">
        <f t="shared" si="27"/>
        <v>1</v>
      </c>
      <c r="AT20">
        <f t="shared" si="28"/>
        <v>0</v>
      </c>
      <c r="AU20">
        <f t="shared" si="29"/>
        <v>54203.652314257743</v>
      </c>
      <c r="AV20">
        <f t="shared" si="30"/>
        <v>462.1242666666667</v>
      </c>
      <c r="AW20">
        <f t="shared" si="31"/>
        <v>369.69941333333338</v>
      </c>
      <c r="AX20">
        <f t="shared" si="32"/>
        <v>0.8</v>
      </c>
      <c r="AY20">
        <f t="shared" si="33"/>
        <v>0.19</v>
      </c>
      <c r="AZ20">
        <v>9</v>
      </c>
      <c r="BA20">
        <v>1.88</v>
      </c>
      <c r="BB20" t="s">
        <v>336</v>
      </c>
      <c r="BC20">
        <v>2</v>
      </c>
      <c r="BD20" t="b">
        <v>0</v>
      </c>
      <c r="BE20">
        <v>1749560634.349999</v>
      </c>
      <c r="BF20">
        <v>119.6149666666667</v>
      </c>
      <c r="BG20">
        <v>125.0134666666667</v>
      </c>
      <c r="BH20">
        <v>22.661966666666661</v>
      </c>
      <c r="BI20">
        <v>19.53546</v>
      </c>
      <c r="BJ20">
        <v>118.6573333333333</v>
      </c>
      <c r="BK20">
        <v>22.408390000000001</v>
      </c>
      <c r="BL20">
        <v>399.99233333333331</v>
      </c>
      <c r="BM20">
        <v>102.1876666666667</v>
      </c>
      <c r="BN20">
        <v>9.9956626666666687E-2</v>
      </c>
      <c r="BO20">
        <v>26.04639666666667</v>
      </c>
      <c r="BP20">
        <v>25.67426</v>
      </c>
      <c r="BQ20">
        <v>999.9000000000002</v>
      </c>
      <c r="BR20">
        <v>0</v>
      </c>
      <c r="BS20">
        <v>0</v>
      </c>
      <c r="BT20">
        <v>9999.5</v>
      </c>
      <c r="BU20">
        <v>462.1242666666667</v>
      </c>
      <c r="BV20">
        <v>11.2888</v>
      </c>
      <c r="BW20">
        <v>-5.3984896666666664</v>
      </c>
      <c r="BX20">
        <v>122.3886</v>
      </c>
      <c r="BY20">
        <v>127.50433333333331</v>
      </c>
      <c r="BZ20">
        <v>3.1265329999999998</v>
      </c>
      <c r="CA20">
        <v>125.0134666666667</v>
      </c>
      <c r="CB20">
        <v>19.53546</v>
      </c>
      <c r="CC20">
        <v>2.3157739999999989</v>
      </c>
      <c r="CD20">
        <v>1.996280666666667</v>
      </c>
      <c r="CE20">
        <v>19.786543333333331</v>
      </c>
      <c r="CF20">
        <v>17.414876666666672</v>
      </c>
      <c r="CG20">
        <v>1749544513.0999999</v>
      </c>
      <c r="CH20" t="s">
        <v>337</v>
      </c>
      <c r="CI20">
        <v>1749544513.0999999</v>
      </c>
      <c r="CJ20">
        <v>1749544511.5999999</v>
      </c>
      <c r="CK20">
        <v>2</v>
      </c>
      <c r="CL20">
        <v>-1E-3</v>
      </c>
      <c r="CM20">
        <v>-1E-3</v>
      </c>
      <c r="CN20">
        <v>3.7469999999999999</v>
      </c>
      <c r="CO20">
        <v>0.254</v>
      </c>
      <c r="CP20">
        <v>450</v>
      </c>
      <c r="CQ20">
        <v>19</v>
      </c>
      <c r="CR20">
        <v>0.37</v>
      </c>
      <c r="CS20">
        <v>0.18</v>
      </c>
      <c r="CT20">
        <v>-5.390685365853658</v>
      </c>
      <c r="CU20">
        <v>-0.16136675958187291</v>
      </c>
      <c r="CV20">
        <v>2.2152097967875241E-2</v>
      </c>
      <c r="CW20">
        <v>1</v>
      </c>
      <c r="CX20">
        <v>0</v>
      </c>
      <c r="CY20">
        <v>0</v>
      </c>
      <c r="CZ20">
        <v>0</v>
      </c>
      <c r="DA20">
        <v>-1</v>
      </c>
      <c r="DB20">
        <v>3.12459756097561</v>
      </c>
      <c r="DC20">
        <v>4.1238606271782427E-2</v>
      </c>
      <c r="DD20">
        <v>4.144415449374471E-3</v>
      </c>
      <c r="DE20">
        <v>1</v>
      </c>
      <c r="DF20">
        <v>2</v>
      </c>
      <c r="DG20">
        <v>2</v>
      </c>
      <c r="DH20" t="s">
        <v>338</v>
      </c>
      <c r="DI20">
        <v>3.0244200000000001</v>
      </c>
      <c r="DJ20">
        <v>2.6913499999999999</v>
      </c>
      <c r="DK20">
        <v>3.2864699999999997E-2</v>
      </c>
      <c r="DL20">
        <v>3.4689400000000002E-2</v>
      </c>
      <c r="DM20">
        <v>0.115797</v>
      </c>
      <c r="DN20">
        <v>0.105489</v>
      </c>
      <c r="DO20">
        <v>26949.5</v>
      </c>
      <c r="DP20">
        <v>18262.5</v>
      </c>
      <c r="DQ20">
        <v>26438.9</v>
      </c>
      <c r="DR20">
        <v>17194.5</v>
      </c>
      <c r="DS20">
        <v>33252.199999999997</v>
      </c>
      <c r="DT20">
        <v>20078.099999999999</v>
      </c>
      <c r="DU20">
        <v>38517.699999999997</v>
      </c>
      <c r="DV20">
        <v>22774.5</v>
      </c>
      <c r="DW20">
        <v>1.7988</v>
      </c>
      <c r="DX20">
        <v>2.20112</v>
      </c>
      <c r="DY20">
        <v>6.3991500000000007E-2</v>
      </c>
      <c r="DZ20">
        <v>0</v>
      </c>
      <c r="EA20">
        <v>24.620200000000001</v>
      </c>
      <c r="EB20">
        <v>999.9</v>
      </c>
      <c r="EC20">
        <v>53.5</v>
      </c>
      <c r="ED20">
        <v>31.4</v>
      </c>
      <c r="EE20">
        <v>24.165099999999999</v>
      </c>
      <c r="EF20">
        <v>62.619300000000003</v>
      </c>
      <c r="EG20">
        <v>36.145800000000001</v>
      </c>
      <c r="EH20">
        <v>1</v>
      </c>
      <c r="EI20">
        <v>3.5225600000000003E-2</v>
      </c>
      <c r="EJ20">
        <v>-0.24936800000000001</v>
      </c>
      <c r="EK20">
        <v>20.343399999999999</v>
      </c>
      <c r="EL20">
        <v>5.2515499999999999</v>
      </c>
      <c r="EM20">
        <v>11.962</v>
      </c>
      <c r="EN20">
        <v>4.9897200000000002</v>
      </c>
      <c r="EO20">
        <v>3.2916799999999999</v>
      </c>
      <c r="EP20">
        <v>9999</v>
      </c>
      <c r="EQ20">
        <v>9999</v>
      </c>
      <c r="ER20">
        <v>9999</v>
      </c>
      <c r="ES20">
        <v>999.9</v>
      </c>
      <c r="ET20">
        <v>4.9726499999999998</v>
      </c>
      <c r="EU20">
        <v>1.8719399999999999</v>
      </c>
      <c r="EV20">
        <v>1.8721000000000001</v>
      </c>
      <c r="EW20">
        <v>1.8771599999999999</v>
      </c>
      <c r="EX20">
        <v>1.87134</v>
      </c>
      <c r="EY20">
        <v>1.87212</v>
      </c>
      <c r="EZ20">
        <v>1.87178</v>
      </c>
      <c r="FA20">
        <v>1.8686</v>
      </c>
      <c r="FB20">
        <v>0</v>
      </c>
      <c r="FC20">
        <v>0</v>
      </c>
      <c r="FD20">
        <v>0</v>
      </c>
      <c r="FE20">
        <v>0</v>
      </c>
      <c r="FF20" t="s">
        <v>339</v>
      </c>
      <c r="FG20" t="s">
        <v>340</v>
      </c>
      <c r="FH20" t="s">
        <v>341</v>
      </c>
      <c r="FI20" t="s">
        <v>341</v>
      </c>
      <c r="FJ20" t="s">
        <v>341</v>
      </c>
      <c r="FK20" t="s">
        <v>341</v>
      </c>
      <c r="FL20">
        <v>0</v>
      </c>
      <c r="FM20">
        <v>100</v>
      </c>
      <c r="FN20">
        <v>100</v>
      </c>
      <c r="FO20">
        <v>0.95699999999999996</v>
      </c>
      <c r="FP20">
        <v>0.25359999999999999</v>
      </c>
      <c r="FQ20">
        <v>2.4079072826054929E-2</v>
      </c>
      <c r="FR20">
        <v>7.6898218637449396E-3</v>
      </c>
      <c r="FS20">
        <v>1.5097418776848419E-6</v>
      </c>
      <c r="FT20">
        <v>-9.8458676114205118E-11</v>
      </c>
      <c r="FU20">
        <v>0.25358499999999401</v>
      </c>
      <c r="FV20">
        <v>0</v>
      </c>
      <c r="FW20">
        <v>0</v>
      </c>
      <c r="FX20">
        <v>0</v>
      </c>
      <c r="FY20">
        <v>3</v>
      </c>
      <c r="FZ20">
        <v>2164</v>
      </c>
      <c r="GA20">
        <v>-1</v>
      </c>
      <c r="GB20">
        <v>-1</v>
      </c>
      <c r="GC20">
        <v>268.8</v>
      </c>
      <c r="GD20">
        <v>268.8</v>
      </c>
      <c r="GE20">
        <v>0.42114299999999999</v>
      </c>
      <c r="GF20">
        <v>2.66479</v>
      </c>
      <c r="GG20">
        <v>1.7981</v>
      </c>
      <c r="GH20">
        <v>2.3754900000000001</v>
      </c>
      <c r="GI20">
        <v>1.5979000000000001</v>
      </c>
      <c r="GJ20">
        <v>2.4841299999999999</v>
      </c>
      <c r="GK20">
        <v>34.6006</v>
      </c>
      <c r="GL20">
        <v>24.157499999999999</v>
      </c>
      <c r="GM20">
        <v>18</v>
      </c>
      <c r="GN20">
        <v>364.53899999999999</v>
      </c>
      <c r="GO20">
        <v>680.52800000000002</v>
      </c>
      <c r="GP20">
        <v>25.829799999999999</v>
      </c>
      <c r="GQ20">
        <v>27.508199999999999</v>
      </c>
      <c r="GR20">
        <v>30.0001</v>
      </c>
      <c r="GS20">
        <v>27.470700000000001</v>
      </c>
      <c r="GT20">
        <v>27.493099999999998</v>
      </c>
      <c r="GU20">
        <v>8.3918099999999995</v>
      </c>
      <c r="GV20">
        <v>25.409800000000001</v>
      </c>
      <c r="GW20">
        <v>2.7911199999999998</v>
      </c>
      <c r="GX20">
        <v>25.83</v>
      </c>
      <c r="GY20">
        <v>125</v>
      </c>
      <c r="GZ20">
        <v>19.5</v>
      </c>
      <c r="HA20">
        <v>100.46899999999999</v>
      </c>
      <c r="HB20">
        <v>71.102599999999995</v>
      </c>
    </row>
    <row r="21" spans="1:210" x14ac:dyDescent="0.3">
      <c r="A21">
        <v>5</v>
      </c>
      <c r="B21">
        <v>1749560822.5999999</v>
      </c>
      <c r="C21">
        <v>722</v>
      </c>
      <c r="D21" t="s">
        <v>348</v>
      </c>
      <c r="E21" t="s">
        <v>349</v>
      </c>
      <c r="F21">
        <v>15</v>
      </c>
      <c r="G21">
        <v>1749560814.849999</v>
      </c>
      <c r="H21">
        <f t="shared" si="0"/>
        <v>1.5207510428121194E-3</v>
      </c>
      <c r="I21">
        <f t="shared" si="1"/>
        <v>1.5207510428121194</v>
      </c>
      <c r="J21">
        <f t="shared" si="2"/>
        <v>0.41451738381720965</v>
      </c>
      <c r="K21">
        <f t="shared" si="3"/>
        <v>73.819993333333343</v>
      </c>
      <c r="L21">
        <f t="shared" si="4"/>
        <v>68.47174388810862</v>
      </c>
      <c r="M21">
        <f t="shared" si="5"/>
        <v>7.0037380537820386</v>
      </c>
      <c r="N21">
        <f t="shared" si="6"/>
        <v>7.5507920067505765</v>
      </c>
      <c r="O21">
        <f t="shared" si="7"/>
        <v>0.16122286996686461</v>
      </c>
      <c r="P21">
        <f t="shared" si="8"/>
        <v>2.4298349712314065</v>
      </c>
      <c r="Q21">
        <f t="shared" si="9"/>
        <v>0.15559309788515202</v>
      </c>
      <c r="R21">
        <f t="shared" si="10"/>
        <v>9.7735257686129728E-2</v>
      </c>
      <c r="S21">
        <f t="shared" si="11"/>
        <v>87.820127999999983</v>
      </c>
      <c r="T21">
        <f t="shared" si="12"/>
        <v>26.199399656950032</v>
      </c>
      <c r="U21">
        <f t="shared" si="13"/>
        <v>25.6785</v>
      </c>
      <c r="V21">
        <f t="shared" si="14"/>
        <v>3.3105966409345111</v>
      </c>
      <c r="W21">
        <f t="shared" si="15"/>
        <v>69.082957883669891</v>
      </c>
      <c r="X21">
        <f t="shared" si="16"/>
        <v>2.3384650845056205</v>
      </c>
      <c r="Y21">
        <f t="shared" si="17"/>
        <v>3.3850100750512251</v>
      </c>
      <c r="Z21">
        <f t="shared" si="18"/>
        <v>0.9721315564288906</v>
      </c>
      <c r="AA21">
        <f t="shared" si="19"/>
        <v>-67.065120988014471</v>
      </c>
      <c r="AB21">
        <f t="shared" si="20"/>
        <v>49.159779531931029</v>
      </c>
      <c r="AC21">
        <f t="shared" si="21"/>
        <v>4.3169265170751867</v>
      </c>
      <c r="AD21">
        <f t="shared" si="22"/>
        <v>74.231713060991723</v>
      </c>
      <c r="AE21">
        <f t="shared" si="23"/>
        <v>0.41451738381720965</v>
      </c>
      <c r="AF21">
        <f t="shared" si="24"/>
        <v>1.5207510428121194</v>
      </c>
      <c r="AG21">
        <f t="shared" si="25"/>
        <v>0.41983366480589202</v>
      </c>
      <c r="AH21">
        <v>76.519473523335833</v>
      </c>
      <c r="AI21">
        <v>75.555824242424208</v>
      </c>
      <c r="AJ21">
        <v>3.0398341938874269E-5</v>
      </c>
      <c r="AK21">
        <v>83.929830234139885</v>
      </c>
      <c r="AL21">
        <f t="shared" si="26"/>
        <v>1.5241780622698309</v>
      </c>
      <c r="AM21">
        <v>19.5185425889016</v>
      </c>
      <c r="AN21">
        <v>22.869355166572561</v>
      </c>
      <c r="AO21">
        <v>1.007769450569459E-6</v>
      </c>
      <c r="AP21">
        <v>90.573349035339163</v>
      </c>
      <c r="AQ21">
        <v>0</v>
      </c>
      <c r="AR21">
        <v>0</v>
      </c>
      <c r="AS21">
        <f t="shared" si="27"/>
        <v>1</v>
      </c>
      <c r="AT21">
        <f t="shared" si="28"/>
        <v>0</v>
      </c>
      <c r="AU21">
        <f t="shared" si="29"/>
        <v>54215.768470303345</v>
      </c>
      <c r="AV21">
        <f t="shared" si="30"/>
        <v>462.21119999999991</v>
      </c>
      <c r="AW21">
        <f t="shared" si="31"/>
        <v>369.76895999999994</v>
      </c>
      <c r="AX21">
        <f t="shared" si="32"/>
        <v>0.8</v>
      </c>
      <c r="AY21">
        <f t="shared" si="33"/>
        <v>0.19</v>
      </c>
      <c r="AZ21">
        <v>9</v>
      </c>
      <c r="BA21">
        <v>1.88</v>
      </c>
      <c r="BB21" t="s">
        <v>336</v>
      </c>
      <c r="BC21">
        <v>2</v>
      </c>
      <c r="BD21" t="b">
        <v>0</v>
      </c>
      <c r="BE21">
        <v>1749560814.849999</v>
      </c>
      <c r="BF21">
        <v>73.819993333333343</v>
      </c>
      <c r="BG21">
        <v>75.005193333333338</v>
      </c>
      <c r="BH21">
        <v>22.861903333333331</v>
      </c>
      <c r="BI21">
        <v>19.51859</v>
      </c>
      <c r="BJ21">
        <v>73.22478000000001</v>
      </c>
      <c r="BK21">
        <v>22.608316666666671</v>
      </c>
      <c r="BL21">
        <v>400.01796666666661</v>
      </c>
      <c r="BM21">
        <v>102.18656666666671</v>
      </c>
      <c r="BN21">
        <v>9.9977476666666662E-2</v>
      </c>
      <c r="BO21">
        <v>26.053773333333339</v>
      </c>
      <c r="BP21">
        <v>25.6785</v>
      </c>
      <c r="BQ21">
        <v>999.9000000000002</v>
      </c>
      <c r="BR21">
        <v>0</v>
      </c>
      <c r="BS21">
        <v>0</v>
      </c>
      <c r="BT21">
        <v>10002.200000000001</v>
      </c>
      <c r="BU21">
        <v>462.21119999999991</v>
      </c>
      <c r="BV21">
        <v>11.2888</v>
      </c>
      <c r="BW21">
        <v>-1.185196333333334</v>
      </c>
      <c r="BX21">
        <v>75.547146666666677</v>
      </c>
      <c r="BY21">
        <v>76.498333333333321</v>
      </c>
      <c r="BZ21">
        <v>3.3433079999999999</v>
      </c>
      <c r="CA21">
        <v>75.005193333333338</v>
      </c>
      <c r="CB21">
        <v>19.51859</v>
      </c>
      <c r="CC21">
        <v>2.336180333333334</v>
      </c>
      <c r="CD21">
        <v>1.994539666666667</v>
      </c>
      <c r="CE21">
        <v>19.928076666666659</v>
      </c>
      <c r="CF21">
        <v>17.401056666666669</v>
      </c>
      <c r="CG21">
        <v>1749544513.0999999</v>
      </c>
      <c r="CH21" t="s">
        <v>337</v>
      </c>
      <c r="CI21">
        <v>1749544513.0999999</v>
      </c>
      <c r="CJ21">
        <v>1749544511.5999999</v>
      </c>
      <c r="CK21">
        <v>2</v>
      </c>
      <c r="CL21">
        <v>-1E-3</v>
      </c>
      <c r="CM21">
        <v>-1E-3</v>
      </c>
      <c r="CN21">
        <v>3.7469999999999999</v>
      </c>
      <c r="CO21">
        <v>0.254</v>
      </c>
      <c r="CP21">
        <v>450</v>
      </c>
      <c r="CQ21">
        <v>19</v>
      </c>
      <c r="CR21">
        <v>0.37</v>
      </c>
      <c r="CS21">
        <v>0.18</v>
      </c>
      <c r="CT21">
        <v>-1.1820327500000001</v>
      </c>
      <c r="CU21">
        <v>-0.1099176360225138</v>
      </c>
      <c r="CV21">
        <v>2.083540976168937E-2</v>
      </c>
      <c r="CW21">
        <v>1</v>
      </c>
      <c r="CX21">
        <v>0</v>
      </c>
      <c r="CY21">
        <v>0</v>
      </c>
      <c r="CZ21">
        <v>0</v>
      </c>
      <c r="DA21">
        <v>-1</v>
      </c>
      <c r="DB21">
        <v>3.3400295</v>
      </c>
      <c r="DC21">
        <v>5.9703264540331043E-2</v>
      </c>
      <c r="DD21">
        <v>5.854224948701559E-3</v>
      </c>
      <c r="DE21">
        <v>1</v>
      </c>
      <c r="DF21">
        <v>2</v>
      </c>
      <c r="DG21">
        <v>2</v>
      </c>
      <c r="DH21" t="s">
        <v>338</v>
      </c>
      <c r="DI21">
        <v>3.0244200000000001</v>
      </c>
      <c r="DJ21">
        <v>2.6914600000000002</v>
      </c>
      <c r="DK21">
        <v>2.05937E-2</v>
      </c>
      <c r="DL21">
        <v>2.1173299999999999E-2</v>
      </c>
      <c r="DM21">
        <v>0.11652800000000001</v>
      </c>
      <c r="DN21">
        <v>0.10541300000000001</v>
      </c>
      <c r="DO21">
        <v>27291.599999999999</v>
      </c>
      <c r="DP21">
        <v>18518.2</v>
      </c>
      <c r="DQ21">
        <v>26439.1</v>
      </c>
      <c r="DR21">
        <v>17194.5</v>
      </c>
      <c r="DS21">
        <v>33224.1</v>
      </c>
      <c r="DT21">
        <v>20079.7</v>
      </c>
      <c r="DU21">
        <v>38518.199999999997</v>
      </c>
      <c r="DV21">
        <v>22774.6</v>
      </c>
      <c r="DW21">
        <v>1.79888</v>
      </c>
      <c r="DX21">
        <v>2.2008800000000002</v>
      </c>
      <c r="DY21">
        <v>6.2143799999999999E-2</v>
      </c>
      <c r="DZ21">
        <v>0</v>
      </c>
      <c r="EA21">
        <v>24.657599999999999</v>
      </c>
      <c r="EB21">
        <v>999.9</v>
      </c>
      <c r="EC21">
        <v>53.4</v>
      </c>
      <c r="ED21">
        <v>31.5</v>
      </c>
      <c r="EE21">
        <v>24.256900000000002</v>
      </c>
      <c r="EF21">
        <v>62.7393</v>
      </c>
      <c r="EG21">
        <v>35.845399999999998</v>
      </c>
      <c r="EH21">
        <v>1</v>
      </c>
      <c r="EI21">
        <v>3.53821E-2</v>
      </c>
      <c r="EJ21">
        <v>-0.23383399999999999</v>
      </c>
      <c r="EK21">
        <v>20.343299999999999</v>
      </c>
      <c r="EL21">
        <v>5.2511900000000002</v>
      </c>
      <c r="EM21">
        <v>11.962</v>
      </c>
      <c r="EN21">
        <v>4.9896799999999999</v>
      </c>
      <c r="EO21">
        <v>3.2918799999999999</v>
      </c>
      <c r="EP21">
        <v>9999</v>
      </c>
      <c r="EQ21">
        <v>9999</v>
      </c>
      <c r="ER21">
        <v>9999</v>
      </c>
      <c r="ES21">
        <v>999.9</v>
      </c>
      <c r="ET21">
        <v>4.9726600000000003</v>
      </c>
      <c r="EU21">
        <v>1.87195</v>
      </c>
      <c r="EV21">
        <v>1.8721000000000001</v>
      </c>
      <c r="EW21">
        <v>1.87717</v>
      </c>
      <c r="EX21">
        <v>1.87134</v>
      </c>
      <c r="EY21">
        <v>1.8721000000000001</v>
      </c>
      <c r="EZ21">
        <v>1.8717900000000001</v>
      </c>
      <c r="FA21">
        <v>1.8686400000000001</v>
      </c>
      <c r="FB21">
        <v>0</v>
      </c>
      <c r="FC21">
        <v>0</v>
      </c>
      <c r="FD21">
        <v>0</v>
      </c>
      <c r="FE21">
        <v>0</v>
      </c>
      <c r="FF21" t="s">
        <v>339</v>
      </c>
      <c r="FG21" t="s">
        <v>340</v>
      </c>
      <c r="FH21" t="s">
        <v>341</v>
      </c>
      <c r="FI21" t="s">
        <v>341</v>
      </c>
      <c r="FJ21" t="s">
        <v>341</v>
      </c>
      <c r="FK21" t="s">
        <v>341</v>
      </c>
      <c r="FL21">
        <v>0</v>
      </c>
      <c r="FM21">
        <v>100</v>
      </c>
      <c r="FN21">
        <v>100</v>
      </c>
      <c r="FO21">
        <v>0.59499999999999997</v>
      </c>
      <c r="FP21">
        <v>0.25359999999999999</v>
      </c>
      <c r="FQ21">
        <v>2.4079072826054929E-2</v>
      </c>
      <c r="FR21">
        <v>7.6898218637449396E-3</v>
      </c>
      <c r="FS21">
        <v>1.5097418776848419E-6</v>
      </c>
      <c r="FT21">
        <v>-9.8458676114205118E-11</v>
      </c>
      <c r="FU21">
        <v>0.25358499999999401</v>
      </c>
      <c r="FV21">
        <v>0</v>
      </c>
      <c r="FW21">
        <v>0</v>
      </c>
      <c r="FX21">
        <v>0</v>
      </c>
      <c r="FY21">
        <v>3</v>
      </c>
      <c r="FZ21">
        <v>2164</v>
      </c>
      <c r="GA21">
        <v>-1</v>
      </c>
      <c r="GB21">
        <v>-1</v>
      </c>
      <c r="GC21">
        <v>271.8</v>
      </c>
      <c r="GD21">
        <v>271.89999999999998</v>
      </c>
      <c r="GE21">
        <v>0.31005899999999997</v>
      </c>
      <c r="GF21">
        <v>2.6684600000000001</v>
      </c>
      <c r="GG21">
        <v>1.7981</v>
      </c>
      <c r="GH21">
        <v>2.3754900000000001</v>
      </c>
      <c r="GI21">
        <v>1.5979000000000001</v>
      </c>
      <c r="GJ21">
        <v>2.4841299999999999</v>
      </c>
      <c r="GK21">
        <v>34.6235</v>
      </c>
      <c r="GL21">
        <v>24.157499999999999</v>
      </c>
      <c r="GM21">
        <v>18</v>
      </c>
      <c r="GN21">
        <v>364.61</v>
      </c>
      <c r="GO21">
        <v>680.34699999999998</v>
      </c>
      <c r="GP21">
        <v>25.829799999999999</v>
      </c>
      <c r="GQ21">
        <v>27.5138</v>
      </c>
      <c r="GR21">
        <v>30.0001</v>
      </c>
      <c r="GS21">
        <v>27.475300000000001</v>
      </c>
      <c r="GT21">
        <v>27.4954</v>
      </c>
      <c r="GU21">
        <v>6.1799200000000001</v>
      </c>
      <c r="GV21">
        <v>25.409800000000001</v>
      </c>
      <c r="GW21">
        <v>2.0484</v>
      </c>
      <c r="GX21">
        <v>25.83</v>
      </c>
      <c r="GY21">
        <v>75</v>
      </c>
      <c r="GZ21">
        <v>19.5</v>
      </c>
      <c r="HA21">
        <v>100.47</v>
      </c>
      <c r="HB21">
        <v>71.102800000000002</v>
      </c>
    </row>
    <row r="22" spans="1:210" x14ac:dyDescent="0.3">
      <c r="A22">
        <v>6</v>
      </c>
      <c r="B22">
        <v>1749561003.0999999</v>
      </c>
      <c r="C22">
        <v>902.5</v>
      </c>
      <c r="D22" t="s">
        <v>350</v>
      </c>
      <c r="E22" t="s">
        <v>351</v>
      </c>
      <c r="F22">
        <v>15</v>
      </c>
      <c r="G22">
        <v>1749560995.349999</v>
      </c>
      <c r="H22">
        <f t="shared" si="0"/>
        <v>1.6035996173902249E-3</v>
      </c>
      <c r="I22">
        <f t="shared" si="1"/>
        <v>1.6035996173902249</v>
      </c>
      <c r="J22">
        <f t="shared" si="2"/>
        <v>14.319422412864794</v>
      </c>
      <c r="K22">
        <f t="shared" si="3"/>
        <v>416.30556666666661</v>
      </c>
      <c r="L22">
        <f t="shared" si="4"/>
        <v>275.77716460822177</v>
      </c>
      <c r="M22">
        <f t="shared" si="5"/>
        <v>28.207232518298124</v>
      </c>
      <c r="N22">
        <f t="shared" si="6"/>
        <v>42.580856664875704</v>
      </c>
      <c r="O22">
        <f t="shared" si="7"/>
        <v>0.17505351779893233</v>
      </c>
      <c r="P22">
        <f t="shared" si="8"/>
        <v>2.4287917596357116</v>
      </c>
      <c r="Q22">
        <f t="shared" si="9"/>
        <v>0.16843482263386436</v>
      </c>
      <c r="R22">
        <f t="shared" si="10"/>
        <v>0.10584575072742988</v>
      </c>
      <c r="S22">
        <f t="shared" si="11"/>
        <v>87.809038333333348</v>
      </c>
      <c r="T22">
        <f t="shared" si="12"/>
        <v>26.158201932583289</v>
      </c>
      <c r="U22">
        <f t="shared" si="13"/>
        <v>25.64633666666667</v>
      </c>
      <c r="V22">
        <f t="shared" si="14"/>
        <v>3.3042859368094497</v>
      </c>
      <c r="W22">
        <f t="shared" si="15"/>
        <v>69.70769497031597</v>
      </c>
      <c r="X22">
        <f t="shared" si="16"/>
        <v>2.3574453830942161</v>
      </c>
      <c r="Y22">
        <f t="shared" si="17"/>
        <v>3.3819012149205343</v>
      </c>
      <c r="Z22">
        <f t="shared" si="18"/>
        <v>0.94684055371523357</v>
      </c>
      <c r="AA22">
        <f t="shared" si="19"/>
        <v>-70.718743126908919</v>
      </c>
      <c r="AB22">
        <f t="shared" si="20"/>
        <v>51.316222735364278</v>
      </c>
      <c r="AC22">
        <f t="shared" si="21"/>
        <v>4.5071494116405528</v>
      </c>
      <c r="AD22">
        <f t="shared" si="22"/>
        <v>72.913667353429261</v>
      </c>
      <c r="AE22">
        <f t="shared" si="23"/>
        <v>14.319422412864794</v>
      </c>
      <c r="AF22">
        <f t="shared" si="24"/>
        <v>1.6035996173902249</v>
      </c>
      <c r="AG22">
        <f t="shared" si="25"/>
        <v>14.323536868929551</v>
      </c>
      <c r="AH22">
        <v>458.96590190351992</v>
      </c>
      <c r="AI22">
        <v>426.09471515151517</v>
      </c>
      <c r="AJ22">
        <v>-4.3080090374005128E-5</v>
      </c>
      <c r="AK22">
        <v>83.929830234139885</v>
      </c>
      <c r="AL22">
        <f t="shared" si="26"/>
        <v>1.6048024980060602</v>
      </c>
      <c r="AM22">
        <v>19.52240491279591</v>
      </c>
      <c r="AN22">
        <v>23.050177131564102</v>
      </c>
      <c r="AO22">
        <v>5.7662256207341405E-7</v>
      </c>
      <c r="AP22">
        <v>90.573349035339163</v>
      </c>
      <c r="AQ22">
        <v>0</v>
      </c>
      <c r="AR22">
        <v>0</v>
      </c>
      <c r="AS22">
        <f t="shared" si="27"/>
        <v>1</v>
      </c>
      <c r="AT22">
        <f t="shared" si="28"/>
        <v>0</v>
      </c>
      <c r="AU22">
        <f t="shared" si="29"/>
        <v>54183.36310690955</v>
      </c>
      <c r="AV22">
        <f t="shared" si="30"/>
        <v>462.15283333333338</v>
      </c>
      <c r="AW22">
        <f t="shared" si="31"/>
        <v>369.72226666666671</v>
      </c>
      <c r="AX22">
        <f t="shared" si="32"/>
        <v>0.8</v>
      </c>
      <c r="AY22">
        <f t="shared" si="33"/>
        <v>0.19</v>
      </c>
      <c r="AZ22">
        <v>9</v>
      </c>
      <c r="BA22">
        <v>1.88</v>
      </c>
      <c r="BB22" t="s">
        <v>336</v>
      </c>
      <c r="BC22">
        <v>2</v>
      </c>
      <c r="BD22" t="b">
        <v>0</v>
      </c>
      <c r="BE22">
        <v>1749560995.349999</v>
      </c>
      <c r="BF22">
        <v>416.30556666666661</v>
      </c>
      <c r="BG22">
        <v>450.02826666666658</v>
      </c>
      <c r="BH22">
        <v>23.04833</v>
      </c>
      <c r="BI22">
        <v>19.52319</v>
      </c>
      <c r="BJ22">
        <v>412.8563666666667</v>
      </c>
      <c r="BK22">
        <v>22.794746666666661</v>
      </c>
      <c r="BL22">
        <v>399.97713333333343</v>
      </c>
      <c r="BM22">
        <v>102.1827333333333</v>
      </c>
      <c r="BN22">
        <v>9.9964940000000002E-2</v>
      </c>
      <c r="BO22">
        <v>26.038239999999998</v>
      </c>
      <c r="BP22">
        <v>25.64633666666667</v>
      </c>
      <c r="BQ22">
        <v>999.9000000000002</v>
      </c>
      <c r="BR22">
        <v>0</v>
      </c>
      <c r="BS22">
        <v>0</v>
      </c>
      <c r="BT22">
        <v>9995.8166666666675</v>
      </c>
      <c r="BU22">
        <v>462.15283333333338</v>
      </c>
      <c r="BV22">
        <v>11.2888</v>
      </c>
      <c r="BW22">
        <v>-33.722589999999997</v>
      </c>
      <c r="BX22">
        <v>426.1271666666666</v>
      </c>
      <c r="BY22">
        <v>458.98919999999998</v>
      </c>
      <c r="BZ22">
        <v>3.5251403333333329</v>
      </c>
      <c r="CA22">
        <v>450.02826666666658</v>
      </c>
      <c r="CB22">
        <v>19.52319</v>
      </c>
      <c r="CC22">
        <v>2.3551419999999998</v>
      </c>
      <c r="CD22">
        <v>1.994933333333333</v>
      </c>
      <c r="CE22">
        <v>20.058589999999999</v>
      </c>
      <c r="CF22">
        <v>17.404186666666661</v>
      </c>
      <c r="CG22">
        <v>1749544513.0999999</v>
      </c>
      <c r="CH22" t="s">
        <v>337</v>
      </c>
      <c r="CI22">
        <v>1749544513.0999999</v>
      </c>
      <c r="CJ22">
        <v>1749544511.5999999</v>
      </c>
      <c r="CK22">
        <v>2</v>
      </c>
      <c r="CL22">
        <v>-1E-3</v>
      </c>
      <c r="CM22">
        <v>-1E-3</v>
      </c>
      <c r="CN22">
        <v>3.7469999999999999</v>
      </c>
      <c r="CO22">
        <v>0.254</v>
      </c>
      <c r="CP22">
        <v>450</v>
      </c>
      <c r="CQ22">
        <v>19</v>
      </c>
      <c r="CR22">
        <v>0.37</v>
      </c>
      <c r="CS22">
        <v>0.18</v>
      </c>
      <c r="CT22">
        <v>-33.707365000000003</v>
      </c>
      <c r="CU22">
        <v>-0.2295939962475527</v>
      </c>
      <c r="CV22">
        <v>3.9656604431040098E-2</v>
      </c>
      <c r="CW22">
        <v>1</v>
      </c>
      <c r="CX22">
        <v>0</v>
      </c>
      <c r="CY22">
        <v>0</v>
      </c>
      <c r="CZ22">
        <v>0</v>
      </c>
      <c r="DA22">
        <v>-1</v>
      </c>
      <c r="DB22">
        <v>3.52275575</v>
      </c>
      <c r="DC22">
        <v>3.9588180112565277E-2</v>
      </c>
      <c r="DD22">
        <v>4.1425341806073431E-3</v>
      </c>
      <c r="DE22">
        <v>1</v>
      </c>
      <c r="DF22">
        <v>2</v>
      </c>
      <c r="DG22">
        <v>2</v>
      </c>
      <c r="DH22" t="s">
        <v>338</v>
      </c>
      <c r="DI22">
        <v>3.0244</v>
      </c>
      <c r="DJ22">
        <v>2.6912500000000001</v>
      </c>
      <c r="DK22">
        <v>9.6401899999999999E-2</v>
      </c>
      <c r="DL22">
        <v>0.10338700000000001</v>
      </c>
      <c r="DM22">
        <v>0.11716699999999999</v>
      </c>
      <c r="DN22">
        <v>0.105425</v>
      </c>
      <c r="DO22">
        <v>25178.799999999999</v>
      </c>
      <c r="DP22">
        <v>16962.900000000001</v>
      </c>
      <c r="DQ22">
        <v>26438.6</v>
      </c>
      <c r="DR22">
        <v>17194.5</v>
      </c>
      <c r="DS22">
        <v>33200.5</v>
      </c>
      <c r="DT22">
        <v>20080.099999999999</v>
      </c>
      <c r="DU22">
        <v>38517.199999999997</v>
      </c>
      <c r="DV22">
        <v>22773.8</v>
      </c>
      <c r="DW22">
        <v>1.7990200000000001</v>
      </c>
      <c r="DX22">
        <v>2.2014200000000002</v>
      </c>
      <c r="DY22">
        <v>6.2611700000000006E-2</v>
      </c>
      <c r="DZ22">
        <v>0</v>
      </c>
      <c r="EA22">
        <v>24.616099999999999</v>
      </c>
      <c r="EB22">
        <v>999.9</v>
      </c>
      <c r="EC22">
        <v>53.3</v>
      </c>
      <c r="ED22">
        <v>31.5</v>
      </c>
      <c r="EE22">
        <v>24.2105</v>
      </c>
      <c r="EF22">
        <v>62.9694</v>
      </c>
      <c r="EG22">
        <v>35.777200000000001</v>
      </c>
      <c r="EH22">
        <v>1</v>
      </c>
      <c r="EI22">
        <v>3.5989800000000002E-2</v>
      </c>
      <c r="EJ22">
        <v>-0.25017600000000001</v>
      </c>
      <c r="EK22">
        <v>20.343299999999999</v>
      </c>
      <c r="EL22">
        <v>5.25143</v>
      </c>
      <c r="EM22">
        <v>11.962</v>
      </c>
      <c r="EN22">
        <v>4.9896399999999996</v>
      </c>
      <c r="EO22">
        <v>3.2916400000000001</v>
      </c>
      <c r="EP22">
        <v>9999</v>
      </c>
      <c r="EQ22">
        <v>9999</v>
      </c>
      <c r="ER22">
        <v>9999</v>
      </c>
      <c r="ES22">
        <v>999.9</v>
      </c>
      <c r="ET22">
        <v>4.9726900000000001</v>
      </c>
      <c r="EU22">
        <v>1.87195</v>
      </c>
      <c r="EV22">
        <v>1.8721000000000001</v>
      </c>
      <c r="EW22">
        <v>1.8771500000000001</v>
      </c>
      <c r="EX22">
        <v>1.87134</v>
      </c>
      <c r="EY22">
        <v>1.87212</v>
      </c>
      <c r="EZ22">
        <v>1.8717699999999999</v>
      </c>
      <c r="FA22">
        <v>1.8686</v>
      </c>
      <c r="FB22">
        <v>0</v>
      </c>
      <c r="FC22">
        <v>0</v>
      </c>
      <c r="FD22">
        <v>0</v>
      </c>
      <c r="FE22">
        <v>0</v>
      </c>
      <c r="FF22" t="s">
        <v>339</v>
      </c>
      <c r="FG22" t="s">
        <v>340</v>
      </c>
      <c r="FH22" t="s">
        <v>341</v>
      </c>
      <c r="FI22" t="s">
        <v>341</v>
      </c>
      <c r="FJ22" t="s">
        <v>341</v>
      </c>
      <c r="FK22" t="s">
        <v>341</v>
      </c>
      <c r="FL22">
        <v>0</v>
      </c>
      <c r="FM22">
        <v>100</v>
      </c>
      <c r="FN22">
        <v>100</v>
      </c>
      <c r="FO22">
        <v>3.4489999999999998</v>
      </c>
      <c r="FP22">
        <v>0.25359999999999999</v>
      </c>
      <c r="FQ22">
        <v>2.4079072826054929E-2</v>
      </c>
      <c r="FR22">
        <v>7.6898218637449396E-3</v>
      </c>
      <c r="FS22">
        <v>1.5097418776848419E-6</v>
      </c>
      <c r="FT22">
        <v>-9.8458676114205118E-11</v>
      </c>
      <c r="FU22">
        <v>0.25358499999999401</v>
      </c>
      <c r="FV22">
        <v>0</v>
      </c>
      <c r="FW22">
        <v>0</v>
      </c>
      <c r="FX22">
        <v>0</v>
      </c>
      <c r="FY22">
        <v>3</v>
      </c>
      <c r="FZ22">
        <v>2164</v>
      </c>
      <c r="GA22">
        <v>-1</v>
      </c>
      <c r="GB22">
        <v>-1</v>
      </c>
      <c r="GC22">
        <v>274.8</v>
      </c>
      <c r="GD22">
        <v>274.89999999999998</v>
      </c>
      <c r="GE22">
        <v>1.09985</v>
      </c>
      <c r="GF22">
        <v>2.6232899999999999</v>
      </c>
      <c r="GG22">
        <v>1.7981</v>
      </c>
      <c r="GH22">
        <v>2.3754900000000001</v>
      </c>
      <c r="GI22">
        <v>1.5979000000000001</v>
      </c>
      <c r="GJ22">
        <v>2.5305200000000001</v>
      </c>
      <c r="GK22">
        <v>34.646299999999997</v>
      </c>
      <c r="GL22">
        <v>24.1663</v>
      </c>
      <c r="GM22">
        <v>18</v>
      </c>
      <c r="GN22">
        <v>364.71199999999999</v>
      </c>
      <c r="GO22">
        <v>680.91200000000003</v>
      </c>
      <c r="GP22">
        <v>25.829899999999999</v>
      </c>
      <c r="GQ22">
        <v>27.5199</v>
      </c>
      <c r="GR22">
        <v>30</v>
      </c>
      <c r="GS22">
        <v>27.479900000000001</v>
      </c>
      <c r="GT22">
        <v>27.502500000000001</v>
      </c>
      <c r="GU22">
        <v>21.994399999999999</v>
      </c>
      <c r="GV22">
        <v>25.409800000000001</v>
      </c>
      <c r="GW22">
        <v>0.93300399999999994</v>
      </c>
      <c r="GX22">
        <v>25.83</v>
      </c>
      <c r="GY22">
        <v>450</v>
      </c>
      <c r="GZ22">
        <v>19.5</v>
      </c>
      <c r="HA22">
        <v>100.468</v>
      </c>
      <c r="HB22">
        <v>71.101299999999995</v>
      </c>
    </row>
    <row r="23" spans="1:210" x14ac:dyDescent="0.3">
      <c r="A23">
        <v>7</v>
      </c>
      <c r="B23">
        <v>1749561183.5999999</v>
      </c>
      <c r="C23">
        <v>1083</v>
      </c>
      <c r="D23" t="s">
        <v>352</v>
      </c>
      <c r="E23" t="s">
        <v>353</v>
      </c>
      <c r="F23">
        <v>15</v>
      </c>
      <c r="G23">
        <v>1749561175.849999</v>
      </c>
      <c r="H23">
        <f t="shared" si="0"/>
        <v>1.5285128717050596E-3</v>
      </c>
      <c r="I23">
        <f t="shared" si="1"/>
        <v>1.5285128717050596</v>
      </c>
      <c r="J23">
        <f t="shared" si="2"/>
        <v>14.297992678223343</v>
      </c>
      <c r="K23">
        <f t="shared" si="3"/>
        <v>416.4033</v>
      </c>
      <c r="L23">
        <f t="shared" si="4"/>
        <v>268.08196445598065</v>
      </c>
      <c r="M23">
        <f t="shared" si="5"/>
        <v>27.419752178022677</v>
      </c>
      <c r="N23">
        <f t="shared" si="6"/>
        <v>42.590240321764078</v>
      </c>
      <c r="O23">
        <f t="shared" si="7"/>
        <v>0.16495122724765887</v>
      </c>
      <c r="P23">
        <f t="shared" si="8"/>
        <v>2.4295136166200999</v>
      </c>
      <c r="Q23">
        <f t="shared" si="9"/>
        <v>0.15906238630177399</v>
      </c>
      <c r="R23">
        <f t="shared" si="10"/>
        <v>9.9925711243554594E-2</v>
      </c>
      <c r="S23">
        <f t="shared" si="11"/>
        <v>87.800893666666681</v>
      </c>
      <c r="T23">
        <f t="shared" si="12"/>
        <v>26.15002249837277</v>
      </c>
      <c r="U23">
        <f t="shared" si="13"/>
        <v>25.601993333333329</v>
      </c>
      <c r="V23">
        <f t="shared" si="14"/>
        <v>3.295602651415495</v>
      </c>
      <c r="W23">
        <f t="shared" si="15"/>
        <v>69.314478553348337</v>
      </c>
      <c r="X23">
        <f t="shared" si="16"/>
        <v>2.3398061389431994</v>
      </c>
      <c r="Y23">
        <f t="shared" si="17"/>
        <v>3.3756383771138849</v>
      </c>
      <c r="Z23">
        <f t="shared" si="18"/>
        <v>0.95579651247229558</v>
      </c>
      <c r="AA23">
        <f t="shared" si="19"/>
        <v>-67.407417642193124</v>
      </c>
      <c r="AB23">
        <f t="shared" si="20"/>
        <v>53.035959935344366</v>
      </c>
      <c r="AC23">
        <f t="shared" si="21"/>
        <v>4.6550429656949497</v>
      </c>
      <c r="AD23">
        <f t="shared" si="22"/>
        <v>78.084478925512869</v>
      </c>
      <c r="AE23">
        <f t="shared" si="23"/>
        <v>14.297992678223343</v>
      </c>
      <c r="AF23">
        <f t="shared" si="24"/>
        <v>1.5285128717050596</v>
      </c>
      <c r="AG23">
        <f t="shared" si="25"/>
        <v>14.299275571495347</v>
      </c>
      <c r="AH23">
        <v>458.96842788151912</v>
      </c>
      <c r="AI23">
        <v>426.15350303030311</v>
      </c>
      <c r="AJ23">
        <v>-1.3228580329309499E-4</v>
      </c>
      <c r="AK23">
        <v>83.929830234139885</v>
      </c>
      <c r="AL23">
        <f t="shared" si="26"/>
        <v>1.5256685461849253</v>
      </c>
      <c r="AM23">
        <v>19.513463784536111</v>
      </c>
      <c r="AN23">
        <v>22.867964426877489</v>
      </c>
      <c r="AO23">
        <v>-1.0173148748931011E-6</v>
      </c>
      <c r="AP23">
        <v>90.573349035339163</v>
      </c>
      <c r="AQ23">
        <v>0</v>
      </c>
      <c r="AR23">
        <v>0</v>
      </c>
      <c r="AS23">
        <f t="shared" si="27"/>
        <v>1</v>
      </c>
      <c r="AT23">
        <f t="shared" si="28"/>
        <v>0</v>
      </c>
      <c r="AU23">
        <f t="shared" si="29"/>
        <v>54213.325560713347</v>
      </c>
      <c r="AV23">
        <f t="shared" si="30"/>
        <v>462.10996666666671</v>
      </c>
      <c r="AW23">
        <f t="shared" si="31"/>
        <v>369.68797333333339</v>
      </c>
      <c r="AX23">
        <f t="shared" si="32"/>
        <v>0.8</v>
      </c>
      <c r="AY23">
        <f t="shared" si="33"/>
        <v>0.19</v>
      </c>
      <c r="AZ23">
        <v>9</v>
      </c>
      <c r="BA23">
        <v>1.88</v>
      </c>
      <c r="BB23" t="s">
        <v>336</v>
      </c>
      <c r="BC23">
        <v>2</v>
      </c>
      <c r="BD23" t="b">
        <v>0</v>
      </c>
      <c r="BE23">
        <v>1749561175.849999</v>
      </c>
      <c r="BF23">
        <v>416.4033</v>
      </c>
      <c r="BG23">
        <v>450.00823333333329</v>
      </c>
      <c r="BH23">
        <v>22.876203333333329</v>
      </c>
      <c r="BI23">
        <v>19.515486666666671</v>
      </c>
      <c r="BJ23">
        <v>412.95313333333331</v>
      </c>
      <c r="BK23">
        <v>22.622616666666659</v>
      </c>
      <c r="BL23">
        <v>399.97173333333348</v>
      </c>
      <c r="BM23">
        <v>102.18129999999999</v>
      </c>
      <c r="BN23">
        <v>9.9926689999999985E-2</v>
      </c>
      <c r="BO23">
        <v>26.006910000000001</v>
      </c>
      <c r="BP23">
        <v>25.601993333333329</v>
      </c>
      <c r="BQ23">
        <v>999.9000000000002</v>
      </c>
      <c r="BR23">
        <v>0</v>
      </c>
      <c r="BS23">
        <v>0</v>
      </c>
      <c r="BT23">
        <v>10000.63333333333</v>
      </c>
      <c r="BU23">
        <v>462.10996666666671</v>
      </c>
      <c r="BV23">
        <v>11.2888</v>
      </c>
      <c r="BW23">
        <v>-33.604970000000002</v>
      </c>
      <c r="BX23">
        <v>426.15213333333332</v>
      </c>
      <c r="BY23">
        <v>458.96519999999998</v>
      </c>
      <c r="BZ23">
        <v>3.3607079999999998</v>
      </c>
      <c r="CA23">
        <v>450.00823333333329</v>
      </c>
      <c r="CB23">
        <v>19.515486666666671</v>
      </c>
      <c r="CC23">
        <v>2.3375180000000002</v>
      </c>
      <c r="CD23">
        <v>1.9941173333333331</v>
      </c>
      <c r="CE23">
        <v>19.937313333333339</v>
      </c>
      <c r="CF23">
        <v>17.397706666666672</v>
      </c>
      <c r="CG23">
        <v>1749544513.0999999</v>
      </c>
      <c r="CH23" t="s">
        <v>337</v>
      </c>
      <c r="CI23">
        <v>1749544513.0999999</v>
      </c>
      <c r="CJ23">
        <v>1749544511.5999999</v>
      </c>
      <c r="CK23">
        <v>2</v>
      </c>
      <c r="CL23">
        <v>-1E-3</v>
      </c>
      <c r="CM23">
        <v>-1E-3</v>
      </c>
      <c r="CN23">
        <v>3.7469999999999999</v>
      </c>
      <c r="CO23">
        <v>0.254</v>
      </c>
      <c r="CP23">
        <v>450</v>
      </c>
      <c r="CQ23">
        <v>19</v>
      </c>
      <c r="CR23">
        <v>0.37</v>
      </c>
      <c r="CS23">
        <v>0.18</v>
      </c>
      <c r="CT23">
        <v>-33.595865000000003</v>
      </c>
      <c r="CU23">
        <v>-9.2251407129322588E-2</v>
      </c>
      <c r="CV23">
        <v>2.6812017361623381E-2</v>
      </c>
      <c r="CW23">
        <v>1</v>
      </c>
      <c r="CX23">
        <v>0</v>
      </c>
      <c r="CY23">
        <v>0</v>
      </c>
      <c r="CZ23">
        <v>0</v>
      </c>
      <c r="DA23">
        <v>-1</v>
      </c>
      <c r="DB23">
        <v>3.3627085000000001</v>
      </c>
      <c r="DC23">
        <v>-5.1532908067536937E-2</v>
      </c>
      <c r="DD23">
        <v>5.0408181627588974E-3</v>
      </c>
      <c r="DE23">
        <v>1</v>
      </c>
      <c r="DF23">
        <v>2</v>
      </c>
      <c r="DG23">
        <v>2</v>
      </c>
      <c r="DH23" t="s">
        <v>338</v>
      </c>
      <c r="DI23">
        <v>3.0244599999999999</v>
      </c>
      <c r="DJ23">
        <v>2.6913399999999998</v>
      </c>
      <c r="DK23">
        <v>9.6424700000000002E-2</v>
      </c>
      <c r="DL23">
        <v>0.10337</v>
      </c>
      <c r="DM23">
        <v>0.116504</v>
      </c>
      <c r="DN23">
        <v>0.105392</v>
      </c>
      <c r="DO23">
        <v>25178.799999999999</v>
      </c>
      <c r="DP23">
        <v>16964</v>
      </c>
      <c r="DQ23">
        <v>26439.200000000001</v>
      </c>
      <c r="DR23">
        <v>17195.3</v>
      </c>
      <c r="DS23">
        <v>33226.9</v>
      </c>
      <c r="DT23">
        <v>20081.7</v>
      </c>
      <c r="DU23">
        <v>38518.199999999997</v>
      </c>
      <c r="DV23">
        <v>22774.9</v>
      </c>
      <c r="DW23">
        <v>1.7991200000000001</v>
      </c>
      <c r="DX23">
        <v>2.2015600000000002</v>
      </c>
      <c r="DY23">
        <v>6.4009399999999994E-2</v>
      </c>
      <c r="DZ23">
        <v>0</v>
      </c>
      <c r="EA23">
        <v>24.546900000000001</v>
      </c>
      <c r="EB23">
        <v>999.9</v>
      </c>
      <c r="EC23">
        <v>53.2</v>
      </c>
      <c r="ED23">
        <v>31.5</v>
      </c>
      <c r="EE23">
        <v>24.165400000000002</v>
      </c>
      <c r="EF23">
        <v>62.879399999999997</v>
      </c>
      <c r="EG23">
        <v>35.841299999999997</v>
      </c>
      <c r="EH23">
        <v>1</v>
      </c>
      <c r="EI23">
        <v>3.4969500000000001E-2</v>
      </c>
      <c r="EJ23">
        <v>-0.28208100000000003</v>
      </c>
      <c r="EK23">
        <v>20.343299999999999</v>
      </c>
      <c r="EL23">
        <v>5.2515499999999999</v>
      </c>
      <c r="EM23">
        <v>11.962</v>
      </c>
      <c r="EN23">
        <v>4.9897600000000004</v>
      </c>
      <c r="EO23">
        <v>3.2917000000000001</v>
      </c>
      <c r="EP23">
        <v>9999</v>
      </c>
      <c r="EQ23">
        <v>9999</v>
      </c>
      <c r="ER23">
        <v>9999</v>
      </c>
      <c r="ES23">
        <v>999.9</v>
      </c>
      <c r="ET23">
        <v>4.9726600000000003</v>
      </c>
      <c r="EU23">
        <v>1.8719399999999999</v>
      </c>
      <c r="EV23">
        <v>1.87215</v>
      </c>
      <c r="EW23">
        <v>1.87717</v>
      </c>
      <c r="EX23">
        <v>1.87134</v>
      </c>
      <c r="EY23">
        <v>1.87212</v>
      </c>
      <c r="EZ23">
        <v>1.8717999999999999</v>
      </c>
      <c r="FA23">
        <v>1.8686199999999999</v>
      </c>
      <c r="FB23">
        <v>0</v>
      </c>
      <c r="FC23">
        <v>0</v>
      </c>
      <c r="FD23">
        <v>0</v>
      </c>
      <c r="FE23">
        <v>0</v>
      </c>
      <c r="FF23" t="s">
        <v>339</v>
      </c>
      <c r="FG23" t="s">
        <v>340</v>
      </c>
      <c r="FH23" t="s">
        <v>341</v>
      </c>
      <c r="FI23" t="s">
        <v>341</v>
      </c>
      <c r="FJ23" t="s">
        <v>341</v>
      </c>
      <c r="FK23" t="s">
        <v>341</v>
      </c>
      <c r="FL23">
        <v>0</v>
      </c>
      <c r="FM23">
        <v>100</v>
      </c>
      <c r="FN23">
        <v>100</v>
      </c>
      <c r="FO23">
        <v>3.45</v>
      </c>
      <c r="FP23">
        <v>0.25359999999999999</v>
      </c>
      <c r="FQ23">
        <v>2.4079072826054929E-2</v>
      </c>
      <c r="FR23">
        <v>7.6898218637449396E-3</v>
      </c>
      <c r="FS23">
        <v>1.5097418776848419E-6</v>
      </c>
      <c r="FT23">
        <v>-9.8458676114205118E-11</v>
      </c>
      <c r="FU23">
        <v>0.25358499999999401</v>
      </c>
      <c r="FV23">
        <v>0</v>
      </c>
      <c r="FW23">
        <v>0</v>
      </c>
      <c r="FX23">
        <v>0</v>
      </c>
      <c r="FY23">
        <v>3</v>
      </c>
      <c r="FZ23">
        <v>2164</v>
      </c>
      <c r="GA23">
        <v>-1</v>
      </c>
      <c r="GB23">
        <v>-1</v>
      </c>
      <c r="GC23">
        <v>277.8</v>
      </c>
      <c r="GD23">
        <v>277.89999999999998</v>
      </c>
      <c r="GE23">
        <v>1.10107</v>
      </c>
      <c r="GF23">
        <v>2.64771</v>
      </c>
      <c r="GG23">
        <v>1.79932</v>
      </c>
      <c r="GH23">
        <v>2.3754900000000001</v>
      </c>
      <c r="GI23">
        <v>1.5979000000000001</v>
      </c>
      <c r="GJ23">
        <v>2.4072300000000002</v>
      </c>
      <c r="GK23">
        <v>34.646299999999997</v>
      </c>
      <c r="GL23">
        <v>24.157499999999999</v>
      </c>
      <c r="GM23">
        <v>18</v>
      </c>
      <c r="GN23">
        <v>364.733</v>
      </c>
      <c r="GO23">
        <v>680.97500000000002</v>
      </c>
      <c r="GP23">
        <v>25.829499999999999</v>
      </c>
      <c r="GQ23">
        <v>27.5106</v>
      </c>
      <c r="GR23">
        <v>30.0001</v>
      </c>
      <c r="GS23">
        <v>27.475300000000001</v>
      </c>
      <c r="GT23">
        <v>27.497800000000002</v>
      </c>
      <c r="GU23">
        <v>21.995699999999999</v>
      </c>
      <c r="GV23">
        <v>25.409800000000001</v>
      </c>
      <c r="GW23">
        <v>0</v>
      </c>
      <c r="GX23">
        <v>25.83</v>
      </c>
      <c r="GY23">
        <v>450</v>
      </c>
      <c r="GZ23">
        <v>19.5</v>
      </c>
      <c r="HA23">
        <v>100.47</v>
      </c>
      <c r="HB23">
        <v>71.104600000000005</v>
      </c>
    </row>
    <row r="24" spans="1:210" x14ac:dyDescent="0.3">
      <c r="A24">
        <v>8</v>
      </c>
      <c r="B24">
        <v>1749561364.5</v>
      </c>
      <c r="C24">
        <v>1263.900000095367</v>
      </c>
      <c r="D24" t="s">
        <v>354</v>
      </c>
      <c r="E24" t="s">
        <v>355</v>
      </c>
      <c r="F24">
        <v>15</v>
      </c>
      <c r="G24">
        <v>1749561356.75</v>
      </c>
      <c r="H24">
        <f t="shared" si="0"/>
        <v>1.4723242039356035E-3</v>
      </c>
      <c r="I24">
        <f t="shared" si="1"/>
        <v>1.4723242039356035</v>
      </c>
      <c r="J24">
        <f t="shared" si="2"/>
        <v>14.18272102825973</v>
      </c>
      <c r="K24">
        <f t="shared" si="3"/>
        <v>416.70760000000013</v>
      </c>
      <c r="L24">
        <f t="shared" si="4"/>
        <v>263.11219424400036</v>
      </c>
      <c r="M24">
        <f t="shared" si="5"/>
        <v>26.911674179313646</v>
      </c>
      <c r="N24">
        <f t="shared" si="6"/>
        <v>42.621738576069347</v>
      </c>
      <c r="O24">
        <f t="shared" si="7"/>
        <v>0.1575884732579681</v>
      </c>
      <c r="P24">
        <f t="shared" si="8"/>
        <v>2.4296440281374978</v>
      </c>
      <c r="Q24">
        <f t="shared" si="9"/>
        <v>0.15220473102429224</v>
      </c>
      <c r="R24">
        <f t="shared" si="10"/>
        <v>9.5596469989963628E-2</v>
      </c>
      <c r="S24">
        <f t="shared" si="11"/>
        <v>87.797670000000011</v>
      </c>
      <c r="T24">
        <f t="shared" si="12"/>
        <v>26.119850439028454</v>
      </c>
      <c r="U24">
        <f t="shared" si="13"/>
        <v>25.553316666666671</v>
      </c>
      <c r="V24">
        <f t="shared" si="14"/>
        <v>3.2860937726979356</v>
      </c>
      <c r="W24">
        <f t="shared" si="15"/>
        <v>69.034840480514518</v>
      </c>
      <c r="X24">
        <f t="shared" si="16"/>
        <v>2.3238198633085805</v>
      </c>
      <c r="Y24">
        <f t="shared" si="17"/>
        <v>3.3661551864735491</v>
      </c>
      <c r="Z24">
        <f t="shared" si="18"/>
        <v>0.96227390938935509</v>
      </c>
      <c r="AA24">
        <f t="shared" si="19"/>
        <v>-64.929497393560112</v>
      </c>
      <c r="AB24">
        <f t="shared" si="20"/>
        <v>53.188131945950609</v>
      </c>
      <c r="AC24">
        <f t="shared" si="21"/>
        <v>4.665894446006563</v>
      </c>
      <c r="AD24">
        <f t="shared" si="22"/>
        <v>80.722198998397062</v>
      </c>
      <c r="AE24">
        <f t="shared" si="23"/>
        <v>14.18272102825973</v>
      </c>
      <c r="AF24">
        <f t="shared" si="24"/>
        <v>1.4723242039356035</v>
      </c>
      <c r="AG24">
        <f t="shared" si="25"/>
        <v>14.189842002523877</v>
      </c>
      <c r="AH24">
        <v>458.9363448783642</v>
      </c>
      <c r="AI24">
        <v>426.37824242424227</v>
      </c>
      <c r="AJ24">
        <v>-2.193185351049285E-4</v>
      </c>
      <c r="AK24">
        <v>83.929830234139885</v>
      </c>
      <c r="AL24">
        <f t="shared" si="26"/>
        <v>1.4700503324429088</v>
      </c>
      <c r="AM24">
        <v>19.48211672974546</v>
      </c>
      <c r="AN24">
        <v>22.71445076228121</v>
      </c>
      <c r="AO24">
        <v>-3.2814929979503421E-7</v>
      </c>
      <c r="AP24">
        <v>90.573349035339163</v>
      </c>
      <c r="AQ24">
        <v>0</v>
      </c>
      <c r="AR24">
        <v>0</v>
      </c>
      <c r="AS24">
        <f t="shared" si="27"/>
        <v>1</v>
      </c>
      <c r="AT24">
        <f t="shared" si="28"/>
        <v>0</v>
      </c>
      <c r="AU24">
        <f t="shared" si="29"/>
        <v>54226.357158696803</v>
      </c>
      <c r="AV24">
        <f t="shared" si="30"/>
        <v>462.09300000000002</v>
      </c>
      <c r="AW24">
        <f t="shared" si="31"/>
        <v>369.67440000000005</v>
      </c>
      <c r="AX24">
        <f t="shared" si="32"/>
        <v>0.8</v>
      </c>
      <c r="AY24">
        <f t="shared" si="33"/>
        <v>0.19</v>
      </c>
      <c r="AZ24">
        <v>9</v>
      </c>
      <c r="BA24">
        <v>1.88</v>
      </c>
      <c r="BB24" t="s">
        <v>336</v>
      </c>
      <c r="BC24">
        <v>2</v>
      </c>
      <c r="BD24" t="b">
        <v>0</v>
      </c>
      <c r="BE24">
        <v>1749561356.75</v>
      </c>
      <c r="BF24">
        <v>416.70760000000013</v>
      </c>
      <c r="BG24">
        <v>449.99759999999998</v>
      </c>
      <c r="BH24">
        <v>22.719706666666671</v>
      </c>
      <c r="BI24">
        <v>19.482393333333331</v>
      </c>
      <c r="BJ24">
        <v>413.25476666666663</v>
      </c>
      <c r="BK24">
        <v>22.466123333333329</v>
      </c>
      <c r="BL24">
        <v>400.01876666666658</v>
      </c>
      <c r="BM24">
        <v>102.18210000000001</v>
      </c>
      <c r="BN24">
        <v>0.1000243866666667</v>
      </c>
      <c r="BO24">
        <v>25.959373333333339</v>
      </c>
      <c r="BP24">
        <v>25.553316666666671</v>
      </c>
      <c r="BQ24">
        <v>999.9000000000002</v>
      </c>
      <c r="BR24">
        <v>0</v>
      </c>
      <c r="BS24">
        <v>0</v>
      </c>
      <c r="BT24">
        <v>10001.4</v>
      </c>
      <c r="BU24">
        <v>462.09300000000002</v>
      </c>
      <c r="BV24">
        <v>11.2888</v>
      </c>
      <c r="BW24">
        <v>-33.290016666666673</v>
      </c>
      <c r="BX24">
        <v>426.39513333333332</v>
      </c>
      <c r="BY24">
        <v>458.93873333333329</v>
      </c>
      <c r="BZ24">
        <v>3.2373063333333341</v>
      </c>
      <c r="CA24">
        <v>449.99759999999998</v>
      </c>
      <c r="CB24">
        <v>19.482393333333331</v>
      </c>
      <c r="CC24">
        <v>2.321546666666666</v>
      </c>
      <c r="CD24">
        <v>1.9907526666666659</v>
      </c>
      <c r="CE24">
        <v>19.82669666666667</v>
      </c>
      <c r="CF24">
        <v>17.370976666666671</v>
      </c>
      <c r="CG24">
        <v>1749544513.0999999</v>
      </c>
      <c r="CH24" t="s">
        <v>337</v>
      </c>
      <c r="CI24">
        <v>1749544513.0999999</v>
      </c>
      <c r="CJ24">
        <v>1749544511.5999999</v>
      </c>
      <c r="CK24">
        <v>2</v>
      </c>
      <c r="CL24">
        <v>-1E-3</v>
      </c>
      <c r="CM24">
        <v>-1E-3</v>
      </c>
      <c r="CN24">
        <v>3.7469999999999999</v>
      </c>
      <c r="CO24">
        <v>0.254</v>
      </c>
      <c r="CP24">
        <v>450</v>
      </c>
      <c r="CQ24">
        <v>19</v>
      </c>
      <c r="CR24">
        <v>0.37</v>
      </c>
      <c r="CS24">
        <v>0.18</v>
      </c>
      <c r="CT24">
        <v>-33.30679756097561</v>
      </c>
      <c r="CU24">
        <v>0.1738871080138934</v>
      </c>
      <c r="CV24">
        <v>4.1122550266156979E-2</v>
      </c>
      <c r="CW24">
        <v>1</v>
      </c>
      <c r="CX24">
        <v>0</v>
      </c>
      <c r="CY24">
        <v>0</v>
      </c>
      <c r="CZ24">
        <v>0</v>
      </c>
      <c r="DA24">
        <v>-1</v>
      </c>
      <c r="DB24">
        <v>3.2380019512195122</v>
      </c>
      <c r="DC24">
        <v>-1.623554006967504E-2</v>
      </c>
      <c r="DD24">
        <v>2.0189893867878189E-3</v>
      </c>
      <c r="DE24">
        <v>1</v>
      </c>
      <c r="DF24">
        <v>2</v>
      </c>
      <c r="DG24">
        <v>2</v>
      </c>
      <c r="DH24" t="s">
        <v>338</v>
      </c>
      <c r="DI24">
        <v>3.0246300000000002</v>
      </c>
      <c r="DJ24">
        <v>2.6912500000000001</v>
      </c>
      <c r="DK24">
        <v>9.6481399999999995E-2</v>
      </c>
      <c r="DL24">
        <v>0.103394</v>
      </c>
      <c r="DM24">
        <v>0.115964</v>
      </c>
      <c r="DN24">
        <v>0.105285</v>
      </c>
      <c r="DO24">
        <v>25180.3</v>
      </c>
      <c r="DP24">
        <v>16965.2</v>
      </c>
      <c r="DQ24">
        <v>26442.2</v>
      </c>
      <c r="DR24">
        <v>17196.8</v>
      </c>
      <c r="DS24">
        <v>33251.199999999997</v>
      </c>
      <c r="DT24">
        <v>20085.8</v>
      </c>
      <c r="DU24">
        <v>38522.699999999997</v>
      </c>
      <c r="DV24">
        <v>22776.9</v>
      </c>
      <c r="DW24">
        <v>1.79976</v>
      </c>
      <c r="DX24">
        <v>2.202</v>
      </c>
      <c r="DY24">
        <v>6.7806199999999997E-2</v>
      </c>
      <c r="DZ24">
        <v>0</v>
      </c>
      <c r="EA24">
        <v>24.435099999999998</v>
      </c>
      <c r="EB24">
        <v>999.9</v>
      </c>
      <c r="EC24">
        <v>53.1</v>
      </c>
      <c r="ED24">
        <v>31.5</v>
      </c>
      <c r="EE24">
        <v>24.119</v>
      </c>
      <c r="EF24">
        <v>62.659399999999998</v>
      </c>
      <c r="EG24">
        <v>35.801299999999998</v>
      </c>
      <c r="EH24">
        <v>1</v>
      </c>
      <c r="EI24">
        <v>3.1022399999999999E-2</v>
      </c>
      <c r="EJ24">
        <v>-0.337505</v>
      </c>
      <c r="EK24">
        <v>20.3431</v>
      </c>
      <c r="EL24">
        <v>5.2526299999999999</v>
      </c>
      <c r="EM24">
        <v>11.962</v>
      </c>
      <c r="EN24">
        <v>4.9896399999999996</v>
      </c>
      <c r="EO24">
        <v>3.2917800000000002</v>
      </c>
      <c r="EP24">
        <v>9999</v>
      </c>
      <c r="EQ24">
        <v>9999</v>
      </c>
      <c r="ER24">
        <v>9999</v>
      </c>
      <c r="ES24">
        <v>999.9</v>
      </c>
      <c r="ET24">
        <v>4.97262</v>
      </c>
      <c r="EU24">
        <v>1.8719300000000001</v>
      </c>
      <c r="EV24">
        <v>1.8721099999999999</v>
      </c>
      <c r="EW24">
        <v>1.8771500000000001</v>
      </c>
      <c r="EX24">
        <v>1.87134</v>
      </c>
      <c r="EY24">
        <v>1.8721000000000001</v>
      </c>
      <c r="EZ24">
        <v>1.8717999999999999</v>
      </c>
      <c r="FA24">
        <v>1.86859</v>
      </c>
      <c r="FB24">
        <v>0</v>
      </c>
      <c r="FC24">
        <v>0</v>
      </c>
      <c r="FD24">
        <v>0</v>
      </c>
      <c r="FE24">
        <v>0</v>
      </c>
      <c r="FF24" t="s">
        <v>339</v>
      </c>
      <c r="FG24" t="s">
        <v>340</v>
      </c>
      <c r="FH24" t="s">
        <v>341</v>
      </c>
      <c r="FI24" t="s">
        <v>341</v>
      </c>
      <c r="FJ24" t="s">
        <v>341</v>
      </c>
      <c r="FK24" t="s">
        <v>341</v>
      </c>
      <c r="FL24">
        <v>0</v>
      </c>
      <c r="FM24">
        <v>100</v>
      </c>
      <c r="FN24">
        <v>100</v>
      </c>
      <c r="FO24">
        <v>3.452</v>
      </c>
      <c r="FP24">
        <v>0.25359999999999999</v>
      </c>
      <c r="FQ24">
        <v>2.4079072826054929E-2</v>
      </c>
      <c r="FR24">
        <v>7.6898218637449396E-3</v>
      </c>
      <c r="FS24">
        <v>1.5097418776848419E-6</v>
      </c>
      <c r="FT24">
        <v>-9.8458676114205118E-11</v>
      </c>
      <c r="FU24">
        <v>0.25358499999999401</v>
      </c>
      <c r="FV24">
        <v>0</v>
      </c>
      <c r="FW24">
        <v>0</v>
      </c>
      <c r="FX24">
        <v>0</v>
      </c>
      <c r="FY24">
        <v>3</v>
      </c>
      <c r="FZ24">
        <v>2164</v>
      </c>
      <c r="GA24">
        <v>-1</v>
      </c>
      <c r="GB24">
        <v>-1</v>
      </c>
      <c r="GC24">
        <v>280.89999999999998</v>
      </c>
      <c r="GD24">
        <v>280.89999999999998</v>
      </c>
      <c r="GE24">
        <v>1.10107</v>
      </c>
      <c r="GF24">
        <v>2.65503</v>
      </c>
      <c r="GG24">
        <v>1.7981</v>
      </c>
      <c r="GH24">
        <v>2.3754900000000001</v>
      </c>
      <c r="GI24">
        <v>1.5979000000000001</v>
      </c>
      <c r="GJ24">
        <v>2.4023400000000001</v>
      </c>
      <c r="GK24">
        <v>34.6235</v>
      </c>
      <c r="GL24">
        <v>24.157499999999999</v>
      </c>
      <c r="GM24">
        <v>18</v>
      </c>
      <c r="GN24">
        <v>364.79500000000002</v>
      </c>
      <c r="GO24">
        <v>680.84699999999998</v>
      </c>
      <c r="GP24">
        <v>25.829699999999999</v>
      </c>
      <c r="GQ24">
        <v>27.456900000000001</v>
      </c>
      <c r="GR24">
        <v>29.9999</v>
      </c>
      <c r="GS24">
        <v>27.434899999999999</v>
      </c>
      <c r="GT24">
        <v>27.4575</v>
      </c>
      <c r="GU24">
        <v>21.991499999999998</v>
      </c>
      <c r="GV24">
        <v>25.409800000000001</v>
      </c>
      <c r="GW24">
        <v>0</v>
      </c>
      <c r="GX24">
        <v>25.83</v>
      </c>
      <c r="GY24">
        <v>450</v>
      </c>
      <c r="GZ24">
        <v>19.5</v>
      </c>
      <c r="HA24">
        <v>100.482</v>
      </c>
      <c r="HB24">
        <v>71.110799999999998</v>
      </c>
    </row>
    <row r="25" spans="1:210" x14ac:dyDescent="0.3">
      <c r="A25">
        <v>9</v>
      </c>
      <c r="B25">
        <v>1749561545</v>
      </c>
      <c r="C25">
        <v>1444.400000095367</v>
      </c>
      <c r="D25" t="s">
        <v>356</v>
      </c>
      <c r="E25" t="s">
        <v>357</v>
      </c>
      <c r="F25">
        <v>15</v>
      </c>
      <c r="G25">
        <v>1749561537.25</v>
      </c>
      <c r="H25">
        <f t="shared" si="0"/>
        <v>1.3887645223504153E-3</v>
      </c>
      <c r="I25">
        <f t="shared" si="1"/>
        <v>1.3887645223504153</v>
      </c>
      <c r="J25">
        <f t="shared" si="2"/>
        <v>17.937167429469074</v>
      </c>
      <c r="K25">
        <f t="shared" si="3"/>
        <v>557.89400000000001</v>
      </c>
      <c r="L25">
        <f t="shared" si="4"/>
        <v>348.22462486806592</v>
      </c>
      <c r="M25">
        <f t="shared" si="5"/>
        <v>35.616727339540425</v>
      </c>
      <c r="N25">
        <f t="shared" si="6"/>
        <v>57.061899312531317</v>
      </c>
      <c r="O25">
        <f t="shared" si="7"/>
        <v>0.14565006880563466</v>
      </c>
      <c r="P25">
        <f t="shared" si="8"/>
        <v>2.4290131381838367</v>
      </c>
      <c r="Q25">
        <f t="shared" si="9"/>
        <v>0.14103724350868449</v>
      </c>
      <c r="R25">
        <f t="shared" si="10"/>
        <v>8.8550653224463927E-2</v>
      </c>
      <c r="S25">
        <f t="shared" si="11"/>
        <v>87.801894333333337</v>
      </c>
      <c r="T25">
        <f t="shared" si="12"/>
        <v>26.115891742249556</v>
      </c>
      <c r="U25">
        <f t="shared" si="13"/>
        <v>25.524709999999999</v>
      </c>
      <c r="V25">
        <f t="shared" si="14"/>
        <v>3.2805167133406843</v>
      </c>
      <c r="W25">
        <f t="shared" si="15"/>
        <v>68.473757056971081</v>
      </c>
      <c r="X25">
        <f t="shared" si="16"/>
        <v>2.3008572136183569</v>
      </c>
      <c r="Y25">
        <f t="shared" si="17"/>
        <v>3.3602029631644323</v>
      </c>
      <c r="Z25">
        <f t="shared" si="18"/>
        <v>0.97965949972232735</v>
      </c>
      <c r="AA25">
        <f t="shared" si="19"/>
        <v>-61.244515435653312</v>
      </c>
      <c r="AB25">
        <f t="shared" si="20"/>
        <v>53.005391614031488</v>
      </c>
      <c r="AC25">
        <f t="shared" si="21"/>
        <v>4.6497053234465167</v>
      </c>
      <c r="AD25">
        <f t="shared" si="22"/>
        <v>84.212475835158017</v>
      </c>
      <c r="AE25">
        <f t="shared" si="23"/>
        <v>17.937167429469074</v>
      </c>
      <c r="AF25">
        <f t="shared" si="24"/>
        <v>1.3887645223504153</v>
      </c>
      <c r="AG25">
        <f t="shared" si="25"/>
        <v>17.932431823559124</v>
      </c>
      <c r="AH25">
        <v>611.90099093848698</v>
      </c>
      <c r="AI25">
        <v>570.75510303030296</v>
      </c>
      <c r="AJ25">
        <v>-1.10022924369855E-4</v>
      </c>
      <c r="AK25">
        <v>83.929830234139885</v>
      </c>
      <c r="AL25">
        <f t="shared" si="26"/>
        <v>1.3823827084972531</v>
      </c>
      <c r="AM25">
        <v>19.440360739643349</v>
      </c>
      <c r="AN25">
        <v>22.480726933935639</v>
      </c>
      <c r="AO25">
        <v>-1.005383407184437E-6</v>
      </c>
      <c r="AP25">
        <v>90.573349035339163</v>
      </c>
      <c r="AQ25">
        <v>0</v>
      </c>
      <c r="AR25">
        <v>0</v>
      </c>
      <c r="AS25">
        <f t="shared" si="27"/>
        <v>1</v>
      </c>
      <c r="AT25">
        <f t="shared" si="28"/>
        <v>0</v>
      </c>
      <c r="AU25">
        <f t="shared" si="29"/>
        <v>54210.495873549095</v>
      </c>
      <c r="AV25">
        <f t="shared" si="30"/>
        <v>462.11523333333332</v>
      </c>
      <c r="AW25">
        <f t="shared" si="31"/>
        <v>369.69218666666666</v>
      </c>
      <c r="AX25">
        <f t="shared" si="32"/>
        <v>0.8</v>
      </c>
      <c r="AY25">
        <f t="shared" si="33"/>
        <v>0.19</v>
      </c>
      <c r="AZ25">
        <v>9</v>
      </c>
      <c r="BA25">
        <v>1.88</v>
      </c>
      <c r="BB25" t="s">
        <v>336</v>
      </c>
      <c r="BC25">
        <v>2</v>
      </c>
      <c r="BD25" t="b">
        <v>0</v>
      </c>
      <c r="BE25">
        <v>1749561537.25</v>
      </c>
      <c r="BF25">
        <v>557.89400000000001</v>
      </c>
      <c r="BG25">
        <v>599.99476666666669</v>
      </c>
      <c r="BH25">
        <v>22.495473333333329</v>
      </c>
      <c r="BI25">
        <v>19.441126666666669</v>
      </c>
      <c r="BJ25">
        <v>553.17066666666665</v>
      </c>
      <c r="BK25">
        <v>22.241890000000001</v>
      </c>
      <c r="BL25">
        <v>400.01066666666668</v>
      </c>
      <c r="BM25">
        <v>102.1808666666667</v>
      </c>
      <c r="BN25">
        <v>0.10003134</v>
      </c>
      <c r="BO25">
        <v>25.92947666666667</v>
      </c>
      <c r="BP25">
        <v>25.524709999999999</v>
      </c>
      <c r="BQ25">
        <v>999.9000000000002</v>
      </c>
      <c r="BR25">
        <v>0</v>
      </c>
      <c r="BS25">
        <v>0</v>
      </c>
      <c r="BT25">
        <v>9997.4333333333325</v>
      </c>
      <c r="BU25">
        <v>462.11523333333332</v>
      </c>
      <c r="BV25">
        <v>11.31386333333333</v>
      </c>
      <c r="BW25">
        <v>-42.100713333333339</v>
      </c>
      <c r="BX25">
        <v>570.73293333333322</v>
      </c>
      <c r="BY25">
        <v>611.89053333333334</v>
      </c>
      <c r="BZ25">
        <v>3.0543500000000008</v>
      </c>
      <c r="CA25">
        <v>599.99476666666669</v>
      </c>
      <c r="CB25">
        <v>19.441126666666669</v>
      </c>
      <c r="CC25">
        <v>2.2986059999999999</v>
      </c>
      <c r="CD25">
        <v>1.986509333333333</v>
      </c>
      <c r="CE25">
        <v>19.666630000000001</v>
      </c>
      <c r="CF25">
        <v>17.337203333333331</v>
      </c>
      <c r="CG25">
        <v>1749544513.0999999</v>
      </c>
      <c r="CH25" t="s">
        <v>337</v>
      </c>
      <c r="CI25">
        <v>1749544513.0999999</v>
      </c>
      <c r="CJ25">
        <v>1749544511.5999999</v>
      </c>
      <c r="CK25">
        <v>2</v>
      </c>
      <c r="CL25">
        <v>-1E-3</v>
      </c>
      <c r="CM25">
        <v>-1E-3</v>
      </c>
      <c r="CN25">
        <v>3.7469999999999999</v>
      </c>
      <c r="CO25">
        <v>0.254</v>
      </c>
      <c r="CP25">
        <v>450</v>
      </c>
      <c r="CQ25">
        <v>19</v>
      </c>
      <c r="CR25">
        <v>0.37</v>
      </c>
      <c r="CS25">
        <v>0.18</v>
      </c>
      <c r="CT25">
        <v>-42.123868292682928</v>
      </c>
      <c r="CU25">
        <v>0.44300069686406057</v>
      </c>
      <c r="CV25">
        <v>5.5426345056780908E-2</v>
      </c>
      <c r="CW25">
        <v>1</v>
      </c>
      <c r="CX25">
        <v>0</v>
      </c>
      <c r="CY25">
        <v>0</v>
      </c>
      <c r="CZ25">
        <v>0</v>
      </c>
      <c r="DA25">
        <v>-1</v>
      </c>
      <c r="DB25">
        <v>3.0589975609756102</v>
      </c>
      <c r="DC25">
        <v>-0.1060323344947703</v>
      </c>
      <c r="DD25">
        <v>1.0533655419187819E-2</v>
      </c>
      <c r="DE25">
        <v>0</v>
      </c>
      <c r="DF25">
        <v>1</v>
      </c>
      <c r="DG25">
        <v>2</v>
      </c>
      <c r="DH25" t="s">
        <v>358</v>
      </c>
      <c r="DI25">
        <v>3.0246300000000002</v>
      </c>
      <c r="DJ25">
        <v>2.6914699999999998</v>
      </c>
      <c r="DK25">
        <v>0.11944100000000001</v>
      </c>
      <c r="DL25">
        <v>0.12715899999999999</v>
      </c>
      <c r="DM25">
        <v>0.115132</v>
      </c>
      <c r="DN25">
        <v>0.10513500000000001</v>
      </c>
      <c r="DO25">
        <v>24544</v>
      </c>
      <c r="DP25">
        <v>16518.7</v>
      </c>
      <c r="DQ25">
        <v>26445.599999999999</v>
      </c>
      <c r="DR25">
        <v>17199.900000000001</v>
      </c>
      <c r="DS25">
        <v>33287.599999999999</v>
      </c>
      <c r="DT25">
        <v>20092.599999999999</v>
      </c>
      <c r="DU25">
        <v>38527.599999999999</v>
      </c>
      <c r="DV25">
        <v>22780.5</v>
      </c>
      <c r="DW25">
        <v>1.8007599999999999</v>
      </c>
      <c r="DX25">
        <v>2.2033399999999999</v>
      </c>
      <c r="DY25">
        <v>6.8470799999999998E-2</v>
      </c>
      <c r="DZ25">
        <v>0</v>
      </c>
      <c r="EA25">
        <v>24.389199999999999</v>
      </c>
      <c r="EB25">
        <v>999.9</v>
      </c>
      <c r="EC25">
        <v>53</v>
      </c>
      <c r="ED25">
        <v>31.5</v>
      </c>
      <c r="EE25">
        <v>24.075299999999999</v>
      </c>
      <c r="EF25">
        <v>62.799399999999999</v>
      </c>
      <c r="EG25">
        <v>36.037700000000001</v>
      </c>
      <c r="EH25">
        <v>1</v>
      </c>
      <c r="EI25">
        <v>2.56768E-2</v>
      </c>
      <c r="EJ25">
        <v>-0.36539700000000003</v>
      </c>
      <c r="EK25">
        <v>20.343</v>
      </c>
      <c r="EL25">
        <v>5.2531100000000004</v>
      </c>
      <c r="EM25">
        <v>11.962</v>
      </c>
      <c r="EN25">
        <v>4.9898400000000001</v>
      </c>
      <c r="EO25">
        <v>3.2917200000000002</v>
      </c>
      <c r="EP25">
        <v>9999</v>
      </c>
      <c r="EQ25">
        <v>9999</v>
      </c>
      <c r="ER25">
        <v>9999</v>
      </c>
      <c r="ES25">
        <v>999.9</v>
      </c>
      <c r="ET25">
        <v>4.9726800000000004</v>
      </c>
      <c r="EU25">
        <v>1.8719399999999999</v>
      </c>
      <c r="EV25">
        <v>1.87212</v>
      </c>
      <c r="EW25">
        <v>1.8771599999999999</v>
      </c>
      <c r="EX25">
        <v>1.87134</v>
      </c>
      <c r="EY25">
        <v>1.8721399999999999</v>
      </c>
      <c r="EZ25">
        <v>1.8717999999999999</v>
      </c>
      <c r="FA25">
        <v>1.86866</v>
      </c>
      <c r="FB25">
        <v>0</v>
      </c>
      <c r="FC25">
        <v>0</v>
      </c>
      <c r="FD25">
        <v>0</v>
      </c>
      <c r="FE25">
        <v>0</v>
      </c>
      <c r="FF25" t="s">
        <v>339</v>
      </c>
      <c r="FG25" t="s">
        <v>340</v>
      </c>
      <c r="FH25" t="s">
        <v>341</v>
      </c>
      <c r="FI25" t="s">
        <v>341</v>
      </c>
      <c r="FJ25" t="s">
        <v>341</v>
      </c>
      <c r="FK25" t="s">
        <v>341</v>
      </c>
      <c r="FL25">
        <v>0</v>
      </c>
      <c r="FM25">
        <v>100</v>
      </c>
      <c r="FN25">
        <v>100</v>
      </c>
      <c r="FO25">
        <v>4.7240000000000002</v>
      </c>
      <c r="FP25">
        <v>0.25359999999999999</v>
      </c>
      <c r="FQ25">
        <v>2.4079072826054929E-2</v>
      </c>
      <c r="FR25">
        <v>7.6898218637449396E-3</v>
      </c>
      <c r="FS25">
        <v>1.5097418776848419E-6</v>
      </c>
      <c r="FT25">
        <v>-9.8458676114205118E-11</v>
      </c>
      <c r="FU25">
        <v>0.25358499999999401</v>
      </c>
      <c r="FV25">
        <v>0</v>
      </c>
      <c r="FW25">
        <v>0</v>
      </c>
      <c r="FX25">
        <v>0</v>
      </c>
      <c r="FY25">
        <v>3</v>
      </c>
      <c r="FZ25">
        <v>2164</v>
      </c>
      <c r="GA25">
        <v>-1</v>
      </c>
      <c r="GB25">
        <v>-1</v>
      </c>
      <c r="GC25">
        <v>283.89999999999998</v>
      </c>
      <c r="GD25">
        <v>283.89999999999998</v>
      </c>
      <c r="GE25">
        <v>1.38794</v>
      </c>
      <c r="GF25">
        <v>2.6269499999999999</v>
      </c>
      <c r="GG25">
        <v>1.7981</v>
      </c>
      <c r="GH25">
        <v>2.3742700000000001</v>
      </c>
      <c r="GI25">
        <v>1.5979000000000001</v>
      </c>
      <c r="GJ25">
        <v>2.5561500000000001</v>
      </c>
      <c r="GK25">
        <v>34.554900000000004</v>
      </c>
      <c r="GL25">
        <v>24.1663</v>
      </c>
      <c r="GM25">
        <v>18</v>
      </c>
      <c r="GN25">
        <v>364.89499999999998</v>
      </c>
      <c r="GO25">
        <v>681.23</v>
      </c>
      <c r="GP25">
        <v>25.829899999999999</v>
      </c>
      <c r="GQ25">
        <v>27.384799999999998</v>
      </c>
      <c r="GR25">
        <v>30</v>
      </c>
      <c r="GS25">
        <v>27.372199999999999</v>
      </c>
      <c r="GT25">
        <v>27.395299999999999</v>
      </c>
      <c r="GU25">
        <v>27.730699999999999</v>
      </c>
      <c r="GV25">
        <v>25.139500000000002</v>
      </c>
      <c r="GW25">
        <v>0</v>
      </c>
      <c r="GX25">
        <v>25.83</v>
      </c>
      <c r="GY25">
        <v>600</v>
      </c>
      <c r="GZ25">
        <v>19.5</v>
      </c>
      <c r="HA25">
        <v>100.495</v>
      </c>
      <c r="HB25">
        <v>71.122799999999998</v>
      </c>
    </row>
    <row r="26" spans="1:210" x14ac:dyDescent="0.3">
      <c r="A26">
        <v>10</v>
      </c>
      <c r="B26">
        <v>1749561725.5</v>
      </c>
      <c r="C26">
        <v>1624.900000095367</v>
      </c>
      <c r="D26" t="s">
        <v>359</v>
      </c>
      <c r="E26" t="s">
        <v>360</v>
      </c>
      <c r="F26">
        <v>15</v>
      </c>
      <c r="G26">
        <v>1749561717.75</v>
      </c>
      <c r="H26">
        <f t="shared" si="0"/>
        <v>1.2098593435154266E-3</v>
      </c>
      <c r="I26">
        <f t="shared" si="1"/>
        <v>1.2098593435154266</v>
      </c>
      <c r="J26">
        <f t="shared" si="2"/>
        <v>22.363744976744361</v>
      </c>
      <c r="K26">
        <f t="shared" si="3"/>
        <v>847.36046666666675</v>
      </c>
      <c r="L26">
        <f t="shared" si="4"/>
        <v>535.3979611146957</v>
      </c>
      <c r="M26">
        <f t="shared" si="5"/>
        <v>54.760842878348534</v>
      </c>
      <c r="N26">
        <f t="shared" si="6"/>
        <v>86.668565714834529</v>
      </c>
      <c r="O26">
        <f t="shared" si="7"/>
        <v>0.12177687007804115</v>
      </c>
      <c r="P26">
        <f t="shared" si="8"/>
        <v>2.4296789650318322</v>
      </c>
      <c r="Q26">
        <f t="shared" si="9"/>
        <v>0.11853516633650778</v>
      </c>
      <c r="R26">
        <f t="shared" si="10"/>
        <v>7.4368605732067161E-2</v>
      </c>
      <c r="S26">
        <f t="shared" si="11"/>
        <v>87.818076000000005</v>
      </c>
      <c r="T26">
        <f t="shared" si="12"/>
        <v>26.155748001093475</v>
      </c>
      <c r="U26">
        <f t="shared" si="13"/>
        <v>25.512890000000009</v>
      </c>
      <c r="V26">
        <f t="shared" si="14"/>
        <v>3.2782147412854141</v>
      </c>
      <c r="W26">
        <f t="shared" si="15"/>
        <v>67.395513356907358</v>
      </c>
      <c r="X26">
        <f t="shared" si="16"/>
        <v>2.2625379708673226</v>
      </c>
      <c r="Y26">
        <f t="shared" si="17"/>
        <v>3.3571047361648079</v>
      </c>
      <c r="Z26">
        <f t="shared" si="18"/>
        <v>1.0156767704180916</v>
      </c>
      <c r="AA26">
        <f t="shared" si="19"/>
        <v>-53.35479704903031</v>
      </c>
      <c r="AB26">
        <f t="shared" si="20"/>
        <v>52.527403056496183</v>
      </c>
      <c r="AC26">
        <f t="shared" si="21"/>
        <v>4.605879013019412</v>
      </c>
      <c r="AD26">
        <f t="shared" si="22"/>
        <v>91.596561020485296</v>
      </c>
      <c r="AE26">
        <f t="shared" si="23"/>
        <v>22.363744976744361</v>
      </c>
      <c r="AF26">
        <f t="shared" si="24"/>
        <v>1.2098593435154266</v>
      </c>
      <c r="AG26">
        <f t="shared" si="25"/>
        <v>22.323635166516631</v>
      </c>
      <c r="AH26">
        <v>917.85941721933796</v>
      </c>
      <c r="AI26">
        <v>866.60789696969675</v>
      </c>
      <c r="AJ26">
        <v>3.38384112581423E-3</v>
      </c>
      <c r="AK26">
        <v>83.929830234139885</v>
      </c>
      <c r="AL26">
        <f t="shared" si="26"/>
        <v>1.2011903647836573</v>
      </c>
      <c r="AM26">
        <v>19.45969993068902</v>
      </c>
      <c r="AN26">
        <v>22.102515076228119</v>
      </c>
      <c r="AO26">
        <v>-8.8737515826742498E-7</v>
      </c>
      <c r="AP26">
        <v>90.573349035339163</v>
      </c>
      <c r="AQ26">
        <v>0</v>
      </c>
      <c r="AR26">
        <v>0</v>
      </c>
      <c r="AS26">
        <f t="shared" si="27"/>
        <v>1</v>
      </c>
      <c r="AT26">
        <f t="shared" si="28"/>
        <v>0</v>
      </c>
      <c r="AU26">
        <f t="shared" si="29"/>
        <v>54235.753329307154</v>
      </c>
      <c r="AV26">
        <f t="shared" si="30"/>
        <v>462.2004</v>
      </c>
      <c r="AW26">
        <f t="shared" si="31"/>
        <v>369.76032000000004</v>
      </c>
      <c r="AX26">
        <f t="shared" si="32"/>
        <v>0.8</v>
      </c>
      <c r="AY26">
        <f t="shared" si="33"/>
        <v>0.19</v>
      </c>
      <c r="AZ26">
        <v>9</v>
      </c>
      <c r="BA26">
        <v>1.88</v>
      </c>
      <c r="BB26" t="s">
        <v>336</v>
      </c>
      <c r="BC26">
        <v>2</v>
      </c>
      <c r="BD26" t="b">
        <v>0</v>
      </c>
      <c r="BE26">
        <v>1749561717.75</v>
      </c>
      <c r="BF26">
        <v>847.36046666666675</v>
      </c>
      <c r="BG26">
        <v>899.98286666666672</v>
      </c>
      <c r="BH26">
        <v>22.120883333333332</v>
      </c>
      <c r="BI26">
        <v>19.45905333333333</v>
      </c>
      <c r="BJ26">
        <v>839.87129999999991</v>
      </c>
      <c r="BK26">
        <v>21.867296666666661</v>
      </c>
      <c r="BL26">
        <v>400.02049999999991</v>
      </c>
      <c r="BM26">
        <v>102.1806666666667</v>
      </c>
      <c r="BN26">
        <v>9.9967283333333323E-2</v>
      </c>
      <c r="BO26">
        <v>25.91389666666667</v>
      </c>
      <c r="BP26">
        <v>25.512890000000009</v>
      </c>
      <c r="BQ26">
        <v>999.9000000000002</v>
      </c>
      <c r="BR26">
        <v>0</v>
      </c>
      <c r="BS26">
        <v>0</v>
      </c>
      <c r="BT26">
        <v>10001.76666666667</v>
      </c>
      <c r="BU26">
        <v>462.2004</v>
      </c>
      <c r="BV26">
        <v>11.345800000000001</v>
      </c>
      <c r="BW26">
        <v>-52.622450000000001</v>
      </c>
      <c r="BX26">
        <v>866.52886666666689</v>
      </c>
      <c r="BY26">
        <v>917.84330000000011</v>
      </c>
      <c r="BZ26">
        <v>2.6618276666666669</v>
      </c>
      <c r="CA26">
        <v>899.98286666666672</v>
      </c>
      <c r="CB26">
        <v>19.45905333333333</v>
      </c>
      <c r="CC26">
        <v>2.2603270000000002</v>
      </c>
      <c r="CD26">
        <v>1.988338333333334</v>
      </c>
      <c r="CE26">
        <v>19.396423333333331</v>
      </c>
      <c r="CF26">
        <v>17.351780000000002</v>
      </c>
      <c r="CG26">
        <v>1749544513.0999999</v>
      </c>
      <c r="CH26" t="s">
        <v>337</v>
      </c>
      <c r="CI26">
        <v>1749544513.0999999</v>
      </c>
      <c r="CJ26">
        <v>1749544511.5999999</v>
      </c>
      <c r="CK26">
        <v>2</v>
      </c>
      <c r="CL26">
        <v>-1E-3</v>
      </c>
      <c r="CM26">
        <v>-1E-3</v>
      </c>
      <c r="CN26">
        <v>3.7469999999999999</v>
      </c>
      <c r="CO26">
        <v>0.254</v>
      </c>
      <c r="CP26">
        <v>450</v>
      </c>
      <c r="CQ26">
        <v>19</v>
      </c>
      <c r="CR26">
        <v>0.37</v>
      </c>
      <c r="CS26">
        <v>0.18</v>
      </c>
      <c r="CT26">
        <v>-52.69427804878049</v>
      </c>
      <c r="CU26">
        <v>1.142395818815215</v>
      </c>
      <c r="CV26">
        <v>0.1218419258055191</v>
      </c>
      <c r="CW26">
        <v>0</v>
      </c>
      <c r="CX26">
        <v>0</v>
      </c>
      <c r="CY26">
        <v>0</v>
      </c>
      <c r="CZ26">
        <v>0</v>
      </c>
      <c r="DA26">
        <v>-1</v>
      </c>
      <c r="DB26">
        <v>2.668530731707317</v>
      </c>
      <c r="DC26">
        <v>-0.12694850174215699</v>
      </c>
      <c r="DD26">
        <v>1.254108436402449E-2</v>
      </c>
      <c r="DE26">
        <v>0</v>
      </c>
      <c r="DF26">
        <v>0</v>
      </c>
      <c r="DG26">
        <v>2</v>
      </c>
      <c r="DH26" t="s">
        <v>361</v>
      </c>
      <c r="DI26">
        <v>3.0245500000000001</v>
      </c>
      <c r="DJ26">
        <v>2.6914500000000001</v>
      </c>
      <c r="DK26">
        <v>0.15862799999999999</v>
      </c>
      <c r="DL26">
        <v>0.16690199999999999</v>
      </c>
      <c r="DM26">
        <v>0.11376500000000001</v>
      </c>
      <c r="DN26">
        <v>0.10521</v>
      </c>
      <c r="DO26">
        <v>23454.7</v>
      </c>
      <c r="DP26">
        <v>15767.7</v>
      </c>
      <c r="DQ26">
        <v>26448.6</v>
      </c>
      <c r="DR26">
        <v>17200.900000000001</v>
      </c>
      <c r="DS26">
        <v>33343.9</v>
      </c>
      <c r="DT26">
        <v>20093</v>
      </c>
      <c r="DU26">
        <v>38531.1</v>
      </c>
      <c r="DV26">
        <v>22782.5</v>
      </c>
      <c r="DW26">
        <v>1.8006</v>
      </c>
      <c r="DX26">
        <v>2.2058399999999998</v>
      </c>
      <c r="DY26">
        <v>7.0124900000000004E-2</v>
      </c>
      <c r="DZ26">
        <v>0</v>
      </c>
      <c r="EA26">
        <v>24.364599999999999</v>
      </c>
      <c r="EB26">
        <v>999.9</v>
      </c>
      <c r="EC26">
        <v>52.9</v>
      </c>
      <c r="ED26">
        <v>31.5</v>
      </c>
      <c r="EE26">
        <v>24.032900000000001</v>
      </c>
      <c r="EF26">
        <v>62.769399999999997</v>
      </c>
      <c r="EG26">
        <v>35.837299999999999</v>
      </c>
      <c r="EH26">
        <v>1</v>
      </c>
      <c r="EI26">
        <v>2.0792700000000001E-2</v>
      </c>
      <c r="EJ26">
        <v>-0.38025500000000001</v>
      </c>
      <c r="EK26">
        <v>20.3431</v>
      </c>
      <c r="EL26">
        <v>5.2527499999999998</v>
      </c>
      <c r="EM26">
        <v>11.962</v>
      </c>
      <c r="EN26">
        <v>4.9897200000000002</v>
      </c>
      <c r="EO26">
        <v>3.2917000000000001</v>
      </c>
      <c r="EP26">
        <v>9999</v>
      </c>
      <c r="EQ26">
        <v>9999</v>
      </c>
      <c r="ER26">
        <v>9999</v>
      </c>
      <c r="ES26">
        <v>999.9</v>
      </c>
      <c r="ET26">
        <v>4.9726800000000004</v>
      </c>
      <c r="EU26">
        <v>1.8719399999999999</v>
      </c>
      <c r="EV26">
        <v>1.8721000000000001</v>
      </c>
      <c r="EW26">
        <v>1.87717</v>
      </c>
      <c r="EX26">
        <v>1.87134</v>
      </c>
      <c r="EY26">
        <v>1.8721000000000001</v>
      </c>
      <c r="EZ26">
        <v>1.8717900000000001</v>
      </c>
      <c r="FA26">
        <v>1.8686</v>
      </c>
      <c r="FB26">
        <v>0</v>
      </c>
      <c r="FC26">
        <v>0</v>
      </c>
      <c r="FD26">
        <v>0</v>
      </c>
      <c r="FE26">
        <v>0</v>
      </c>
      <c r="FF26" t="s">
        <v>339</v>
      </c>
      <c r="FG26" t="s">
        <v>340</v>
      </c>
      <c r="FH26" t="s">
        <v>341</v>
      </c>
      <c r="FI26" t="s">
        <v>341</v>
      </c>
      <c r="FJ26" t="s">
        <v>341</v>
      </c>
      <c r="FK26" t="s">
        <v>341</v>
      </c>
      <c r="FL26">
        <v>0</v>
      </c>
      <c r="FM26">
        <v>100</v>
      </c>
      <c r="FN26">
        <v>100</v>
      </c>
      <c r="FO26">
        <v>7.49</v>
      </c>
      <c r="FP26">
        <v>0.2535</v>
      </c>
      <c r="FQ26">
        <v>2.4079072826054929E-2</v>
      </c>
      <c r="FR26">
        <v>7.6898218637449396E-3</v>
      </c>
      <c r="FS26">
        <v>1.5097418776848419E-6</v>
      </c>
      <c r="FT26">
        <v>-9.8458676114205118E-11</v>
      </c>
      <c r="FU26">
        <v>0.25358499999999401</v>
      </c>
      <c r="FV26">
        <v>0</v>
      </c>
      <c r="FW26">
        <v>0</v>
      </c>
      <c r="FX26">
        <v>0</v>
      </c>
      <c r="FY26">
        <v>3</v>
      </c>
      <c r="FZ26">
        <v>2164</v>
      </c>
      <c r="GA26">
        <v>-1</v>
      </c>
      <c r="GB26">
        <v>-1</v>
      </c>
      <c r="GC26">
        <v>286.89999999999998</v>
      </c>
      <c r="GD26">
        <v>286.89999999999998</v>
      </c>
      <c r="GE26">
        <v>1.9299299999999999</v>
      </c>
      <c r="GF26">
        <v>2.6135299999999999</v>
      </c>
      <c r="GG26">
        <v>1.7981</v>
      </c>
      <c r="GH26">
        <v>2.3754900000000001</v>
      </c>
      <c r="GI26">
        <v>1.5979000000000001</v>
      </c>
      <c r="GJ26">
        <v>2.5097700000000001</v>
      </c>
      <c r="GK26">
        <v>34.5321</v>
      </c>
      <c r="GL26">
        <v>24.157499999999999</v>
      </c>
      <c r="GM26">
        <v>18</v>
      </c>
      <c r="GN26">
        <v>364.39499999999998</v>
      </c>
      <c r="GO26">
        <v>682.62599999999998</v>
      </c>
      <c r="GP26">
        <v>25.829899999999999</v>
      </c>
      <c r="GQ26">
        <v>27.319900000000001</v>
      </c>
      <c r="GR26">
        <v>30</v>
      </c>
      <c r="GS26">
        <v>27.308700000000002</v>
      </c>
      <c r="GT26">
        <v>27.332599999999999</v>
      </c>
      <c r="GU26">
        <v>38.595100000000002</v>
      </c>
      <c r="GV26">
        <v>25.139500000000002</v>
      </c>
      <c r="GW26">
        <v>0</v>
      </c>
      <c r="GX26">
        <v>25.83</v>
      </c>
      <c r="GY26">
        <v>900</v>
      </c>
      <c r="GZ26">
        <v>19.5</v>
      </c>
      <c r="HA26">
        <v>100.505</v>
      </c>
      <c r="HB26">
        <v>71.128100000000003</v>
      </c>
    </row>
    <row r="27" spans="1:210" x14ac:dyDescent="0.3">
      <c r="A27">
        <v>11</v>
      </c>
      <c r="B27">
        <v>1749561906</v>
      </c>
      <c r="C27">
        <v>1805.400000095367</v>
      </c>
      <c r="D27" t="s">
        <v>362</v>
      </c>
      <c r="E27" t="s">
        <v>363</v>
      </c>
      <c r="F27">
        <v>15</v>
      </c>
      <c r="G27">
        <v>1749561898.25</v>
      </c>
      <c r="H27">
        <f t="shared" si="0"/>
        <v>1.0110027554252896E-3</v>
      </c>
      <c r="I27">
        <f t="shared" si="1"/>
        <v>1.0110027554252896</v>
      </c>
      <c r="J27">
        <f t="shared" si="2"/>
        <v>24.587534317725307</v>
      </c>
      <c r="K27">
        <f t="shared" si="3"/>
        <v>1142.0893333333329</v>
      </c>
      <c r="L27">
        <f t="shared" si="4"/>
        <v>715.67799365840733</v>
      </c>
      <c r="M27">
        <f t="shared" si="5"/>
        <v>73.194510019772778</v>
      </c>
      <c r="N27">
        <f t="shared" si="6"/>
        <v>116.80486181337291</v>
      </c>
      <c r="O27">
        <f t="shared" si="7"/>
        <v>9.7580804213714303E-2</v>
      </c>
      <c r="P27">
        <f t="shared" si="8"/>
        <v>2.4293059235614387</v>
      </c>
      <c r="Q27">
        <f t="shared" si="9"/>
        <v>9.5487181604334073E-2</v>
      </c>
      <c r="R27">
        <f t="shared" si="10"/>
        <v>5.9863882326509854E-2</v>
      </c>
      <c r="S27">
        <f t="shared" si="11"/>
        <v>87.810507666666666</v>
      </c>
      <c r="T27">
        <f t="shared" si="12"/>
        <v>26.21021461689412</v>
      </c>
      <c r="U27">
        <f t="shared" si="13"/>
        <v>25.509720000000009</v>
      </c>
      <c r="V27">
        <f t="shared" si="14"/>
        <v>3.2775976165641856</v>
      </c>
      <c r="W27">
        <f t="shared" si="15"/>
        <v>66.271485543881624</v>
      </c>
      <c r="X27">
        <f t="shared" si="16"/>
        <v>2.2238724305311068</v>
      </c>
      <c r="Y27">
        <f t="shared" si="17"/>
        <v>3.3557002869032879</v>
      </c>
      <c r="Z27">
        <f t="shared" si="18"/>
        <v>1.0537251860330787</v>
      </c>
      <c r="AA27">
        <f t="shared" si="19"/>
        <v>-44.585221514255274</v>
      </c>
      <c r="AB27">
        <f t="shared" si="20"/>
        <v>52.008996719069387</v>
      </c>
      <c r="AC27">
        <f t="shared" si="21"/>
        <v>4.5608882170187988</v>
      </c>
      <c r="AD27">
        <f t="shared" si="22"/>
        <v>99.795171088499586</v>
      </c>
      <c r="AE27">
        <f t="shared" si="23"/>
        <v>24.587534317725307</v>
      </c>
      <c r="AF27">
        <f t="shared" si="24"/>
        <v>1.0110027554252896</v>
      </c>
      <c r="AG27">
        <f t="shared" si="25"/>
        <v>24.502583202403379</v>
      </c>
      <c r="AH27">
        <v>1223.8679611631369</v>
      </c>
      <c r="AI27">
        <v>1167.587878787878</v>
      </c>
      <c r="AJ27">
        <v>6.067231215235838E-3</v>
      </c>
      <c r="AK27">
        <v>83.929830234139885</v>
      </c>
      <c r="AL27">
        <f t="shared" si="26"/>
        <v>1.0044091723241719</v>
      </c>
      <c r="AM27">
        <v>19.519319454425361</v>
      </c>
      <c r="AN27">
        <v>21.730120214568039</v>
      </c>
      <c r="AO27">
        <v>-1.196168201977331E-6</v>
      </c>
      <c r="AP27">
        <v>90.573349035339163</v>
      </c>
      <c r="AQ27">
        <v>0</v>
      </c>
      <c r="AR27">
        <v>0</v>
      </c>
      <c r="AS27">
        <f t="shared" si="27"/>
        <v>1</v>
      </c>
      <c r="AT27">
        <f t="shared" si="28"/>
        <v>0</v>
      </c>
      <c r="AU27">
        <f t="shared" si="29"/>
        <v>54224.298441560692</v>
      </c>
      <c r="AV27">
        <f t="shared" si="30"/>
        <v>462.16056666666668</v>
      </c>
      <c r="AW27">
        <f t="shared" si="31"/>
        <v>369.72845333333339</v>
      </c>
      <c r="AX27">
        <f t="shared" si="32"/>
        <v>0.8</v>
      </c>
      <c r="AY27">
        <f t="shared" si="33"/>
        <v>0.19</v>
      </c>
      <c r="AZ27">
        <v>9</v>
      </c>
      <c r="BA27">
        <v>1.88</v>
      </c>
      <c r="BB27" t="s">
        <v>336</v>
      </c>
      <c r="BC27">
        <v>2</v>
      </c>
      <c r="BD27" t="b">
        <v>0</v>
      </c>
      <c r="BE27">
        <v>1749561898.25</v>
      </c>
      <c r="BF27">
        <v>1142.0893333333329</v>
      </c>
      <c r="BG27">
        <v>1200.0086666666671</v>
      </c>
      <c r="BH27">
        <v>21.744479999999999</v>
      </c>
      <c r="BI27">
        <v>19.519210000000001</v>
      </c>
      <c r="BJ27">
        <v>1131.5719999999999</v>
      </c>
      <c r="BK27">
        <v>21.49089</v>
      </c>
      <c r="BL27">
        <v>400.00410000000011</v>
      </c>
      <c r="BM27">
        <v>102.173</v>
      </c>
      <c r="BN27">
        <v>9.9964473333333331E-2</v>
      </c>
      <c r="BO27">
        <v>25.90683000000001</v>
      </c>
      <c r="BP27">
        <v>25.509720000000009</v>
      </c>
      <c r="BQ27">
        <v>999.9000000000002</v>
      </c>
      <c r="BR27">
        <v>0</v>
      </c>
      <c r="BS27">
        <v>0</v>
      </c>
      <c r="BT27">
        <v>10000.1</v>
      </c>
      <c r="BU27">
        <v>462.16056666666668</v>
      </c>
      <c r="BV27">
        <v>11.327403333333329</v>
      </c>
      <c r="BW27">
        <v>-57.919273333333329</v>
      </c>
      <c r="BX27">
        <v>1167.474666666667</v>
      </c>
      <c r="BY27">
        <v>1223.8969999999999</v>
      </c>
      <c r="BZ27">
        <v>2.2252666666666672</v>
      </c>
      <c r="CA27">
        <v>1200.0086666666671</v>
      </c>
      <c r="CB27">
        <v>19.519210000000001</v>
      </c>
      <c r="CC27">
        <v>2.221698</v>
      </c>
      <c r="CD27">
        <v>1.994335</v>
      </c>
      <c r="CE27">
        <v>19.119646666666661</v>
      </c>
      <c r="CF27">
        <v>17.399433333333331</v>
      </c>
      <c r="CG27">
        <v>1749544513.0999999</v>
      </c>
      <c r="CH27" t="s">
        <v>337</v>
      </c>
      <c r="CI27">
        <v>1749544513.0999999</v>
      </c>
      <c r="CJ27">
        <v>1749544511.5999999</v>
      </c>
      <c r="CK27">
        <v>2</v>
      </c>
      <c r="CL27">
        <v>-1E-3</v>
      </c>
      <c r="CM27">
        <v>-1E-3</v>
      </c>
      <c r="CN27">
        <v>3.7469999999999999</v>
      </c>
      <c r="CO27">
        <v>0.254</v>
      </c>
      <c r="CP27">
        <v>450</v>
      </c>
      <c r="CQ27">
        <v>19</v>
      </c>
      <c r="CR27">
        <v>0.37</v>
      </c>
      <c r="CS27">
        <v>0.18</v>
      </c>
      <c r="CT27">
        <v>-57.94630731707317</v>
      </c>
      <c r="CU27">
        <v>0.90075679442510137</v>
      </c>
      <c r="CV27">
        <v>0.1304263185887222</v>
      </c>
      <c r="CW27">
        <v>0</v>
      </c>
      <c r="CX27">
        <v>0</v>
      </c>
      <c r="CY27">
        <v>0</v>
      </c>
      <c r="CZ27">
        <v>0</v>
      </c>
      <c r="DA27">
        <v>-1</v>
      </c>
      <c r="DB27">
        <v>2.2315</v>
      </c>
      <c r="DC27">
        <v>-0.14106815331010239</v>
      </c>
      <c r="DD27">
        <v>1.39437700049599E-2</v>
      </c>
      <c r="DE27">
        <v>0</v>
      </c>
      <c r="DF27">
        <v>0</v>
      </c>
      <c r="DG27">
        <v>2</v>
      </c>
      <c r="DH27" t="s">
        <v>361</v>
      </c>
      <c r="DI27">
        <v>3.0245099999999998</v>
      </c>
      <c r="DJ27">
        <v>2.69129</v>
      </c>
      <c r="DK27">
        <v>0.191803</v>
      </c>
      <c r="DL27">
        <v>0.200151</v>
      </c>
      <c r="DM27">
        <v>0.112399</v>
      </c>
      <c r="DN27">
        <v>0.105473</v>
      </c>
      <c r="DO27">
        <v>22532.7</v>
      </c>
      <c r="DP27">
        <v>15140.2</v>
      </c>
      <c r="DQ27">
        <v>26451.5</v>
      </c>
      <c r="DR27">
        <v>17202.8</v>
      </c>
      <c r="DS27">
        <v>33400.199999999997</v>
      </c>
      <c r="DT27">
        <v>20089.400000000001</v>
      </c>
      <c r="DU27">
        <v>38534.800000000003</v>
      </c>
      <c r="DV27">
        <v>22784.7</v>
      </c>
      <c r="DW27">
        <v>1.8012999999999999</v>
      </c>
      <c r="DX27">
        <v>2.2075999999999998</v>
      </c>
      <c r="DY27">
        <v>7.0470599999999994E-2</v>
      </c>
      <c r="DZ27">
        <v>0</v>
      </c>
      <c r="EA27">
        <v>24.3523</v>
      </c>
      <c r="EB27">
        <v>999.9</v>
      </c>
      <c r="EC27">
        <v>52.9</v>
      </c>
      <c r="ED27">
        <v>31.5</v>
      </c>
      <c r="EE27">
        <v>24.031700000000001</v>
      </c>
      <c r="EF27">
        <v>62.669400000000003</v>
      </c>
      <c r="EG27">
        <v>36.001600000000003</v>
      </c>
      <c r="EH27">
        <v>1</v>
      </c>
      <c r="EI27">
        <v>1.6510199999999999E-2</v>
      </c>
      <c r="EJ27">
        <v>-0.39308700000000002</v>
      </c>
      <c r="EK27">
        <v>20.343</v>
      </c>
      <c r="EL27">
        <v>5.2521500000000003</v>
      </c>
      <c r="EM27">
        <v>11.962</v>
      </c>
      <c r="EN27">
        <v>4.9896399999999996</v>
      </c>
      <c r="EO27">
        <v>3.2919200000000002</v>
      </c>
      <c r="EP27">
        <v>9999</v>
      </c>
      <c r="EQ27">
        <v>9999</v>
      </c>
      <c r="ER27">
        <v>9999</v>
      </c>
      <c r="ES27">
        <v>999.9</v>
      </c>
      <c r="ET27">
        <v>4.9727100000000002</v>
      </c>
      <c r="EU27">
        <v>1.8719300000000001</v>
      </c>
      <c r="EV27">
        <v>1.8721099999999999</v>
      </c>
      <c r="EW27">
        <v>1.8771500000000001</v>
      </c>
      <c r="EX27">
        <v>1.87134</v>
      </c>
      <c r="EY27">
        <v>1.8721099999999999</v>
      </c>
      <c r="EZ27">
        <v>1.87178</v>
      </c>
      <c r="FA27">
        <v>1.8686</v>
      </c>
      <c r="FB27">
        <v>0</v>
      </c>
      <c r="FC27">
        <v>0</v>
      </c>
      <c r="FD27">
        <v>0</v>
      </c>
      <c r="FE27">
        <v>0</v>
      </c>
      <c r="FF27" t="s">
        <v>339</v>
      </c>
      <c r="FG27" t="s">
        <v>340</v>
      </c>
      <c r="FH27" t="s">
        <v>341</v>
      </c>
      <c r="FI27" t="s">
        <v>341</v>
      </c>
      <c r="FJ27" t="s">
        <v>341</v>
      </c>
      <c r="FK27" t="s">
        <v>341</v>
      </c>
      <c r="FL27">
        <v>0</v>
      </c>
      <c r="FM27">
        <v>100</v>
      </c>
      <c r="FN27">
        <v>100</v>
      </c>
      <c r="FO27">
        <v>10.52</v>
      </c>
      <c r="FP27">
        <v>0.25359999999999999</v>
      </c>
      <c r="FQ27">
        <v>2.4079072826054929E-2</v>
      </c>
      <c r="FR27">
        <v>7.6898218637449396E-3</v>
      </c>
      <c r="FS27">
        <v>1.5097418776848419E-6</v>
      </c>
      <c r="FT27">
        <v>-9.8458676114205118E-11</v>
      </c>
      <c r="FU27">
        <v>0.25358499999999401</v>
      </c>
      <c r="FV27">
        <v>0</v>
      </c>
      <c r="FW27">
        <v>0</v>
      </c>
      <c r="FX27">
        <v>0</v>
      </c>
      <c r="FY27">
        <v>3</v>
      </c>
      <c r="FZ27">
        <v>2164</v>
      </c>
      <c r="GA27">
        <v>-1</v>
      </c>
      <c r="GB27">
        <v>-1</v>
      </c>
      <c r="GC27">
        <v>289.89999999999998</v>
      </c>
      <c r="GD27">
        <v>289.89999999999998</v>
      </c>
      <c r="GE27">
        <v>2.4450699999999999</v>
      </c>
      <c r="GF27">
        <v>2.6061999999999999</v>
      </c>
      <c r="GG27">
        <v>1.7981</v>
      </c>
      <c r="GH27">
        <v>2.3742700000000001</v>
      </c>
      <c r="GI27">
        <v>1.5979000000000001</v>
      </c>
      <c r="GJ27">
        <v>2.5817899999999998</v>
      </c>
      <c r="GK27">
        <v>34.5092</v>
      </c>
      <c r="GL27">
        <v>24.1663</v>
      </c>
      <c r="GM27">
        <v>18</v>
      </c>
      <c r="GN27">
        <v>364.37400000000002</v>
      </c>
      <c r="GO27">
        <v>683.43200000000002</v>
      </c>
      <c r="GP27">
        <v>25.83</v>
      </c>
      <c r="GQ27">
        <v>27.262499999999999</v>
      </c>
      <c r="GR27">
        <v>30</v>
      </c>
      <c r="GS27">
        <v>27.250800000000002</v>
      </c>
      <c r="GT27">
        <v>27.274699999999999</v>
      </c>
      <c r="GU27">
        <v>48.880499999999998</v>
      </c>
      <c r="GV27">
        <v>24.868400000000001</v>
      </c>
      <c r="GW27">
        <v>0</v>
      </c>
      <c r="GX27">
        <v>25.83</v>
      </c>
      <c r="GY27">
        <v>1200</v>
      </c>
      <c r="GZ27">
        <v>19.5</v>
      </c>
      <c r="HA27">
        <v>100.515</v>
      </c>
      <c r="HB27">
        <v>71.135300000000001</v>
      </c>
    </row>
    <row r="28" spans="1:210" x14ac:dyDescent="0.3">
      <c r="A28">
        <v>12</v>
      </c>
      <c r="B28">
        <v>1749562086.5</v>
      </c>
      <c r="C28">
        <v>1985.900000095367</v>
      </c>
      <c r="D28" t="s">
        <v>364</v>
      </c>
      <c r="E28" t="s">
        <v>365</v>
      </c>
      <c r="F28">
        <v>15</v>
      </c>
      <c r="G28">
        <v>1749562078.75</v>
      </c>
      <c r="H28">
        <f t="shared" si="0"/>
        <v>8.3385931365984045E-4</v>
      </c>
      <c r="I28">
        <f t="shared" si="1"/>
        <v>0.83385931365984045</v>
      </c>
      <c r="J28">
        <f t="shared" si="2"/>
        <v>25.823838011391839</v>
      </c>
      <c r="K28">
        <f t="shared" si="3"/>
        <v>1539.032666666667</v>
      </c>
      <c r="L28">
        <f t="shared" si="4"/>
        <v>973.75835643123855</v>
      </c>
      <c r="M28">
        <f t="shared" si="5"/>
        <v>99.580793856694996</v>
      </c>
      <c r="N28">
        <f t="shared" si="6"/>
        <v>157.38822029700876</v>
      </c>
      <c r="O28">
        <f t="shared" si="7"/>
        <v>7.7189587918009922E-2</v>
      </c>
      <c r="P28">
        <f t="shared" si="8"/>
        <v>2.4289676532899596</v>
      </c>
      <c r="Q28">
        <f t="shared" si="9"/>
        <v>7.5873052866178181E-2</v>
      </c>
      <c r="R28">
        <f t="shared" si="10"/>
        <v>4.753708885009434E-2</v>
      </c>
      <c r="S28">
        <f t="shared" si="11"/>
        <v>87.829849666666675</v>
      </c>
      <c r="T28">
        <f t="shared" si="12"/>
        <v>26.260850990593529</v>
      </c>
      <c r="U28">
        <f t="shared" si="13"/>
        <v>25.515866666666671</v>
      </c>
      <c r="V28">
        <f t="shared" si="14"/>
        <v>3.2787943209484745</v>
      </c>
      <c r="W28">
        <f t="shared" si="15"/>
        <v>65.127366427683029</v>
      </c>
      <c r="X28">
        <f t="shared" si="16"/>
        <v>2.1849128916127123</v>
      </c>
      <c r="Y28">
        <f t="shared" si="17"/>
        <v>3.3548307131976913</v>
      </c>
      <c r="Z28">
        <f t="shared" si="18"/>
        <v>1.0938814293357622</v>
      </c>
      <c r="AA28">
        <f t="shared" si="19"/>
        <v>-36.77319573239896</v>
      </c>
      <c r="AB28">
        <f t="shared" si="20"/>
        <v>50.623718887680816</v>
      </c>
      <c r="AC28">
        <f t="shared" si="21"/>
        <v>4.4400649788835711</v>
      </c>
      <c r="AD28">
        <f t="shared" si="22"/>
        <v>106.12043780083209</v>
      </c>
      <c r="AE28">
        <f t="shared" si="23"/>
        <v>25.823838011391839</v>
      </c>
      <c r="AF28">
        <f t="shared" si="24"/>
        <v>0.83385931365984045</v>
      </c>
      <c r="AG28">
        <f t="shared" si="25"/>
        <v>25.594573550683418</v>
      </c>
      <c r="AH28">
        <v>1631.8995315860259</v>
      </c>
      <c r="AI28">
        <v>1572.8144848484851</v>
      </c>
      <c r="AJ28">
        <v>4.1195883955904608E-2</v>
      </c>
      <c r="AK28">
        <v>83.929830234139885</v>
      </c>
      <c r="AL28">
        <f t="shared" si="26"/>
        <v>0.82724666503032673</v>
      </c>
      <c r="AM28">
        <v>19.527882473640979</v>
      </c>
      <c r="AN28">
        <v>21.349304799548271</v>
      </c>
      <c r="AO28">
        <v>-9.1397713911759785E-7</v>
      </c>
      <c r="AP28">
        <v>90.573349035339163</v>
      </c>
      <c r="AQ28">
        <v>0</v>
      </c>
      <c r="AR28">
        <v>0</v>
      </c>
      <c r="AS28">
        <f t="shared" si="27"/>
        <v>1</v>
      </c>
      <c r="AT28">
        <f t="shared" si="28"/>
        <v>0</v>
      </c>
      <c r="AU28">
        <f t="shared" si="29"/>
        <v>54213.50759736426</v>
      </c>
      <c r="AV28">
        <f t="shared" si="30"/>
        <v>462.26236666666671</v>
      </c>
      <c r="AW28">
        <f t="shared" si="31"/>
        <v>369.80989333333338</v>
      </c>
      <c r="AX28">
        <f t="shared" si="32"/>
        <v>0.8</v>
      </c>
      <c r="AY28">
        <f t="shared" si="33"/>
        <v>0.19</v>
      </c>
      <c r="AZ28">
        <v>9</v>
      </c>
      <c r="BA28">
        <v>1.88</v>
      </c>
      <c r="BB28" t="s">
        <v>336</v>
      </c>
      <c r="BC28">
        <v>2</v>
      </c>
      <c r="BD28" t="b">
        <v>0</v>
      </c>
      <c r="BE28">
        <v>1749562078.75</v>
      </c>
      <c r="BF28">
        <v>1539.032666666667</v>
      </c>
      <c r="BG28">
        <v>1600.0186666666671</v>
      </c>
      <c r="BH28">
        <v>21.365336666666661</v>
      </c>
      <c r="BI28">
        <v>19.529393333333331</v>
      </c>
      <c r="BJ28">
        <v>1524.129666666666</v>
      </c>
      <c r="BK28">
        <v>21.111746666666669</v>
      </c>
      <c r="BL28">
        <v>400.03373333333332</v>
      </c>
      <c r="BM28">
        <v>102.1644</v>
      </c>
      <c r="BN28">
        <v>9.997924666666666E-2</v>
      </c>
      <c r="BO28">
        <v>25.90245333333333</v>
      </c>
      <c r="BP28">
        <v>25.515866666666671</v>
      </c>
      <c r="BQ28">
        <v>999.9000000000002</v>
      </c>
      <c r="BR28">
        <v>0</v>
      </c>
      <c r="BS28">
        <v>0</v>
      </c>
      <c r="BT28">
        <v>9998.75</v>
      </c>
      <c r="BU28">
        <v>462.26236666666671</v>
      </c>
      <c r="BV28">
        <v>11.33185333333333</v>
      </c>
      <c r="BW28">
        <v>-60.986416666666663</v>
      </c>
      <c r="BX28">
        <v>1572.6310000000001</v>
      </c>
      <c r="BY28">
        <v>1631.888666666666</v>
      </c>
      <c r="BZ28">
        <v>1.8359376666666669</v>
      </c>
      <c r="CA28">
        <v>1600.0186666666671</v>
      </c>
      <c r="CB28">
        <v>19.529393333333331</v>
      </c>
      <c r="CC28">
        <v>2.1827779999999999</v>
      </c>
      <c r="CD28">
        <v>1.9952099999999999</v>
      </c>
      <c r="CE28">
        <v>18.836469999999998</v>
      </c>
      <c r="CF28">
        <v>17.40637666666667</v>
      </c>
      <c r="CG28">
        <v>1749544513.0999999</v>
      </c>
      <c r="CH28" t="s">
        <v>337</v>
      </c>
      <c r="CI28">
        <v>1749544513.0999999</v>
      </c>
      <c r="CJ28">
        <v>1749544511.5999999</v>
      </c>
      <c r="CK28">
        <v>2</v>
      </c>
      <c r="CL28">
        <v>-1E-3</v>
      </c>
      <c r="CM28">
        <v>-1E-3</v>
      </c>
      <c r="CN28">
        <v>3.7469999999999999</v>
      </c>
      <c r="CO28">
        <v>0.254</v>
      </c>
      <c r="CP28">
        <v>450</v>
      </c>
      <c r="CQ28">
        <v>19</v>
      </c>
      <c r="CR28">
        <v>0.37</v>
      </c>
      <c r="CS28">
        <v>0.18</v>
      </c>
      <c r="CT28">
        <v>-61.036360000000002</v>
      </c>
      <c r="CU28">
        <v>1.0660930581615291</v>
      </c>
      <c r="CV28">
        <v>0.13325920756180429</v>
      </c>
      <c r="CW28">
        <v>0</v>
      </c>
      <c r="CX28">
        <v>0</v>
      </c>
      <c r="CY28">
        <v>0</v>
      </c>
      <c r="CZ28">
        <v>0</v>
      </c>
      <c r="DA28">
        <v>-1</v>
      </c>
      <c r="DB28">
        <v>1.8412347499999999</v>
      </c>
      <c r="DC28">
        <v>-0.13004454033771379</v>
      </c>
      <c r="DD28">
        <v>1.257102819730749E-2</v>
      </c>
      <c r="DE28">
        <v>0</v>
      </c>
      <c r="DF28">
        <v>0</v>
      </c>
      <c r="DG28">
        <v>2</v>
      </c>
      <c r="DH28" t="s">
        <v>361</v>
      </c>
      <c r="DI28">
        <v>3.0245099999999998</v>
      </c>
      <c r="DJ28">
        <v>2.6913100000000001</v>
      </c>
      <c r="DK28">
        <v>0.22977900000000001</v>
      </c>
      <c r="DL28">
        <v>0.23802899999999999</v>
      </c>
      <c r="DM28">
        <v>0.11099100000000001</v>
      </c>
      <c r="DN28">
        <v>0.10551099999999999</v>
      </c>
      <c r="DO28">
        <v>21476.7</v>
      </c>
      <c r="DP28">
        <v>14424.1</v>
      </c>
      <c r="DQ28">
        <v>26454.400000000001</v>
      </c>
      <c r="DR28">
        <v>17203.5</v>
      </c>
      <c r="DS28">
        <v>33458.9</v>
      </c>
      <c r="DT28">
        <v>20089.7</v>
      </c>
      <c r="DU28">
        <v>38539.199999999997</v>
      </c>
      <c r="DV28">
        <v>22785.5</v>
      </c>
      <c r="DW28">
        <v>1.80152</v>
      </c>
      <c r="DX28">
        <v>2.2095400000000001</v>
      </c>
      <c r="DY28">
        <v>7.1668599999999999E-2</v>
      </c>
      <c r="DZ28">
        <v>0</v>
      </c>
      <c r="EA28">
        <v>24.3401</v>
      </c>
      <c r="EB28">
        <v>999.9</v>
      </c>
      <c r="EC28">
        <v>52.9</v>
      </c>
      <c r="ED28">
        <v>31.5</v>
      </c>
      <c r="EE28">
        <v>24.035499999999999</v>
      </c>
      <c r="EF28">
        <v>62.939399999999999</v>
      </c>
      <c r="EG28">
        <v>35.761200000000002</v>
      </c>
      <c r="EH28">
        <v>1</v>
      </c>
      <c r="EI28">
        <v>1.2345500000000001E-2</v>
      </c>
      <c r="EJ28">
        <v>-0.41605900000000001</v>
      </c>
      <c r="EK28">
        <v>20.3429</v>
      </c>
      <c r="EL28">
        <v>5.25251</v>
      </c>
      <c r="EM28">
        <v>11.962</v>
      </c>
      <c r="EN28">
        <v>4.9898800000000003</v>
      </c>
      <c r="EO28">
        <v>3.2918799999999999</v>
      </c>
      <c r="EP28">
        <v>9999</v>
      </c>
      <c r="EQ28">
        <v>9999</v>
      </c>
      <c r="ER28">
        <v>9999</v>
      </c>
      <c r="ES28">
        <v>999.9</v>
      </c>
      <c r="ET28">
        <v>4.9726999999999997</v>
      </c>
      <c r="EU28">
        <v>1.87191</v>
      </c>
      <c r="EV28">
        <v>1.8721000000000001</v>
      </c>
      <c r="EW28">
        <v>1.8771599999999999</v>
      </c>
      <c r="EX28">
        <v>1.87134</v>
      </c>
      <c r="EY28">
        <v>1.8721000000000001</v>
      </c>
      <c r="EZ28">
        <v>1.8717900000000001</v>
      </c>
      <c r="FA28">
        <v>1.8686</v>
      </c>
      <c r="FB28">
        <v>0</v>
      </c>
      <c r="FC28">
        <v>0</v>
      </c>
      <c r="FD28">
        <v>0</v>
      </c>
      <c r="FE28">
        <v>0</v>
      </c>
      <c r="FF28" t="s">
        <v>339</v>
      </c>
      <c r="FG28" t="s">
        <v>340</v>
      </c>
      <c r="FH28" t="s">
        <v>341</v>
      </c>
      <c r="FI28" t="s">
        <v>341</v>
      </c>
      <c r="FJ28" t="s">
        <v>341</v>
      </c>
      <c r="FK28" t="s">
        <v>341</v>
      </c>
      <c r="FL28">
        <v>0</v>
      </c>
      <c r="FM28">
        <v>100</v>
      </c>
      <c r="FN28">
        <v>100</v>
      </c>
      <c r="FO28">
        <v>14.91</v>
      </c>
      <c r="FP28">
        <v>0.25359999999999999</v>
      </c>
      <c r="FQ28">
        <v>2.4079072826054929E-2</v>
      </c>
      <c r="FR28">
        <v>7.6898218637449396E-3</v>
      </c>
      <c r="FS28">
        <v>1.5097418776848419E-6</v>
      </c>
      <c r="FT28">
        <v>-9.8458676114205118E-11</v>
      </c>
      <c r="FU28">
        <v>0.25358499999999401</v>
      </c>
      <c r="FV28">
        <v>0</v>
      </c>
      <c r="FW28">
        <v>0</v>
      </c>
      <c r="FX28">
        <v>0</v>
      </c>
      <c r="FY28">
        <v>3</v>
      </c>
      <c r="FZ28">
        <v>2164</v>
      </c>
      <c r="GA28">
        <v>-1</v>
      </c>
      <c r="GB28">
        <v>-1</v>
      </c>
      <c r="GC28">
        <v>292.89999999999998</v>
      </c>
      <c r="GD28">
        <v>292.89999999999998</v>
      </c>
      <c r="GE28">
        <v>3.0944799999999999</v>
      </c>
      <c r="GF28">
        <v>2.6171899999999999</v>
      </c>
      <c r="GG28">
        <v>1.79932</v>
      </c>
      <c r="GH28">
        <v>2.3742700000000001</v>
      </c>
      <c r="GI28">
        <v>1.5979000000000001</v>
      </c>
      <c r="GJ28">
        <v>2.4706999999999999</v>
      </c>
      <c r="GK28">
        <v>34.486400000000003</v>
      </c>
      <c r="GL28">
        <v>24.157499999999999</v>
      </c>
      <c r="GM28">
        <v>18</v>
      </c>
      <c r="GN28">
        <v>364.12099999999998</v>
      </c>
      <c r="GO28">
        <v>684.42700000000002</v>
      </c>
      <c r="GP28">
        <v>25.829699999999999</v>
      </c>
      <c r="GQ28">
        <v>27.208600000000001</v>
      </c>
      <c r="GR28">
        <v>30</v>
      </c>
      <c r="GS28">
        <v>27.195699999999999</v>
      </c>
      <c r="GT28">
        <v>27.2193</v>
      </c>
      <c r="GU28">
        <v>61.848100000000002</v>
      </c>
      <c r="GV28">
        <v>24.868400000000001</v>
      </c>
      <c r="GW28">
        <v>0</v>
      </c>
      <c r="GX28">
        <v>25.83</v>
      </c>
      <c r="GY28">
        <v>1600</v>
      </c>
      <c r="GZ28">
        <v>19.5</v>
      </c>
      <c r="HA28">
        <v>100.526</v>
      </c>
      <c r="HB28">
        <v>71.138099999999994</v>
      </c>
    </row>
    <row r="29" spans="1:210" x14ac:dyDescent="0.3">
      <c r="A29">
        <v>13</v>
      </c>
      <c r="B29">
        <v>1749562267</v>
      </c>
      <c r="C29">
        <v>2166.400000095367</v>
      </c>
      <c r="D29" t="s">
        <v>366</v>
      </c>
      <c r="E29" t="s">
        <v>367</v>
      </c>
      <c r="F29">
        <v>15</v>
      </c>
      <c r="G29">
        <v>1749562259.25</v>
      </c>
      <c r="H29">
        <f t="shared" si="0"/>
        <v>7.2459786782967596E-4</v>
      </c>
      <c r="I29">
        <f t="shared" si="1"/>
        <v>0.72459786782967595</v>
      </c>
      <c r="J29">
        <f t="shared" si="2"/>
        <v>8.6765008165962865</v>
      </c>
      <c r="K29">
        <f t="shared" si="3"/>
        <v>429.76503333333318</v>
      </c>
      <c r="L29">
        <f t="shared" si="4"/>
        <v>209.59838866826206</v>
      </c>
      <c r="M29">
        <f t="shared" si="5"/>
        <v>21.432910088775589</v>
      </c>
      <c r="N29">
        <f t="shared" si="6"/>
        <v>43.946498717180958</v>
      </c>
      <c r="O29">
        <f t="shared" si="7"/>
        <v>6.5554487007923434E-2</v>
      </c>
      <c r="P29">
        <f t="shared" si="8"/>
        <v>2.4292113314176285</v>
      </c>
      <c r="Q29">
        <f t="shared" si="9"/>
        <v>6.4602409563798022E-2</v>
      </c>
      <c r="R29">
        <f t="shared" si="10"/>
        <v>4.0460904131609632E-2</v>
      </c>
      <c r="S29">
        <f t="shared" si="11"/>
        <v>87.833225333333345</v>
      </c>
      <c r="T29">
        <f t="shared" si="12"/>
        <v>26.274278485011543</v>
      </c>
      <c r="U29">
        <f t="shared" si="13"/>
        <v>25.507303333333329</v>
      </c>
      <c r="V29">
        <f t="shared" si="14"/>
        <v>3.2771272163733944</v>
      </c>
      <c r="W29">
        <f t="shared" si="15"/>
        <v>64.48288387963369</v>
      </c>
      <c r="X29">
        <f t="shared" si="16"/>
        <v>2.1606809563865452</v>
      </c>
      <c r="Y29">
        <f t="shared" si="17"/>
        <v>3.3507821399857951</v>
      </c>
      <c r="Z29">
        <f t="shared" si="18"/>
        <v>1.1164462599868492</v>
      </c>
      <c r="AA29">
        <f t="shared" si="19"/>
        <v>-31.954765971288708</v>
      </c>
      <c r="AB29">
        <f t="shared" si="20"/>
        <v>49.079934213358605</v>
      </c>
      <c r="AC29">
        <f t="shared" si="21"/>
        <v>4.3036062493391283</v>
      </c>
      <c r="AD29">
        <f t="shared" si="22"/>
        <v>109.26199982474236</v>
      </c>
      <c r="AE29">
        <f t="shared" si="23"/>
        <v>8.6765008165962865</v>
      </c>
      <c r="AF29">
        <f t="shared" si="24"/>
        <v>0.72459786782967595</v>
      </c>
      <c r="AG29">
        <f t="shared" si="25"/>
        <v>8.6920636922217547</v>
      </c>
      <c r="AH29">
        <v>458.96334514449649</v>
      </c>
      <c r="AI29">
        <v>439.01954545454538</v>
      </c>
      <c r="AJ29">
        <v>-1.4904920860936801E-4</v>
      </c>
      <c r="AK29">
        <v>83.929830234139885</v>
      </c>
      <c r="AL29">
        <f t="shared" si="26"/>
        <v>0.72315431049913925</v>
      </c>
      <c r="AM29">
        <v>19.535563783490741</v>
      </c>
      <c r="AN29">
        <v>21.12814816487861</v>
      </c>
      <c r="AO29">
        <v>-6.8139881863330118E-8</v>
      </c>
      <c r="AP29">
        <v>90.573349035339163</v>
      </c>
      <c r="AQ29">
        <v>0</v>
      </c>
      <c r="AR29">
        <v>0</v>
      </c>
      <c r="AS29">
        <f t="shared" si="27"/>
        <v>1</v>
      </c>
      <c r="AT29">
        <f t="shared" si="28"/>
        <v>0</v>
      </c>
      <c r="AU29">
        <f t="shared" si="29"/>
        <v>54225.257587815569</v>
      </c>
      <c r="AV29">
        <f t="shared" si="30"/>
        <v>462.28013333333342</v>
      </c>
      <c r="AW29">
        <f t="shared" si="31"/>
        <v>369.82410666666675</v>
      </c>
      <c r="AX29">
        <f t="shared" si="32"/>
        <v>0.8</v>
      </c>
      <c r="AY29">
        <f t="shared" si="33"/>
        <v>0.19</v>
      </c>
      <c r="AZ29">
        <v>9</v>
      </c>
      <c r="BA29">
        <v>1.88</v>
      </c>
      <c r="BB29" t="s">
        <v>336</v>
      </c>
      <c r="BC29">
        <v>2</v>
      </c>
      <c r="BD29" t="b">
        <v>0</v>
      </c>
      <c r="BE29">
        <v>1749562259.25</v>
      </c>
      <c r="BF29">
        <v>429.76503333333318</v>
      </c>
      <c r="BG29">
        <v>449.98610000000002</v>
      </c>
      <c r="BH29">
        <v>21.129899999999999</v>
      </c>
      <c r="BI29">
        <v>19.534140000000001</v>
      </c>
      <c r="BJ29">
        <v>426.19696666666658</v>
      </c>
      <c r="BK29">
        <v>20.876316666666671</v>
      </c>
      <c r="BL29">
        <v>400.03413333333339</v>
      </c>
      <c r="BM29">
        <v>102.1570333333333</v>
      </c>
      <c r="BN29">
        <v>0.10000320666666671</v>
      </c>
      <c r="BO29">
        <v>25.882063333333331</v>
      </c>
      <c r="BP29">
        <v>25.507303333333329</v>
      </c>
      <c r="BQ29">
        <v>999.9000000000002</v>
      </c>
      <c r="BR29">
        <v>0</v>
      </c>
      <c r="BS29">
        <v>0</v>
      </c>
      <c r="BT29">
        <v>10001.049999999999</v>
      </c>
      <c r="BU29">
        <v>462.28013333333342</v>
      </c>
      <c r="BV29">
        <v>11.345800000000001</v>
      </c>
      <c r="BW29">
        <v>-20.221050000000002</v>
      </c>
      <c r="BX29">
        <v>439.04203333333328</v>
      </c>
      <c r="BY29">
        <v>458.9514333333334</v>
      </c>
      <c r="BZ29">
        <v>1.595764</v>
      </c>
      <c r="CA29">
        <v>449.98610000000002</v>
      </c>
      <c r="CB29">
        <v>19.534140000000001</v>
      </c>
      <c r="CC29">
        <v>2.1585673333333331</v>
      </c>
      <c r="CD29">
        <v>1.995548333333333</v>
      </c>
      <c r="CE29">
        <v>18.658086666666669</v>
      </c>
      <c r="CF29">
        <v>17.409056666666672</v>
      </c>
      <c r="CG29">
        <v>1749544513.0999999</v>
      </c>
      <c r="CH29" t="s">
        <v>337</v>
      </c>
      <c r="CI29">
        <v>1749544513.0999999</v>
      </c>
      <c r="CJ29">
        <v>1749544511.5999999</v>
      </c>
      <c r="CK29">
        <v>2</v>
      </c>
      <c r="CL29">
        <v>-1E-3</v>
      </c>
      <c r="CM29">
        <v>-1E-3</v>
      </c>
      <c r="CN29">
        <v>3.7469999999999999</v>
      </c>
      <c r="CO29">
        <v>0.254</v>
      </c>
      <c r="CP29">
        <v>450</v>
      </c>
      <c r="CQ29">
        <v>19</v>
      </c>
      <c r="CR29">
        <v>0.37</v>
      </c>
      <c r="CS29">
        <v>0.18</v>
      </c>
      <c r="CT29">
        <v>-20.21223170731707</v>
      </c>
      <c r="CU29">
        <v>-0.2126257839721217</v>
      </c>
      <c r="CV29">
        <v>3.7159520587001817E-2</v>
      </c>
      <c r="CW29">
        <v>1</v>
      </c>
      <c r="CX29">
        <v>0</v>
      </c>
      <c r="CY29">
        <v>0</v>
      </c>
      <c r="CZ29">
        <v>0</v>
      </c>
      <c r="DA29">
        <v>-1</v>
      </c>
      <c r="DB29">
        <v>1.5968768292682931</v>
      </c>
      <c r="DC29">
        <v>-2.6806829268292601E-2</v>
      </c>
      <c r="DD29">
        <v>2.8589239311358752E-3</v>
      </c>
      <c r="DE29">
        <v>1</v>
      </c>
      <c r="DF29">
        <v>2</v>
      </c>
      <c r="DG29">
        <v>2</v>
      </c>
      <c r="DH29" t="s">
        <v>338</v>
      </c>
      <c r="DI29">
        <v>3.02447</v>
      </c>
      <c r="DJ29">
        <v>2.6910500000000002</v>
      </c>
      <c r="DK29">
        <v>9.8787100000000003E-2</v>
      </c>
      <c r="DL29">
        <v>0.10344299999999999</v>
      </c>
      <c r="DM29">
        <v>0.11018500000000001</v>
      </c>
      <c r="DN29">
        <v>0.105536</v>
      </c>
      <c r="DO29">
        <v>25132.400000000001</v>
      </c>
      <c r="DP29">
        <v>16974.5</v>
      </c>
      <c r="DQ29">
        <v>26457.9</v>
      </c>
      <c r="DR29">
        <v>17206.5</v>
      </c>
      <c r="DS29">
        <v>33490.800000000003</v>
      </c>
      <c r="DT29">
        <v>20089.900000000001</v>
      </c>
      <c r="DU29">
        <v>38544.400000000001</v>
      </c>
      <c r="DV29">
        <v>22789</v>
      </c>
      <c r="DW29">
        <v>1.80142</v>
      </c>
      <c r="DX29">
        <v>2.20818</v>
      </c>
      <c r="DY29">
        <v>7.5343300000000002E-2</v>
      </c>
      <c r="DZ29">
        <v>0</v>
      </c>
      <c r="EA29">
        <v>24.261199999999999</v>
      </c>
      <c r="EB29">
        <v>999.9</v>
      </c>
      <c r="EC29">
        <v>53</v>
      </c>
      <c r="ED29">
        <v>31.5</v>
      </c>
      <c r="EE29">
        <v>24.081399999999999</v>
      </c>
      <c r="EF29">
        <v>62.659399999999998</v>
      </c>
      <c r="EG29">
        <v>35.9696</v>
      </c>
      <c r="EH29">
        <v>1</v>
      </c>
      <c r="EI29">
        <v>6.8231699999999999E-3</v>
      </c>
      <c r="EJ29">
        <v>-0.46641199999999999</v>
      </c>
      <c r="EK29">
        <v>20.3431</v>
      </c>
      <c r="EL29">
        <v>5.2523900000000001</v>
      </c>
      <c r="EM29">
        <v>11.962</v>
      </c>
      <c r="EN29">
        <v>4.9897200000000002</v>
      </c>
      <c r="EO29">
        <v>3.2918400000000001</v>
      </c>
      <c r="EP29">
        <v>9999</v>
      </c>
      <c r="EQ29">
        <v>9999</v>
      </c>
      <c r="ER29">
        <v>9999</v>
      </c>
      <c r="ES29">
        <v>999.9</v>
      </c>
      <c r="ET29">
        <v>4.9726900000000001</v>
      </c>
      <c r="EU29">
        <v>1.87191</v>
      </c>
      <c r="EV29">
        <v>1.8721099999999999</v>
      </c>
      <c r="EW29">
        <v>1.87714</v>
      </c>
      <c r="EX29">
        <v>1.87134</v>
      </c>
      <c r="EY29">
        <v>1.8721000000000001</v>
      </c>
      <c r="EZ29">
        <v>1.8717900000000001</v>
      </c>
      <c r="FA29">
        <v>1.8686199999999999</v>
      </c>
      <c r="FB29">
        <v>0</v>
      </c>
      <c r="FC29">
        <v>0</v>
      </c>
      <c r="FD29">
        <v>0</v>
      </c>
      <c r="FE29">
        <v>0</v>
      </c>
      <c r="FF29" t="s">
        <v>339</v>
      </c>
      <c r="FG29" t="s">
        <v>340</v>
      </c>
      <c r="FH29" t="s">
        <v>341</v>
      </c>
      <c r="FI29" t="s">
        <v>341</v>
      </c>
      <c r="FJ29" t="s">
        <v>341</v>
      </c>
      <c r="FK29" t="s">
        <v>341</v>
      </c>
      <c r="FL29">
        <v>0</v>
      </c>
      <c r="FM29">
        <v>100</v>
      </c>
      <c r="FN29">
        <v>100</v>
      </c>
      <c r="FO29">
        <v>3.5670000000000002</v>
      </c>
      <c r="FP29">
        <v>0.25359999999999999</v>
      </c>
      <c r="FQ29">
        <v>2.4079072826054929E-2</v>
      </c>
      <c r="FR29">
        <v>7.6898218637449396E-3</v>
      </c>
      <c r="FS29">
        <v>1.5097418776848419E-6</v>
      </c>
      <c r="FT29">
        <v>-9.8458676114205118E-11</v>
      </c>
      <c r="FU29">
        <v>0.25358499999999401</v>
      </c>
      <c r="FV29">
        <v>0</v>
      </c>
      <c r="FW29">
        <v>0</v>
      </c>
      <c r="FX29">
        <v>0</v>
      </c>
      <c r="FY29">
        <v>3</v>
      </c>
      <c r="FZ29">
        <v>2164</v>
      </c>
      <c r="GA29">
        <v>-1</v>
      </c>
      <c r="GB29">
        <v>-1</v>
      </c>
      <c r="GC29">
        <v>295.89999999999998</v>
      </c>
      <c r="GD29">
        <v>295.89999999999998</v>
      </c>
      <c r="GE29">
        <v>1.10107</v>
      </c>
      <c r="GF29">
        <v>2.6184099999999999</v>
      </c>
      <c r="GG29">
        <v>1.7981</v>
      </c>
      <c r="GH29">
        <v>2.3754900000000001</v>
      </c>
      <c r="GI29">
        <v>1.5979000000000001</v>
      </c>
      <c r="GJ29">
        <v>2.5720200000000002</v>
      </c>
      <c r="GK29">
        <v>34.4636</v>
      </c>
      <c r="GL29">
        <v>24.1663</v>
      </c>
      <c r="GM29">
        <v>18</v>
      </c>
      <c r="GN29">
        <v>363.59899999999999</v>
      </c>
      <c r="GO29">
        <v>682.31</v>
      </c>
      <c r="GP29">
        <v>25.8294</v>
      </c>
      <c r="GQ29">
        <v>27.1325</v>
      </c>
      <c r="GR29">
        <v>30</v>
      </c>
      <c r="GS29">
        <v>27.124199999999998</v>
      </c>
      <c r="GT29">
        <v>27.1479</v>
      </c>
      <c r="GU29">
        <v>21.987500000000001</v>
      </c>
      <c r="GV29">
        <v>24.868400000000001</v>
      </c>
      <c r="GW29">
        <v>0</v>
      </c>
      <c r="GX29">
        <v>25.83</v>
      </c>
      <c r="GY29">
        <v>450</v>
      </c>
      <c r="GZ29">
        <v>19.5</v>
      </c>
      <c r="HA29">
        <v>100.54</v>
      </c>
      <c r="HB29">
        <v>71.149500000000003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Jans, Tinko</cp:lastModifiedBy>
  <dcterms:created xsi:type="dcterms:W3CDTF">2025-06-10T13:33:58Z</dcterms:created>
  <dcterms:modified xsi:type="dcterms:W3CDTF">2025-12-01T11:39:31Z</dcterms:modified>
</cp:coreProperties>
</file>