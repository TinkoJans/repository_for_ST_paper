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3" documentId="11_ACE07100EE3B9A90555DFE8C0D3347D70638F041" xr6:coauthVersionLast="47" xr6:coauthVersionMax="47" xr10:uidLastSave="{06310C7E-0778-4E4B-B05E-A1704C40C513}"/>
  <bookViews>
    <workbookView xWindow="2652" yWindow="2652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V29" i="1"/>
  <c r="AW29" i="1" s="1"/>
  <c r="AU29" i="1"/>
  <c r="AS29" i="1" s="1"/>
  <c r="AL29" i="1"/>
  <c r="AG29" i="1"/>
  <c r="Y29" i="1"/>
  <c r="X29" i="1"/>
  <c r="W29" i="1" s="1"/>
  <c r="S29" i="1"/>
  <c r="P29" i="1"/>
  <c r="AY28" i="1"/>
  <c r="AX28" i="1"/>
  <c r="AW28" i="1"/>
  <c r="AV28" i="1"/>
  <c r="AU28" i="1"/>
  <c r="AT28" i="1"/>
  <c r="AS28" i="1"/>
  <c r="AF28" i="1" s="1"/>
  <c r="I28" i="1" s="1"/>
  <c r="H28" i="1" s="1"/>
  <c r="AL28" i="1"/>
  <c r="AG28" i="1"/>
  <c r="Y28" i="1"/>
  <c r="W28" i="1" s="1"/>
  <c r="X28" i="1"/>
  <c r="S28" i="1"/>
  <c r="P28" i="1"/>
  <c r="AY27" i="1"/>
  <c r="AX27" i="1"/>
  <c r="AV27" i="1"/>
  <c r="S27" i="1" s="1"/>
  <c r="AU27" i="1"/>
  <c r="AS27" i="1" s="1"/>
  <c r="AL27" i="1"/>
  <c r="AG27" i="1"/>
  <c r="Y27" i="1"/>
  <c r="W27" i="1" s="1"/>
  <c r="X27" i="1"/>
  <c r="P27" i="1"/>
  <c r="AY26" i="1"/>
  <c r="AX26" i="1"/>
  <c r="AV26" i="1"/>
  <c r="AW26" i="1" s="1"/>
  <c r="AU26" i="1"/>
  <c r="AS26" i="1" s="1"/>
  <c r="AL26" i="1"/>
  <c r="AG26" i="1"/>
  <c r="Y26" i="1"/>
  <c r="X26" i="1"/>
  <c r="W26" i="1" s="1"/>
  <c r="P26" i="1"/>
  <c r="AY25" i="1"/>
  <c r="AX25" i="1"/>
  <c r="AV25" i="1"/>
  <c r="AW25" i="1" s="1"/>
  <c r="AU25" i="1"/>
  <c r="AS25" i="1" s="1"/>
  <c r="AL25" i="1"/>
  <c r="AG25" i="1"/>
  <c r="Y25" i="1"/>
  <c r="X25" i="1"/>
  <c r="W25" i="1" s="1"/>
  <c r="P25" i="1"/>
  <c r="AY24" i="1"/>
  <c r="AX24" i="1"/>
  <c r="AV24" i="1"/>
  <c r="S24" i="1" s="1"/>
  <c r="AU24" i="1"/>
  <c r="AT24" i="1"/>
  <c r="AS24" i="1"/>
  <c r="AE24" i="1" s="1"/>
  <c r="J24" i="1" s="1"/>
  <c r="AL24" i="1"/>
  <c r="AG24" i="1"/>
  <c r="AF24" i="1"/>
  <c r="I24" i="1" s="1"/>
  <c r="H24" i="1" s="1"/>
  <c r="Y24" i="1"/>
  <c r="X24" i="1"/>
  <c r="W24" i="1" s="1"/>
  <c r="P24" i="1"/>
  <c r="AY23" i="1"/>
  <c r="AX23" i="1"/>
  <c r="AV23" i="1"/>
  <c r="S23" i="1" s="1"/>
  <c r="AU23" i="1"/>
  <c r="AS23" i="1" s="1"/>
  <c r="AL23" i="1"/>
  <c r="AG23" i="1"/>
  <c r="Y23" i="1"/>
  <c r="X23" i="1"/>
  <c r="W23" i="1" s="1"/>
  <c r="P23" i="1"/>
  <c r="AY22" i="1"/>
  <c r="AX22" i="1"/>
  <c r="AV22" i="1"/>
  <c r="AW22" i="1" s="1"/>
  <c r="AU22" i="1"/>
  <c r="AS22" i="1" s="1"/>
  <c r="AL22" i="1"/>
  <c r="AG22" i="1"/>
  <c r="Y22" i="1"/>
  <c r="X22" i="1"/>
  <c r="W22" i="1" s="1"/>
  <c r="P22" i="1"/>
  <c r="AY21" i="1"/>
  <c r="AX21" i="1"/>
  <c r="AV21" i="1"/>
  <c r="AW21" i="1" s="1"/>
  <c r="AU21" i="1"/>
  <c r="AS21" i="1" s="1"/>
  <c r="AL21" i="1"/>
  <c r="AG21" i="1"/>
  <c r="Y21" i="1"/>
  <c r="X21" i="1"/>
  <c r="W21" i="1" s="1"/>
  <c r="P21" i="1"/>
  <c r="AY20" i="1"/>
  <c r="AX20" i="1"/>
  <c r="AV20" i="1"/>
  <c r="S20" i="1" s="1"/>
  <c r="AU20" i="1"/>
  <c r="AT20" i="1"/>
  <c r="AS20" i="1"/>
  <c r="AE20" i="1" s="1"/>
  <c r="J20" i="1" s="1"/>
  <c r="AL20" i="1"/>
  <c r="AG20" i="1"/>
  <c r="AF20" i="1"/>
  <c r="I20" i="1" s="1"/>
  <c r="H20" i="1" s="1"/>
  <c r="Y20" i="1"/>
  <c r="X20" i="1"/>
  <c r="W20" i="1" s="1"/>
  <c r="P20" i="1"/>
  <c r="AY19" i="1"/>
  <c r="AX19" i="1"/>
  <c r="AV19" i="1"/>
  <c r="S19" i="1" s="1"/>
  <c r="AU19" i="1"/>
  <c r="AS19" i="1" s="1"/>
  <c r="AL19" i="1"/>
  <c r="AG19" i="1"/>
  <c r="Y19" i="1"/>
  <c r="X19" i="1"/>
  <c r="W19" i="1" s="1"/>
  <c r="P19" i="1"/>
  <c r="AY18" i="1"/>
  <c r="AX18" i="1"/>
  <c r="AV18" i="1"/>
  <c r="AW18" i="1" s="1"/>
  <c r="AU18" i="1"/>
  <c r="AS18" i="1" s="1"/>
  <c r="AL18" i="1"/>
  <c r="AG18" i="1"/>
  <c r="Y18" i="1"/>
  <c r="X18" i="1"/>
  <c r="W18" i="1" s="1"/>
  <c r="P18" i="1"/>
  <c r="AY17" i="1"/>
  <c r="AX17" i="1"/>
  <c r="AV17" i="1"/>
  <c r="AW17" i="1" s="1"/>
  <c r="AU17" i="1"/>
  <c r="AS17" i="1" s="1"/>
  <c r="AL17" i="1"/>
  <c r="AG17" i="1"/>
  <c r="Y17" i="1"/>
  <c r="X17" i="1"/>
  <c r="W17" i="1" s="1"/>
  <c r="P17" i="1"/>
  <c r="T24" i="1" l="1"/>
  <c r="U24" i="1" s="1"/>
  <c r="AF25" i="1"/>
  <c r="I25" i="1" s="1"/>
  <c r="H25" i="1" s="1"/>
  <c r="AE25" i="1"/>
  <c r="J25" i="1" s="1"/>
  <c r="N25" i="1"/>
  <c r="AT25" i="1"/>
  <c r="K25" i="1"/>
  <c r="K20" i="1"/>
  <c r="N20" i="1"/>
  <c r="T20" i="1"/>
  <c r="U20" i="1" s="1"/>
  <c r="AF21" i="1"/>
  <c r="I21" i="1" s="1"/>
  <c r="H21" i="1" s="1"/>
  <c r="AE21" i="1"/>
  <c r="J21" i="1" s="1"/>
  <c r="K21" i="1" s="1"/>
  <c r="N21" i="1"/>
  <c r="AT21" i="1"/>
  <c r="AE26" i="1"/>
  <c r="J26" i="1" s="1"/>
  <c r="N26" i="1"/>
  <c r="AT26" i="1"/>
  <c r="K26" i="1"/>
  <c r="AF26" i="1"/>
  <c r="I26" i="1" s="1"/>
  <c r="H26" i="1" s="1"/>
  <c r="AF29" i="1"/>
  <c r="I29" i="1" s="1"/>
  <c r="H29" i="1" s="1"/>
  <c r="AE29" i="1"/>
  <c r="J29" i="1" s="1"/>
  <c r="N29" i="1"/>
  <c r="AT29" i="1"/>
  <c r="K29" i="1"/>
  <c r="K24" i="1"/>
  <c r="N24" i="1"/>
  <c r="AA24" i="1"/>
  <c r="AT27" i="1"/>
  <c r="AF27" i="1"/>
  <c r="I27" i="1" s="1"/>
  <c r="H27" i="1" s="1"/>
  <c r="AE27" i="1"/>
  <c r="J27" i="1" s="1"/>
  <c r="K27" i="1" s="1"/>
  <c r="N27" i="1"/>
  <c r="AF17" i="1"/>
  <c r="I17" i="1" s="1"/>
  <c r="H17" i="1" s="1"/>
  <c r="AE17" i="1"/>
  <c r="J17" i="1" s="1"/>
  <c r="N17" i="1"/>
  <c r="AT17" i="1"/>
  <c r="K17" i="1"/>
  <c r="AE18" i="1"/>
  <c r="J18" i="1" s="1"/>
  <c r="K18" i="1" s="1"/>
  <c r="N18" i="1"/>
  <c r="AT18" i="1"/>
  <c r="AF18" i="1"/>
  <c r="I18" i="1" s="1"/>
  <c r="H18" i="1" s="1"/>
  <c r="AA20" i="1"/>
  <c r="AT23" i="1"/>
  <c r="K23" i="1"/>
  <c r="N23" i="1"/>
  <c r="AF23" i="1"/>
  <c r="I23" i="1" s="1"/>
  <c r="H23" i="1" s="1"/>
  <c r="AE23" i="1"/>
  <c r="J23" i="1" s="1"/>
  <c r="AE22" i="1"/>
  <c r="J22" i="1" s="1"/>
  <c r="N22" i="1" s="1"/>
  <c r="AT22" i="1"/>
  <c r="AF22" i="1"/>
  <c r="I22" i="1" s="1"/>
  <c r="H22" i="1" s="1"/>
  <c r="AT19" i="1"/>
  <c r="AF19" i="1"/>
  <c r="I19" i="1" s="1"/>
  <c r="H19" i="1" s="1"/>
  <c r="T19" i="1" s="1"/>
  <c r="U19" i="1" s="1"/>
  <c r="AE19" i="1"/>
  <c r="J19" i="1" s="1"/>
  <c r="N19" i="1" s="1"/>
  <c r="AA28" i="1"/>
  <c r="T28" i="1"/>
  <c r="U28" i="1" s="1"/>
  <c r="S17" i="1"/>
  <c r="AW19" i="1"/>
  <c r="S21" i="1"/>
  <c r="AW23" i="1"/>
  <c r="S25" i="1"/>
  <c r="AW27" i="1"/>
  <c r="N28" i="1"/>
  <c r="S18" i="1"/>
  <c r="AW20" i="1"/>
  <c r="S22" i="1"/>
  <c r="AW24" i="1"/>
  <c r="S26" i="1"/>
  <c r="AE28" i="1"/>
  <c r="J28" i="1" s="1"/>
  <c r="K28" i="1" s="1"/>
  <c r="AC19" i="1" l="1"/>
  <c r="AB19" i="1"/>
  <c r="V19" i="1"/>
  <c r="Z19" i="1" s="1"/>
  <c r="V28" i="1"/>
  <c r="Z28" i="1" s="1"/>
  <c r="AC28" i="1"/>
  <c r="AD28" i="1" s="1"/>
  <c r="AB28" i="1"/>
  <c r="Q28" i="1"/>
  <c r="O28" i="1" s="1"/>
  <c r="R28" i="1" s="1"/>
  <c r="L28" i="1" s="1"/>
  <c r="M28" i="1" s="1"/>
  <c r="T26" i="1"/>
  <c r="U26" i="1" s="1"/>
  <c r="AB20" i="1"/>
  <c r="V20" i="1"/>
  <c r="Z20" i="1" s="1"/>
  <c r="AC20" i="1"/>
  <c r="AD20" i="1" s="1"/>
  <c r="AA23" i="1"/>
  <c r="AA26" i="1"/>
  <c r="Q26" i="1"/>
  <c r="O26" i="1" s="1"/>
  <c r="R26" i="1" s="1"/>
  <c r="L26" i="1" s="1"/>
  <c r="M26" i="1" s="1"/>
  <c r="T22" i="1"/>
  <c r="U22" i="1" s="1"/>
  <c r="Q20" i="1"/>
  <c r="O20" i="1" s="1"/>
  <c r="R20" i="1" s="1"/>
  <c r="L20" i="1" s="1"/>
  <c r="M20" i="1" s="1"/>
  <c r="AA27" i="1"/>
  <c r="AA25" i="1"/>
  <c r="AA29" i="1"/>
  <c r="K19" i="1"/>
  <c r="AA21" i="1"/>
  <c r="AA22" i="1"/>
  <c r="Q22" i="1"/>
  <c r="O22" i="1" s="1"/>
  <c r="R22" i="1" s="1"/>
  <c r="T23" i="1"/>
  <c r="U23" i="1" s="1"/>
  <c r="Q23" i="1" s="1"/>
  <c r="O23" i="1" s="1"/>
  <c r="R23" i="1" s="1"/>
  <c r="L23" i="1" s="1"/>
  <c r="M23" i="1" s="1"/>
  <c r="T27" i="1"/>
  <c r="U27" i="1" s="1"/>
  <c r="Q27" i="1" s="1"/>
  <c r="O27" i="1" s="1"/>
  <c r="R27" i="1" s="1"/>
  <c r="L27" i="1" s="1"/>
  <c r="M27" i="1" s="1"/>
  <c r="V24" i="1"/>
  <c r="Z24" i="1" s="1"/>
  <c r="AC24" i="1"/>
  <c r="AB24" i="1"/>
  <c r="T21" i="1"/>
  <c r="U21" i="1" s="1"/>
  <c r="K22" i="1"/>
  <c r="T18" i="1"/>
  <c r="U18" i="1" s="1"/>
  <c r="T17" i="1"/>
  <c r="U17" i="1" s="1"/>
  <c r="AA19" i="1"/>
  <c r="Q19" i="1"/>
  <c r="O19" i="1" s="1"/>
  <c r="R19" i="1" s="1"/>
  <c r="L19" i="1" s="1"/>
  <c r="M19" i="1" s="1"/>
  <c r="T25" i="1"/>
  <c r="U25" i="1" s="1"/>
  <c r="Q25" i="1" s="1"/>
  <c r="O25" i="1" s="1"/>
  <c r="R25" i="1" s="1"/>
  <c r="L25" i="1" s="1"/>
  <c r="M25" i="1" s="1"/>
  <c r="T29" i="1"/>
  <c r="U29" i="1" s="1"/>
  <c r="AA18" i="1"/>
  <c r="Q17" i="1"/>
  <c r="O17" i="1" s="1"/>
  <c r="R17" i="1" s="1"/>
  <c r="L17" i="1" s="1"/>
  <c r="M17" i="1" s="1"/>
  <c r="AA17" i="1"/>
  <c r="Q24" i="1"/>
  <c r="O24" i="1" s="1"/>
  <c r="R24" i="1" s="1"/>
  <c r="L24" i="1" s="1"/>
  <c r="M24" i="1" s="1"/>
  <c r="V18" i="1" l="1"/>
  <c r="Z18" i="1" s="1"/>
  <c r="AC18" i="1"/>
  <c r="AB18" i="1"/>
  <c r="V29" i="1"/>
  <c r="Z29" i="1" s="1"/>
  <c r="AC29" i="1"/>
  <c r="AB29" i="1"/>
  <c r="L22" i="1"/>
  <c r="M22" i="1" s="1"/>
  <c r="AC23" i="1"/>
  <c r="AD23" i="1" s="1"/>
  <c r="V23" i="1"/>
  <c r="Z23" i="1" s="1"/>
  <c r="AB23" i="1"/>
  <c r="V21" i="1"/>
  <c r="Z21" i="1" s="1"/>
  <c r="AC21" i="1"/>
  <c r="AB21" i="1"/>
  <c r="AC27" i="1"/>
  <c r="AB27" i="1"/>
  <c r="V27" i="1"/>
  <c r="Z27" i="1" s="1"/>
  <c r="Q29" i="1"/>
  <c r="O29" i="1" s="1"/>
  <c r="R29" i="1" s="1"/>
  <c r="L29" i="1" s="1"/>
  <c r="M29" i="1" s="1"/>
  <c r="V25" i="1"/>
  <c r="Z25" i="1" s="1"/>
  <c r="AC25" i="1"/>
  <c r="AB25" i="1"/>
  <c r="V17" i="1"/>
  <c r="Z17" i="1" s="1"/>
  <c r="AC17" i="1"/>
  <c r="AB17" i="1"/>
  <c r="AD24" i="1"/>
  <c r="V22" i="1"/>
  <c r="Z22" i="1" s="1"/>
  <c r="AC22" i="1"/>
  <c r="AB22" i="1"/>
  <c r="Q21" i="1"/>
  <c r="O21" i="1" s="1"/>
  <c r="R21" i="1" s="1"/>
  <c r="L21" i="1" s="1"/>
  <c r="M21" i="1" s="1"/>
  <c r="Q18" i="1"/>
  <c r="O18" i="1" s="1"/>
  <c r="R18" i="1" s="1"/>
  <c r="L18" i="1" s="1"/>
  <c r="M18" i="1" s="1"/>
  <c r="V26" i="1"/>
  <c r="Z26" i="1" s="1"/>
  <c r="AC26" i="1"/>
  <c r="AB26" i="1"/>
  <c r="AD19" i="1"/>
  <c r="AD17" i="1" l="1"/>
  <c r="AD27" i="1"/>
  <c r="AD26" i="1"/>
  <c r="AD29" i="1"/>
  <c r="AD21" i="1"/>
  <c r="AD25" i="1"/>
  <c r="AD22" i="1"/>
  <c r="AD18" i="1"/>
</calcChain>
</file>

<file path=xl/sharedStrings.xml><?xml version="1.0" encoding="utf-8"?>
<sst xmlns="http://schemas.openxmlformats.org/spreadsheetml/2006/main" count="814" uniqueCount="367">
  <si>
    <t>File opened</t>
  </si>
  <si>
    <t>2025-07-09 16:39:57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</si>
  <si>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</si>
  <si>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</si>
  <si>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</si>
  <si>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</si>
  <si>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</si>
  <si>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</si>
  <si>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</si>
  <si>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</si>
  <si>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</si>
  <si>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</si>
  <si>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</si>
  <si>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</si>
  <si>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</si>
  <si>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</si>
  <si>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</si>
  <si>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</si>
  <si>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</si>
  <si>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</si>
  <si>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</si>
  <si>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</si>
  <si>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</si>
  <si>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</si>
  <si>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</si>
  <si>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</si>
  <si>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</si>
  <si>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</si>
  <si>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16:39:57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</si>
  <si>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</si>
  <si>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</si>
  <si>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</si>
  <si>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</si>
  <si>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</si>
  <si>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</si>
  <si>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</si>
  <si>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</si>
  <si>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</si>
  <si>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</si>
  <si>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</si>
  <si>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</si>
  <si>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</si>
  <si>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</si>
  <si>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</si>
  <si>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</si>
  <si>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</si>
  <si>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</si>
  <si>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</si>
  <si>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</si>
  <si>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</si>
  <si>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</si>
  <si>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</si>
  <si>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</si>
  <si>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</si>
  <si>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</si>
  <si>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</si>
  <si>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</si>
  <si>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</si>
  <si>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</si>
  <si>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</si>
  <si>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</si>
  <si>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</si>
  <si>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</si>
  <si>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</si>
  <si>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</si>
  <si>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</si>
  <si>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</si>
  <si>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</si>
  <si>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</si>
  <si>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</si>
  <si>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</si>
  <si>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</si>
  <si>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</si>
  <si>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</si>
  <si>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</si>
  <si>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</si>
  <si>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</si>
  <si>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</si>
  <si>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</si>
  <si>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</si>
  <si>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3.3964 165.482 349.022 597.823 863.831 1067.06 1299.19 1506.34</t>
  </si>
  <si>
    <t>Fs_true</t>
  </si>
  <si>
    <t>0.256706 202.289 385.521 595.14 805.098 1001.1 1201.35 1400.66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</si>
  <si>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</si>
  <si>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</si>
  <si>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</si>
  <si>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</si>
  <si>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</si>
  <si>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</si>
  <si>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</si>
  <si>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</si>
  <si>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</si>
  <si>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</si>
  <si>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</si>
  <si>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</si>
  <si>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</si>
  <si>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</si>
  <si>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</si>
  <si>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</si>
  <si>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</si>
  <si>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</si>
  <si>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</si>
  <si>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</si>
  <si>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</si>
  <si>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</si>
  <si>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</si>
  <si>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</si>
  <si>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</si>
  <si>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</si>
  <si>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</si>
  <si>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</si>
  <si>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</si>
  <si>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</si>
  <si>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</si>
  <si>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</si>
  <si>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</si>
  <si>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</si>
  <si>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</si>
  <si>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</si>
  <si>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</si>
  <si>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</si>
  <si>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</si>
  <si>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</si>
  <si>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</si>
  <si>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</si>
  <si>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</si>
  <si>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</si>
  <si>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</si>
  <si>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</si>
  <si>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</si>
  <si>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</si>
  <si>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</si>
  <si>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</si>
  <si>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</si>
  <si>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</si>
  <si>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</si>
  <si>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</si>
  <si>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</si>
  <si>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</si>
  <si>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</si>
  <si>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</si>
  <si>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</si>
  <si>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</si>
  <si>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</si>
  <si>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</si>
  <si>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</si>
  <si>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</si>
  <si>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</si>
  <si>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</si>
  <si>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</si>
  <si>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</si>
  <si>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</si>
  <si>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</si>
  <si>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</si>
  <si>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</si>
  <si>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</si>
  <si>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</si>
  <si>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</si>
  <si>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</si>
  <si>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</si>
  <si>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</si>
  <si>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</si>
  <si>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</si>
  <si>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</si>
  <si>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</si>
  <si>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</si>
  <si>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</si>
  <si>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</si>
  <si>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</si>
  <si>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</si>
  <si>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</si>
  <si>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</si>
  <si>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</si>
  <si>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</si>
  <si>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</si>
  <si>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</si>
  <si>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</si>
  <si>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</si>
  <si>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</si>
  <si>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</si>
  <si>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</si>
  <si>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</si>
  <si>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</si>
  <si>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</si>
  <si>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</si>
  <si>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</si>
  <si>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</si>
  <si>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</si>
  <si>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</si>
  <si>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</si>
  <si>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</si>
  <si>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</si>
  <si>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</si>
  <si>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</si>
  <si>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</si>
  <si>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</si>
  <si>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</si>
  <si>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</si>
  <si>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</si>
  <si>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</si>
  <si>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</si>
  <si>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</si>
  <si>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</si>
  <si>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</si>
  <si>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</si>
  <si>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</si>
  <si>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</si>
  <si>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</si>
  <si>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</si>
  <si>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</si>
  <si>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</si>
  <si>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</si>
  <si>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</si>
  <si>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</si>
  <si>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</si>
  <si>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</si>
  <si>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</si>
  <si>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</si>
  <si>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</si>
  <si>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</si>
  <si>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</si>
  <si>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</si>
  <si>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</si>
  <si>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</si>
  <si>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</si>
  <si>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</si>
  <si>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</si>
  <si>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</si>
  <si>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</si>
  <si>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</si>
  <si>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</si>
  <si>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</si>
  <si>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</si>
  <si>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</si>
  <si>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</si>
  <si>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</si>
  <si>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</si>
  <si>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</si>
  <si>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</si>
  <si>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</si>
  <si>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</si>
  <si>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</si>
  <si>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</si>
  <si>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</si>
  <si>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</si>
  <si>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</si>
  <si>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</si>
  <si>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</si>
  <si>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</si>
  <si>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</si>
  <si>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</si>
  <si>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</si>
  <si>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</si>
  <si>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</si>
  <si>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</si>
  <si>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</si>
  <si>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</si>
  <si>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</si>
  <si>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</si>
  <si>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</si>
  <si>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</si>
  <si>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</si>
  <si>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</si>
  <si>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</si>
  <si>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</si>
  <si>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</si>
  <si>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</si>
  <si>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</si>
  <si>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</si>
  <si>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</si>
  <si>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</si>
  <si>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</si>
  <si>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</si>
  <si>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</si>
  <si>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</si>
  <si>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</si>
  <si>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</si>
  <si>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</si>
  <si>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</si>
  <si>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</si>
  <si>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</si>
  <si>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</si>
  <si>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</si>
  <si>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</si>
  <si>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</si>
  <si>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</si>
  <si>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</si>
  <si>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</si>
  <si>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</si>
  <si>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</si>
  <si>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</si>
  <si>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</si>
  <si>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</si>
  <si>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</si>
  <si>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</si>
  <si>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</si>
  <si>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</si>
  <si>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</si>
  <si>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</si>
  <si>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</si>
  <si>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</si>
  <si>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</si>
  <si>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</si>
  <si>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</si>
  <si>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</si>
  <si>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</si>
  <si>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</si>
  <si>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</si>
  <si>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</si>
  <si>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</si>
  <si>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</si>
  <si>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</si>
  <si>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</si>
  <si>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</si>
  <si>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</si>
  <si>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</si>
  <si>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</si>
  <si>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</si>
  <si>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</si>
  <si>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</si>
  <si>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</si>
  <si>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</si>
  <si>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</si>
  <si>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</si>
  <si>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</si>
  <si>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</si>
  <si>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</si>
  <si>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</si>
  <si>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</si>
  <si>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</si>
  <si>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</si>
  <si>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</si>
  <si>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</si>
  <si>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</si>
  <si>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20250709 17:22:16</t>
  </si>
  <si>
    <t>17:22:16</t>
  </si>
  <si>
    <t>0: Broadleaf</t>
  </si>
  <si>
    <t>17:18:21</t>
  </si>
  <si>
    <t>2/2</t>
  </si>
  <si>
    <t>11111111</t>
  </si>
  <si>
    <t>oooooooo</t>
  </si>
  <si>
    <t>on</t>
  </si>
  <si>
    <t>20250709 17:25:17</t>
  </si>
  <si>
    <t>17:25:17</t>
  </si>
  <si>
    <t>20250709 17:28:18</t>
  </si>
  <si>
    <t>17:28:18</t>
  </si>
  <si>
    <t>20250709 17:31:18</t>
  </si>
  <si>
    <t>17:31:18</t>
  </si>
  <si>
    <t>20250709 17:34:19</t>
  </si>
  <si>
    <t>17:34:19</t>
  </si>
  <si>
    <t>20250709 17:37:19</t>
  </si>
  <si>
    <t>17:37:19</t>
  </si>
  <si>
    <t>20250709 17:40:20</t>
  </si>
  <si>
    <t>17:40:20</t>
  </si>
  <si>
    <t>20250709 17:43:20</t>
  </si>
  <si>
    <t>17:43:20</t>
  </si>
  <si>
    <t>20250709 17:46:21</t>
  </si>
  <si>
    <t>17:46:21</t>
  </si>
  <si>
    <t>20250709 17:49:21</t>
  </si>
  <si>
    <t>17:49:21</t>
  </si>
  <si>
    <t>20250709 17:52:22</t>
  </si>
  <si>
    <t>17:52:22</t>
  </si>
  <si>
    <t>1/2</t>
  </si>
  <si>
    <t>20250709 17:55:22</t>
  </si>
  <si>
    <t>17:55:22</t>
  </si>
  <si>
    <t>20250709 17:58:23</t>
  </si>
  <si>
    <t>17:58:23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</si>
</sst>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T10" workbookViewId="0">
      <selection activeCell="BC17" sqref="BC17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1752074536.5999999</v>
      </c>
      <c r="C17">
        <v>0</v>
      </c>
      <c r="D17" t="s">
        <v>334</v>
      </c>
      <c r="E17" t="s">
        <v>335</v>
      </c>
      <c r="F17">
        <v>15</v>
      </c>
      <c r="G17">
        <v>1752074528.849999</v>
      </c>
      <c r="H17">
        <f t="shared" ref="H17:H29" si="0">(I17)/1000</f>
        <v>2.5038530589292303E-3</v>
      </c>
      <c r="I17">
        <f t="shared" ref="I17:I29" si="1">IF(BD17, AL17, AF17)</f>
        <v>2.5038530589292303</v>
      </c>
      <c r="J17">
        <f t="shared" ref="J17:J29" si="2">IF(BD17, AG17, AE17)</f>
        <v>20.288545352737437</v>
      </c>
      <c r="K17">
        <f t="shared" ref="K17:K29" si="3">BF17 - IF(AS17&gt;1, J17*AZ17*100/(AU17), 0)</f>
        <v>401.7640544786446</v>
      </c>
      <c r="L17">
        <f t="shared" ref="L17:L29" si="4">((R17-H17/2)*K17-J17)/(R17+H17/2)</f>
        <v>284.3782194891055</v>
      </c>
      <c r="M17">
        <f t="shared" ref="M17:M29" si="5">L17*(BM17+BN17)/1000</f>
        <v>29.057195232127675</v>
      </c>
      <c r="N17">
        <f t="shared" ref="N17:N29" si="6">(BF17 - IF(AS17&gt;1, J17*AZ17*100/(AU17), 0))*(BM17+BN17)/1000</f>
        <v>41.05144405647561</v>
      </c>
      <c r="O17">
        <f t="shared" ref="O17:O29" si="7">2/((1/Q17-1/P17)+SIGN(Q17)*SQRT((1/Q17-1/P17)*(1/Q17-1/P17) + 4*BA17/((BA17+1)*(BA17+1))*(2*1/Q17*1/P17-1/P17*1/P17)))</f>
        <v>0.30513866959708802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2.4276519772316938</v>
      </c>
      <c r="Q17">
        <f t="shared" ref="Q17:Q29" si="9">H17*(1000-(1000*0.61365*EXP(17.502*U17/(240.97+U17))/(BM17+BN17)+BH17)/2)/(1000*0.61365*EXP(17.502*U17/(240.97+U17))/(BM17+BN17)-BH17)</f>
        <v>0.2856039951328096</v>
      </c>
      <c r="R17">
        <f t="shared" ref="R17:R29" si="10">1/((BA17+1)/(O17/1.6)+1/(P17/1.37)) + BA17/((BA17+1)/(O17/1.6) + BA17/(P17/1.37))</f>
        <v>0.18015414781851169</v>
      </c>
      <c r="S17">
        <f t="shared" ref="S17:S29" si="11">(AV17*AY17)</f>
        <v>182.78766333333337</v>
      </c>
      <c r="T17">
        <f t="shared" ref="T17:T29" si="12">(BO17+(S17+2*0.95*0.0000000567*(((BO17+$B$7)+273)^4-(BO17+273)^4)-44100*H17)/(1.84*29.3*P17+8*0.95*0.0000000567*(BO17+273)^3))</f>
        <v>27.427812282424128</v>
      </c>
      <c r="U17">
        <f t="shared" ref="U17:U29" si="13">($C$7*BP17+$D$7*BQ17+$E$7*T17)</f>
        <v>26.227060000000009</v>
      </c>
      <c r="V17">
        <f t="shared" ref="V17:V29" si="14">0.61365*EXP(17.502*U17/(240.97+U17))</f>
        <v>3.4198614840252484</v>
      </c>
      <c r="W17">
        <f t="shared" ref="W17:W29" si="15">(X17/Y17*100)</f>
        <v>71.58848844487342</v>
      </c>
      <c r="X17">
        <f t="shared" ref="X17:X29" si="16">BH17*(BM17+BN17)/1000</f>
        <v>2.5502499260482838</v>
      </c>
      <c r="Y17">
        <f t="shared" ref="Y17:Y29" si="17">0.61365*EXP(17.502*BO17/(240.97+BO17))</f>
        <v>3.5623743166641924</v>
      </c>
      <c r="Z17">
        <f t="shared" ref="Z17:Z29" si="18">(V17-BH17*(BM17+BN17)/1000)</f>
        <v>0.86961155797696454</v>
      </c>
      <c r="AA17">
        <f t="shared" ref="AA17:AA29" si="19">(-H17*44100)</f>
        <v>-110.41991989877906</v>
      </c>
      <c r="AB17">
        <f t="shared" ref="AB17:AB29" si="20">2*29.3*P17*0.92*(BO17-U17)</f>
        <v>90.689946528401862</v>
      </c>
      <c r="AC17">
        <f t="shared" ref="AC17:AC29" si="21">2*0.95*0.0000000567*(((BO17+$B$7)+273)^4-(U17+273)^4)</f>
        <v>8.0277675545804801</v>
      </c>
      <c r="AD17">
        <f t="shared" ref="AD17:AD29" si="22">S17+AC17+AA17+AB17</f>
        <v>171.08545751753667</v>
      </c>
      <c r="AE17">
        <f t="shared" ref="AE17:AE29" si="23">BL17*AS17*(BG17-BF17*(1000-AS17*BI17)/(1000-AS17*BH17))/(100*AZ17)</f>
        <v>20.288545352737437</v>
      </c>
      <c r="AF17">
        <f t="shared" ref="AF17:AF29" si="24">1000*BL17*AS17*(BH17-BI17)/(100*AZ17*(1000-AS17*BH17))</f>
        <v>2.5038530589292303</v>
      </c>
      <c r="AG17">
        <f t="shared" ref="AG17:AG29" si="25">(AH17 - AI17 - BM17*1000/(8.314*(BO17+273.15)) * AK17/BL17 * AJ17) * BL17/(100*AZ17) * (1000 - BI17)/1000</f>
        <v>20.29018794131828</v>
      </c>
      <c r="AH17">
        <v>458.94502544103591</v>
      </c>
      <c r="AI17">
        <v>412.38848484848478</v>
      </c>
      <c r="AJ17">
        <v>-1.9421416524724179E-4</v>
      </c>
      <c r="AK17">
        <v>84.077294511207981</v>
      </c>
      <c r="AL17">
        <f t="shared" ref="AL17:AL29" si="26">(AN17 - AM17 + BM17*1000/(8.314*(BO17+273.15)) * AP17/BL17 * AO17) * BL17/(100*AZ17) * 1000/(1000 - AN17)</f>
        <v>2.5044013288658094</v>
      </c>
      <c r="AM17">
        <v>19.465745509352629</v>
      </c>
      <c r="AN17">
        <v>24.959979699248109</v>
      </c>
      <c r="AO17">
        <v>-1.090711318662156E-5</v>
      </c>
      <c r="AP17">
        <v>90.497705113126258</v>
      </c>
      <c r="AQ17">
        <v>1</v>
      </c>
      <c r="AR17">
        <v>0</v>
      </c>
      <c r="AS17">
        <f t="shared" ref="AS17:AS29" si="27">IF(AQ17*$H$13&gt;=AU17,1,(AU17/(AU17-AQ17*$H$13)))</f>
        <v>1.0000277870192522</v>
      </c>
      <c r="AT17">
        <f t="shared" ref="AT17:AT29" si="28">(AS17-1)*100</f>
        <v>2.7787019252212275E-3</v>
      </c>
      <c r="AU17">
        <f t="shared" ref="AU17:AU29" si="29">MAX(0,($B$13+$C$13*BT17)/(1+$D$13*BT17)*BM17/(BO17+273)*$E$13)</f>
        <v>53983.540548570229</v>
      </c>
      <c r="AV17">
        <f t="shared" ref="AV17:AV29" si="30">$B$11*BU17+$C$11*BV17</f>
        <v>962.04033333333348</v>
      </c>
      <c r="AW17">
        <f t="shared" ref="AW17:AW29" si="31">AV17*AX17</f>
        <v>769.63226666666685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1.88</v>
      </c>
      <c r="BB17" t="s">
        <v>336</v>
      </c>
      <c r="BC17">
        <v>2</v>
      </c>
      <c r="BD17" t="b">
        <v>0</v>
      </c>
      <c r="BE17">
        <v>1752074528.849999</v>
      </c>
      <c r="BF17">
        <v>402.10230000000001</v>
      </c>
      <c r="BG17">
        <v>450.01450000000011</v>
      </c>
      <c r="BH17">
        <v>24.958896666666661</v>
      </c>
      <c r="BI17">
        <v>19.466116666666661</v>
      </c>
      <c r="BJ17">
        <v>401.23239999999993</v>
      </c>
      <c r="BK17">
        <v>24.699909999999999</v>
      </c>
      <c r="BL17">
        <v>400.00893333333329</v>
      </c>
      <c r="BM17">
        <v>102.078</v>
      </c>
      <c r="BN17">
        <v>9.9991283333333333E-2</v>
      </c>
      <c r="BO17">
        <v>26.91998666666667</v>
      </c>
      <c r="BP17">
        <v>26.227060000000009</v>
      </c>
      <c r="BQ17">
        <v>999.9000000000002</v>
      </c>
      <c r="BR17">
        <v>0</v>
      </c>
      <c r="BS17">
        <v>0</v>
      </c>
      <c r="BT17">
        <v>9998.6833333333325</v>
      </c>
      <c r="BU17">
        <v>962.04033333333348</v>
      </c>
      <c r="BV17">
        <v>16.363</v>
      </c>
      <c r="BW17">
        <v>-47.91220666666667</v>
      </c>
      <c r="BX17">
        <v>412.39526666666671</v>
      </c>
      <c r="BY17">
        <v>458.94833333333338</v>
      </c>
      <c r="BZ17">
        <v>5.4927856666666672</v>
      </c>
      <c r="CA17">
        <v>450.01450000000011</v>
      </c>
      <c r="CB17">
        <v>19.466116666666661</v>
      </c>
      <c r="CC17">
        <v>2.547753666666666</v>
      </c>
      <c r="CD17">
        <v>1.987061</v>
      </c>
      <c r="CE17">
        <v>21.334816666666661</v>
      </c>
      <c r="CF17">
        <v>17.341603333333332</v>
      </c>
      <c r="CG17">
        <v>1752074301.5999999</v>
      </c>
      <c r="CH17" t="s">
        <v>337</v>
      </c>
      <c r="CI17">
        <v>1752074299.5999999</v>
      </c>
      <c r="CJ17">
        <v>1752074301.5999999</v>
      </c>
      <c r="CK17">
        <v>4</v>
      </c>
      <c r="CL17">
        <v>-0.28000000000000003</v>
      </c>
      <c r="CM17">
        <v>5.8999999999999997E-2</v>
      </c>
      <c r="CN17">
        <v>1.294</v>
      </c>
      <c r="CO17">
        <v>0.25900000000000001</v>
      </c>
      <c r="CP17">
        <v>450</v>
      </c>
      <c r="CQ17">
        <v>19</v>
      </c>
      <c r="CR17">
        <v>0.03</v>
      </c>
      <c r="CS17">
        <v>0.02</v>
      </c>
      <c r="CT17">
        <v>-47.910080487804883</v>
      </c>
      <c r="CU17">
        <v>3.2874564459904852E-2</v>
      </c>
      <c r="CV17">
        <v>3.0733434717228041E-2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5.4910675609756092</v>
      </c>
      <c r="DC17">
        <v>2.9795121951214799E-2</v>
      </c>
      <c r="DD17">
        <v>3.3250510947754699E-3</v>
      </c>
      <c r="DE17">
        <v>1</v>
      </c>
      <c r="DF17">
        <v>2</v>
      </c>
      <c r="DG17">
        <v>2</v>
      </c>
      <c r="DH17" t="s">
        <v>338</v>
      </c>
      <c r="DI17">
        <v>3.0241600000000002</v>
      </c>
      <c r="DJ17">
        <v>2.69116</v>
      </c>
      <c r="DK17">
        <v>9.4154799999999997E-2</v>
      </c>
      <c r="DL17">
        <v>0.103163</v>
      </c>
      <c r="DM17">
        <v>0.12367</v>
      </c>
      <c r="DN17">
        <v>0.104994</v>
      </c>
      <c r="DO17">
        <v>25211</v>
      </c>
      <c r="DP17">
        <v>16514.400000000001</v>
      </c>
      <c r="DQ17">
        <v>26409</v>
      </c>
      <c r="DR17">
        <v>16736.8</v>
      </c>
      <c r="DS17">
        <v>32921.5</v>
      </c>
      <c r="DT17">
        <v>19568.400000000001</v>
      </c>
      <c r="DU17">
        <v>38479.599999999999</v>
      </c>
      <c r="DV17">
        <v>22181.4</v>
      </c>
      <c r="DW17">
        <v>1.7927200000000001</v>
      </c>
      <c r="DX17">
        <v>2.1912799999999999</v>
      </c>
      <c r="DY17">
        <v>7.3432899999999995E-2</v>
      </c>
      <c r="DZ17">
        <v>0</v>
      </c>
      <c r="EA17">
        <v>25.025600000000001</v>
      </c>
      <c r="EB17">
        <v>999.9</v>
      </c>
      <c r="EC17">
        <v>55.2</v>
      </c>
      <c r="ED17">
        <v>32.4</v>
      </c>
      <c r="EE17">
        <v>26.4133</v>
      </c>
      <c r="EF17">
        <v>62.6815</v>
      </c>
      <c r="EG17">
        <v>34.531199999999998</v>
      </c>
      <c r="EH17">
        <v>1</v>
      </c>
      <c r="EI17">
        <v>7.0487800000000003E-2</v>
      </c>
      <c r="EJ17">
        <v>0.10542899999999999</v>
      </c>
      <c r="EK17">
        <v>20.3431</v>
      </c>
      <c r="EL17">
        <v>5.2517899999999997</v>
      </c>
      <c r="EM17">
        <v>11.962</v>
      </c>
      <c r="EN17">
        <v>4.9895199999999997</v>
      </c>
      <c r="EO17">
        <v>3.29142</v>
      </c>
      <c r="EP17">
        <v>9999</v>
      </c>
      <c r="EQ17">
        <v>9999</v>
      </c>
      <c r="ER17">
        <v>9999</v>
      </c>
      <c r="ES17">
        <v>999.9</v>
      </c>
      <c r="ET17">
        <v>4.9726800000000004</v>
      </c>
      <c r="EU17">
        <v>1.87185</v>
      </c>
      <c r="EV17">
        <v>1.8721000000000001</v>
      </c>
      <c r="EW17">
        <v>1.87714</v>
      </c>
      <c r="EX17">
        <v>1.87134</v>
      </c>
      <c r="EY17">
        <v>1.87209</v>
      </c>
      <c r="EZ17">
        <v>1.8717600000000001</v>
      </c>
      <c r="FA17">
        <v>1.8686700000000001</v>
      </c>
      <c r="FB17">
        <v>0</v>
      </c>
      <c r="FC17">
        <v>0</v>
      </c>
      <c r="FD17">
        <v>0</v>
      </c>
      <c r="FE17">
        <v>0</v>
      </c>
      <c r="FF17" t="s">
        <v>339</v>
      </c>
      <c r="FG17" t="s">
        <v>340</v>
      </c>
      <c r="FH17" t="s">
        <v>341</v>
      </c>
      <c r="FI17" t="s">
        <v>341</v>
      </c>
      <c r="FJ17" t="s">
        <v>341</v>
      </c>
      <c r="FK17" t="s">
        <v>341</v>
      </c>
      <c r="FL17">
        <v>0</v>
      </c>
      <c r="FM17">
        <v>100</v>
      </c>
      <c r="FN17">
        <v>100</v>
      </c>
      <c r="FO17">
        <v>0.87</v>
      </c>
      <c r="FP17">
        <v>0.25900000000000001</v>
      </c>
      <c r="FQ17">
        <v>-2.452151080185113</v>
      </c>
      <c r="FR17">
        <v>7.6898218637449396E-3</v>
      </c>
      <c r="FS17">
        <v>1.5097418776848419E-6</v>
      </c>
      <c r="FT17">
        <v>-9.8458676114205118E-11</v>
      </c>
      <c r="FU17">
        <v>0.25897999999999749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4</v>
      </c>
      <c r="GD17">
        <v>3.9</v>
      </c>
      <c r="GE17">
        <v>1.1059600000000001</v>
      </c>
      <c r="GF17">
        <v>2.63428</v>
      </c>
      <c r="GG17">
        <v>1.79932</v>
      </c>
      <c r="GH17">
        <v>2.3742700000000001</v>
      </c>
      <c r="GI17">
        <v>1.5979000000000001</v>
      </c>
      <c r="GJ17">
        <v>2.4890099999999999</v>
      </c>
      <c r="GK17">
        <v>35.405900000000003</v>
      </c>
      <c r="GL17">
        <v>24.1663</v>
      </c>
      <c r="GM17">
        <v>18</v>
      </c>
      <c r="GN17">
        <v>364.47699999999998</v>
      </c>
      <c r="GO17">
        <v>677.89300000000003</v>
      </c>
      <c r="GP17">
        <v>25.829899999999999</v>
      </c>
      <c r="GQ17">
        <v>28.006</v>
      </c>
      <c r="GR17">
        <v>30.0002</v>
      </c>
      <c r="GS17">
        <v>27.938500000000001</v>
      </c>
      <c r="GT17">
        <v>27.966999999999999</v>
      </c>
      <c r="GU17">
        <v>22.112200000000001</v>
      </c>
      <c r="GV17">
        <v>32.7408</v>
      </c>
      <c r="GW17">
        <v>0</v>
      </c>
      <c r="GX17">
        <v>25.83</v>
      </c>
      <c r="GY17">
        <v>450</v>
      </c>
      <c r="GZ17">
        <v>19.5</v>
      </c>
      <c r="HA17">
        <v>100.364</v>
      </c>
      <c r="HB17">
        <v>69.233199999999997</v>
      </c>
    </row>
    <row r="18" spans="1:210" x14ac:dyDescent="0.3">
      <c r="A18">
        <v>2</v>
      </c>
      <c r="B18">
        <v>1752074717.0999999</v>
      </c>
      <c r="C18">
        <v>180.5</v>
      </c>
      <c r="D18" t="s">
        <v>342</v>
      </c>
      <c r="E18" t="s">
        <v>343</v>
      </c>
      <c r="F18">
        <v>15</v>
      </c>
      <c r="G18">
        <v>1752074709.349999</v>
      </c>
      <c r="H18">
        <f t="shared" si="0"/>
        <v>2.5438855337074667E-3</v>
      </c>
      <c r="I18">
        <f t="shared" si="1"/>
        <v>2.5438855337074666</v>
      </c>
      <c r="J18">
        <f t="shared" si="2"/>
        <v>13.13144965930182</v>
      </c>
      <c r="K18">
        <f t="shared" si="3"/>
        <v>268.70298521221594</v>
      </c>
      <c r="L18">
        <f t="shared" si="4"/>
        <v>194.52390346294632</v>
      </c>
      <c r="M18">
        <f t="shared" si="5"/>
        <v>19.876331133230504</v>
      </c>
      <c r="N18">
        <f t="shared" si="6"/>
        <v>27.45590344161938</v>
      </c>
      <c r="O18">
        <f t="shared" si="7"/>
        <v>0.31377270513149325</v>
      </c>
      <c r="P18">
        <f t="shared" si="8"/>
        <v>2.4284495784899316</v>
      </c>
      <c r="Q18">
        <f t="shared" si="9"/>
        <v>0.2931629342652266</v>
      </c>
      <c r="R18">
        <f t="shared" si="10"/>
        <v>0.18496653539256652</v>
      </c>
      <c r="S18">
        <f t="shared" si="11"/>
        <v>182.73338033333337</v>
      </c>
      <c r="T18">
        <f t="shared" si="12"/>
        <v>27.413813909334007</v>
      </c>
      <c r="U18">
        <f t="shared" si="13"/>
        <v>26.220690000000001</v>
      </c>
      <c r="V18">
        <f t="shared" si="14"/>
        <v>3.4185748237332048</v>
      </c>
      <c r="W18">
        <f t="shared" si="15"/>
        <v>71.806547231058232</v>
      </c>
      <c r="X18">
        <f t="shared" si="16"/>
        <v>2.5578556459723876</v>
      </c>
      <c r="Y18">
        <f t="shared" si="17"/>
        <v>3.5621482226986219</v>
      </c>
      <c r="Z18">
        <f t="shared" si="18"/>
        <v>0.86071917776081719</v>
      </c>
      <c r="AA18">
        <f t="shared" si="19"/>
        <v>-112.18535203649928</v>
      </c>
      <c r="AB18">
        <f t="shared" si="20"/>
        <v>91.41232298316217</v>
      </c>
      <c r="AC18">
        <f t="shared" si="21"/>
        <v>8.0887522476076832</v>
      </c>
      <c r="AD18">
        <f t="shared" si="22"/>
        <v>170.04910352760396</v>
      </c>
      <c r="AE18">
        <f t="shared" si="23"/>
        <v>13.13144965930182</v>
      </c>
      <c r="AF18">
        <f t="shared" si="24"/>
        <v>2.5438855337074666</v>
      </c>
      <c r="AG18">
        <f t="shared" si="25"/>
        <v>13.145550474128692</v>
      </c>
      <c r="AH18">
        <v>305.95531344222292</v>
      </c>
      <c r="AI18">
        <v>275.79230303030289</v>
      </c>
      <c r="AJ18">
        <v>-1.368327581007189E-4</v>
      </c>
      <c r="AK18">
        <v>84.077294511207981</v>
      </c>
      <c r="AL18">
        <f t="shared" si="26"/>
        <v>2.5468510917936307</v>
      </c>
      <c r="AM18">
        <v>19.45231424478775</v>
      </c>
      <c r="AN18">
        <v>25.039215488721801</v>
      </c>
      <c r="AO18">
        <v>1.532285455921675E-6</v>
      </c>
      <c r="AP18">
        <v>90.497705113126258</v>
      </c>
      <c r="AQ18">
        <v>1</v>
      </c>
      <c r="AR18">
        <v>0</v>
      </c>
      <c r="AS18">
        <f t="shared" si="27"/>
        <v>1.0000277731287142</v>
      </c>
      <c r="AT18">
        <f t="shared" si="28"/>
        <v>2.7773128714159157E-3</v>
      </c>
      <c r="AU18">
        <f t="shared" si="29"/>
        <v>54010.539292405752</v>
      </c>
      <c r="AV18">
        <f t="shared" si="30"/>
        <v>961.75463333333346</v>
      </c>
      <c r="AW18">
        <f t="shared" si="31"/>
        <v>769.40370666666684</v>
      </c>
      <c r="AX18">
        <f t="shared" si="32"/>
        <v>0.8</v>
      </c>
      <c r="AY18">
        <f t="shared" si="33"/>
        <v>0.19</v>
      </c>
      <c r="AZ18">
        <v>9</v>
      </c>
      <c r="BA18">
        <v>1.88</v>
      </c>
      <c r="BB18" t="s">
        <v>336</v>
      </c>
      <c r="BC18">
        <v>2</v>
      </c>
      <c r="BD18" t="b">
        <v>0</v>
      </c>
      <c r="BE18">
        <v>1752074709.349999</v>
      </c>
      <c r="BF18">
        <v>268.92180000000002</v>
      </c>
      <c r="BG18">
        <v>300.0059</v>
      </c>
      <c r="BH18">
        <v>25.03299333333333</v>
      </c>
      <c r="BI18">
        <v>19.452706666666671</v>
      </c>
      <c r="BJ18">
        <v>269.19630000000001</v>
      </c>
      <c r="BK18">
        <v>24.774010000000001</v>
      </c>
      <c r="BL18">
        <v>400.00103333333328</v>
      </c>
      <c r="BM18">
        <v>102.07940000000001</v>
      </c>
      <c r="BN18">
        <v>9.9976309999999999E-2</v>
      </c>
      <c r="BO18">
        <v>26.918906666666661</v>
      </c>
      <c r="BP18">
        <v>26.220690000000001</v>
      </c>
      <c r="BQ18">
        <v>999.9000000000002</v>
      </c>
      <c r="BR18">
        <v>0</v>
      </c>
      <c r="BS18">
        <v>0</v>
      </c>
      <c r="BT18">
        <v>10003.716666666671</v>
      </c>
      <c r="BU18">
        <v>961.75463333333346</v>
      </c>
      <c r="BV18">
        <v>16.363</v>
      </c>
      <c r="BW18">
        <v>-31.084086666666671</v>
      </c>
      <c r="BX18">
        <v>275.82643333333328</v>
      </c>
      <c r="BY18">
        <v>305.95756666666671</v>
      </c>
      <c r="BZ18">
        <v>5.5802940000000003</v>
      </c>
      <c r="CA18">
        <v>300.0059</v>
      </c>
      <c r="CB18">
        <v>19.452706666666671</v>
      </c>
      <c r="CC18">
        <v>2.5553526666666659</v>
      </c>
      <c r="CD18">
        <v>1.9857186666666671</v>
      </c>
      <c r="CE18">
        <v>21.383426666666669</v>
      </c>
      <c r="CF18">
        <v>17.330926666666659</v>
      </c>
      <c r="CG18">
        <v>1752074301.5999999</v>
      </c>
      <c r="CH18" t="s">
        <v>337</v>
      </c>
      <c r="CI18">
        <v>1752074299.5999999</v>
      </c>
      <c r="CJ18">
        <v>1752074301.5999999</v>
      </c>
      <c r="CK18">
        <v>4</v>
      </c>
      <c r="CL18">
        <v>-0.28000000000000003</v>
      </c>
      <c r="CM18">
        <v>5.8999999999999997E-2</v>
      </c>
      <c r="CN18">
        <v>1.294</v>
      </c>
      <c r="CO18">
        <v>0.25900000000000001</v>
      </c>
      <c r="CP18">
        <v>450</v>
      </c>
      <c r="CQ18">
        <v>19</v>
      </c>
      <c r="CR18">
        <v>0.03</v>
      </c>
      <c r="CS18">
        <v>0.02</v>
      </c>
      <c r="CT18">
        <v>-31.064965853658538</v>
      </c>
      <c r="CU18">
        <v>-0.23311358885017869</v>
      </c>
      <c r="CV18">
        <v>3.4854272298270532E-2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5.578275365853659</v>
      </c>
      <c r="DC18">
        <v>3.9153031358886717E-2</v>
      </c>
      <c r="DD18">
        <v>4.4700188778784731E-3</v>
      </c>
      <c r="DE18">
        <v>1</v>
      </c>
      <c r="DF18">
        <v>2</v>
      </c>
      <c r="DG18">
        <v>2</v>
      </c>
      <c r="DH18" t="s">
        <v>338</v>
      </c>
      <c r="DI18">
        <v>3.0244900000000001</v>
      </c>
      <c r="DJ18">
        <v>2.6911299999999998</v>
      </c>
      <c r="DK18">
        <v>6.8479499999999999E-2</v>
      </c>
      <c r="DL18">
        <v>7.5239299999999995E-2</v>
      </c>
      <c r="DM18">
        <v>0.123934</v>
      </c>
      <c r="DN18">
        <v>0.104934</v>
      </c>
      <c r="DO18">
        <v>25925.1</v>
      </c>
      <c r="DP18">
        <v>17028.5</v>
      </c>
      <c r="DQ18">
        <v>26408.7</v>
      </c>
      <c r="DR18">
        <v>16736.8</v>
      </c>
      <c r="DS18">
        <v>32910</v>
      </c>
      <c r="DT18">
        <v>19569.599999999999</v>
      </c>
      <c r="DU18">
        <v>38478.6</v>
      </c>
      <c r="DV18">
        <v>22181.599999999999</v>
      </c>
      <c r="DW18">
        <v>1.79284</v>
      </c>
      <c r="DX18">
        <v>2.1903800000000002</v>
      </c>
      <c r="DY18">
        <v>7.3656399999999997E-2</v>
      </c>
      <c r="DZ18">
        <v>0</v>
      </c>
      <c r="EA18">
        <v>25.0046</v>
      </c>
      <c r="EB18">
        <v>999.9</v>
      </c>
      <c r="EC18">
        <v>55.2</v>
      </c>
      <c r="ED18">
        <v>32.4</v>
      </c>
      <c r="EE18">
        <v>26.4102</v>
      </c>
      <c r="EF18">
        <v>62.761499999999998</v>
      </c>
      <c r="EG18">
        <v>34.402999999999999</v>
      </c>
      <c r="EH18">
        <v>1</v>
      </c>
      <c r="EI18">
        <v>7.1585399999999993E-2</v>
      </c>
      <c r="EJ18">
        <v>0.10623100000000001</v>
      </c>
      <c r="EK18">
        <v>20.3432</v>
      </c>
      <c r="EL18">
        <v>5.2509499999999996</v>
      </c>
      <c r="EM18">
        <v>11.962</v>
      </c>
      <c r="EN18">
        <v>4.9894800000000004</v>
      </c>
      <c r="EO18">
        <v>3.29156</v>
      </c>
      <c r="EP18">
        <v>9999</v>
      </c>
      <c r="EQ18">
        <v>9999</v>
      </c>
      <c r="ER18">
        <v>9999</v>
      </c>
      <c r="ES18">
        <v>999.9</v>
      </c>
      <c r="ET18">
        <v>4.9726400000000002</v>
      </c>
      <c r="EU18">
        <v>1.8718600000000001</v>
      </c>
      <c r="EV18">
        <v>1.8721000000000001</v>
      </c>
      <c r="EW18">
        <v>1.87714</v>
      </c>
      <c r="EX18">
        <v>1.87134</v>
      </c>
      <c r="EY18">
        <v>1.8720699999999999</v>
      </c>
      <c r="EZ18">
        <v>1.8717699999999999</v>
      </c>
      <c r="FA18">
        <v>1.86866</v>
      </c>
      <c r="FB18">
        <v>0</v>
      </c>
      <c r="FC18">
        <v>0</v>
      </c>
      <c r="FD18">
        <v>0</v>
      </c>
      <c r="FE18">
        <v>0</v>
      </c>
      <c r="FF18" t="s">
        <v>339</v>
      </c>
      <c r="FG18" t="s">
        <v>340</v>
      </c>
      <c r="FH18" t="s">
        <v>341</v>
      </c>
      <c r="FI18" t="s">
        <v>341</v>
      </c>
      <c r="FJ18" t="s">
        <v>341</v>
      </c>
      <c r="FK18" t="s">
        <v>341</v>
      </c>
      <c r="FL18">
        <v>0</v>
      </c>
      <c r="FM18">
        <v>100</v>
      </c>
      <c r="FN18">
        <v>100</v>
      </c>
      <c r="FO18">
        <v>-0.27500000000000002</v>
      </c>
      <c r="FP18">
        <v>0.25900000000000001</v>
      </c>
      <c r="FQ18">
        <v>-2.452151080185113</v>
      </c>
      <c r="FR18">
        <v>7.6898218637449396E-3</v>
      </c>
      <c r="FS18">
        <v>1.5097418776848419E-6</v>
      </c>
      <c r="FT18">
        <v>-9.8458676114205118E-11</v>
      </c>
      <c r="FU18">
        <v>0.25897999999999749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7</v>
      </c>
      <c r="GD18">
        <v>6.9</v>
      </c>
      <c r="GE18">
        <v>0.80322300000000002</v>
      </c>
      <c r="GF18">
        <v>2.65137</v>
      </c>
      <c r="GG18">
        <v>1.79932</v>
      </c>
      <c r="GH18">
        <v>2.3742700000000001</v>
      </c>
      <c r="GI18">
        <v>1.5979000000000001</v>
      </c>
      <c r="GJ18">
        <v>2.4621599999999999</v>
      </c>
      <c r="GK18">
        <v>35.3827</v>
      </c>
      <c r="GL18">
        <v>24.157499999999999</v>
      </c>
      <c r="GM18">
        <v>18</v>
      </c>
      <c r="GN18">
        <v>364.64600000000002</v>
      </c>
      <c r="GO18">
        <v>677.30899999999997</v>
      </c>
      <c r="GP18">
        <v>25.83</v>
      </c>
      <c r="GQ18">
        <v>28.020299999999999</v>
      </c>
      <c r="GR18">
        <v>30.0002</v>
      </c>
      <c r="GS18">
        <v>27.954899999999999</v>
      </c>
      <c r="GT18">
        <v>27.9833</v>
      </c>
      <c r="GU18">
        <v>16.0442</v>
      </c>
      <c r="GV18">
        <v>32.7408</v>
      </c>
      <c r="GW18">
        <v>0</v>
      </c>
      <c r="GX18">
        <v>25.83</v>
      </c>
      <c r="GY18">
        <v>300</v>
      </c>
      <c r="GZ18">
        <v>19.5</v>
      </c>
      <c r="HA18">
        <v>100.36199999999999</v>
      </c>
      <c r="HB18">
        <v>69.233500000000006</v>
      </c>
    </row>
    <row r="19" spans="1:210" x14ac:dyDescent="0.3">
      <c r="A19">
        <v>3</v>
      </c>
      <c r="B19">
        <v>1752074898</v>
      </c>
      <c r="C19">
        <v>361.40000009536737</v>
      </c>
      <c r="D19" t="s">
        <v>344</v>
      </c>
      <c r="E19" t="s">
        <v>345</v>
      </c>
      <c r="F19">
        <v>15</v>
      </c>
      <c r="G19">
        <v>1752074890.25</v>
      </c>
      <c r="H19">
        <f t="shared" si="0"/>
        <v>2.5915259832578067E-3</v>
      </c>
      <c r="I19">
        <f t="shared" si="1"/>
        <v>2.5915259832578066</v>
      </c>
      <c r="J19">
        <f t="shared" si="2"/>
        <v>8.0431674879712638</v>
      </c>
      <c r="K19">
        <f t="shared" si="3"/>
        <v>180.71079631959032</v>
      </c>
      <c r="L19">
        <f t="shared" si="4"/>
        <v>136.4620710410972</v>
      </c>
      <c r="M19">
        <f t="shared" si="5"/>
        <v>13.94387550687682</v>
      </c>
      <c r="N19">
        <f t="shared" si="6"/>
        <v>18.465268974776663</v>
      </c>
      <c r="O19">
        <f t="shared" si="7"/>
        <v>0.32476109777273915</v>
      </c>
      <c r="P19">
        <f t="shared" si="8"/>
        <v>2.4271906072477298</v>
      </c>
      <c r="Q19">
        <f t="shared" si="9"/>
        <v>0.30272582171721862</v>
      </c>
      <c r="R19">
        <f t="shared" si="10"/>
        <v>0.19105970394033384</v>
      </c>
      <c r="S19">
        <f t="shared" si="11"/>
        <v>182.69275200000004</v>
      </c>
      <c r="T19">
        <f t="shared" si="12"/>
        <v>27.411387479690116</v>
      </c>
      <c r="U19">
        <f t="shared" si="13"/>
        <v>26.229859999999999</v>
      </c>
      <c r="V19">
        <f t="shared" si="14"/>
        <v>3.420427182776566</v>
      </c>
      <c r="W19">
        <f t="shared" si="15"/>
        <v>72.132527768263529</v>
      </c>
      <c r="X19">
        <f t="shared" si="16"/>
        <v>2.5713365541240152</v>
      </c>
      <c r="Y19">
        <f t="shared" si="17"/>
        <v>3.5647392843140282</v>
      </c>
      <c r="Z19">
        <f t="shared" si="18"/>
        <v>0.84909062865255081</v>
      </c>
      <c r="AA19">
        <f t="shared" si="19"/>
        <v>-114.28629586166927</v>
      </c>
      <c r="AB19">
        <f t="shared" si="20"/>
        <v>91.784103686583521</v>
      </c>
      <c r="AC19">
        <f t="shared" si="21"/>
        <v>8.126739141307878</v>
      </c>
      <c r="AD19">
        <f t="shared" si="22"/>
        <v>168.31729896622215</v>
      </c>
      <c r="AE19">
        <f t="shared" si="23"/>
        <v>8.0431674879712638</v>
      </c>
      <c r="AF19">
        <f t="shared" si="24"/>
        <v>2.5915259832578066</v>
      </c>
      <c r="AG19">
        <f t="shared" si="25"/>
        <v>8.0460542091743115</v>
      </c>
      <c r="AH19">
        <v>203.95133653015401</v>
      </c>
      <c r="AI19">
        <v>185.4884181818183</v>
      </c>
      <c r="AJ19">
        <v>-5.2804212415303992E-5</v>
      </c>
      <c r="AK19">
        <v>84.077294511207981</v>
      </c>
      <c r="AL19">
        <f t="shared" si="26"/>
        <v>2.5941080400888952</v>
      </c>
      <c r="AM19">
        <v>19.47746489895405</v>
      </c>
      <c r="AN19">
        <v>25.167297593984941</v>
      </c>
      <c r="AO19">
        <v>4.2698711972612351E-6</v>
      </c>
      <c r="AP19">
        <v>90.497705113126258</v>
      </c>
      <c r="AQ19">
        <v>1</v>
      </c>
      <c r="AR19">
        <v>0</v>
      </c>
      <c r="AS19">
        <f t="shared" si="27"/>
        <v>1.000027796002511</v>
      </c>
      <c r="AT19">
        <f t="shared" si="28"/>
        <v>2.7796002511015772E-3</v>
      </c>
      <c r="AU19">
        <f t="shared" si="29"/>
        <v>53966.094347713617</v>
      </c>
      <c r="AV19">
        <f t="shared" si="30"/>
        <v>961.54080000000022</v>
      </c>
      <c r="AW19">
        <f t="shared" si="31"/>
        <v>769.23264000000017</v>
      </c>
      <c r="AX19">
        <f t="shared" si="32"/>
        <v>0.8</v>
      </c>
      <c r="AY19">
        <f t="shared" si="33"/>
        <v>0.19</v>
      </c>
      <c r="AZ19">
        <v>9</v>
      </c>
      <c r="BA19">
        <v>1.88</v>
      </c>
      <c r="BB19" t="s">
        <v>336</v>
      </c>
      <c r="BC19">
        <v>2</v>
      </c>
      <c r="BD19" t="b">
        <v>0</v>
      </c>
      <c r="BE19">
        <v>1752074890.25</v>
      </c>
      <c r="BF19">
        <v>180.8449333333333</v>
      </c>
      <c r="BG19">
        <v>199.99613333333329</v>
      </c>
      <c r="BH19">
        <v>25.16444666666667</v>
      </c>
      <c r="BI19">
        <v>19.480383333333329</v>
      </c>
      <c r="BJ19">
        <v>181.84926666666669</v>
      </c>
      <c r="BK19">
        <v>24.905470000000001</v>
      </c>
      <c r="BL19">
        <v>399.99829999999997</v>
      </c>
      <c r="BM19">
        <v>102.0813333333333</v>
      </c>
      <c r="BN19">
        <v>9.9993686666666637E-2</v>
      </c>
      <c r="BO19">
        <v>26.931280000000001</v>
      </c>
      <c r="BP19">
        <v>26.229859999999999</v>
      </c>
      <c r="BQ19">
        <v>999.9000000000002</v>
      </c>
      <c r="BR19">
        <v>0</v>
      </c>
      <c r="BS19">
        <v>0</v>
      </c>
      <c r="BT19">
        <v>9995.3666666666668</v>
      </c>
      <c r="BU19">
        <v>961.54080000000022</v>
      </c>
      <c r="BV19">
        <v>16.363</v>
      </c>
      <c r="BW19">
        <v>-19.151263333333329</v>
      </c>
      <c r="BX19">
        <v>185.51320000000001</v>
      </c>
      <c r="BY19">
        <v>203.96956666666671</v>
      </c>
      <c r="BZ19">
        <v>5.6840680000000008</v>
      </c>
      <c r="CA19">
        <v>199.99613333333329</v>
      </c>
      <c r="CB19">
        <v>19.480383333333329</v>
      </c>
      <c r="CC19">
        <v>2.568818666666667</v>
      </c>
      <c r="CD19">
        <v>1.988583</v>
      </c>
      <c r="CE19">
        <v>21.469223333333339</v>
      </c>
      <c r="CF19">
        <v>17.353713333333339</v>
      </c>
      <c r="CG19">
        <v>1752074301.5999999</v>
      </c>
      <c r="CH19" t="s">
        <v>337</v>
      </c>
      <c r="CI19">
        <v>1752074299.5999999</v>
      </c>
      <c r="CJ19">
        <v>1752074301.5999999</v>
      </c>
      <c r="CK19">
        <v>4</v>
      </c>
      <c r="CL19">
        <v>-0.28000000000000003</v>
      </c>
      <c r="CM19">
        <v>5.8999999999999997E-2</v>
      </c>
      <c r="CN19">
        <v>1.294</v>
      </c>
      <c r="CO19">
        <v>0.25900000000000001</v>
      </c>
      <c r="CP19">
        <v>450</v>
      </c>
      <c r="CQ19">
        <v>19</v>
      </c>
      <c r="CR19">
        <v>0.03</v>
      </c>
      <c r="CS19">
        <v>0.02</v>
      </c>
      <c r="CT19">
        <v>-19.15221</v>
      </c>
      <c r="CU19">
        <v>2.4954596622920149E-2</v>
      </c>
      <c r="CV19">
        <v>1.5454429785663269E-2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5.6812922500000003</v>
      </c>
      <c r="DC19">
        <v>5.1626904315193407E-2</v>
      </c>
      <c r="DD19">
        <v>5.2862299834097503E-3</v>
      </c>
      <c r="DE19">
        <v>1</v>
      </c>
      <c r="DF19">
        <v>2</v>
      </c>
      <c r="DG19">
        <v>2</v>
      </c>
      <c r="DH19" t="s">
        <v>338</v>
      </c>
      <c r="DI19">
        <v>3.0243699999999998</v>
      </c>
      <c r="DJ19">
        <v>2.69137</v>
      </c>
      <c r="DK19">
        <v>4.8718699999999997E-2</v>
      </c>
      <c r="DL19">
        <v>5.32773E-2</v>
      </c>
      <c r="DM19">
        <v>0.12438200000000001</v>
      </c>
      <c r="DN19">
        <v>0.105048</v>
      </c>
      <c r="DO19">
        <v>26473.8</v>
      </c>
      <c r="DP19">
        <v>17431.599999999999</v>
      </c>
      <c r="DQ19">
        <v>26407.5</v>
      </c>
      <c r="DR19">
        <v>16735.599999999999</v>
      </c>
      <c r="DS19">
        <v>32891.300000000003</v>
      </c>
      <c r="DT19">
        <v>19565.400000000001</v>
      </c>
      <c r="DU19">
        <v>38477.300000000003</v>
      </c>
      <c r="DV19">
        <v>22180.1</v>
      </c>
      <c r="DW19">
        <v>1.79288</v>
      </c>
      <c r="DX19">
        <v>2.1901999999999999</v>
      </c>
      <c r="DY19">
        <v>7.3894899999999999E-2</v>
      </c>
      <c r="DZ19">
        <v>0</v>
      </c>
      <c r="EA19">
        <v>25.019300000000001</v>
      </c>
      <c r="EB19">
        <v>999.9</v>
      </c>
      <c r="EC19">
        <v>55.2</v>
      </c>
      <c r="ED19">
        <v>32.4</v>
      </c>
      <c r="EE19">
        <v>26.413599999999999</v>
      </c>
      <c r="EF19">
        <v>62.691499999999998</v>
      </c>
      <c r="EG19">
        <v>34.555300000000003</v>
      </c>
      <c r="EH19">
        <v>1</v>
      </c>
      <c r="EI19">
        <v>7.2731699999999996E-2</v>
      </c>
      <c r="EJ19">
        <v>0.114248</v>
      </c>
      <c r="EK19">
        <v>20.3431</v>
      </c>
      <c r="EL19">
        <v>5.2519099999999996</v>
      </c>
      <c r="EM19">
        <v>11.962</v>
      </c>
      <c r="EN19">
        <v>4.9897200000000002</v>
      </c>
      <c r="EO19">
        <v>3.2915399999999999</v>
      </c>
      <c r="EP19">
        <v>9999</v>
      </c>
      <c r="EQ19">
        <v>9999</v>
      </c>
      <c r="ER19">
        <v>9999</v>
      </c>
      <c r="ES19">
        <v>999.9</v>
      </c>
      <c r="ET19">
        <v>4.9726699999999999</v>
      </c>
      <c r="EU19">
        <v>1.87182</v>
      </c>
      <c r="EV19">
        <v>1.8721099999999999</v>
      </c>
      <c r="EW19">
        <v>1.87714</v>
      </c>
      <c r="EX19">
        <v>1.8713299999999999</v>
      </c>
      <c r="EY19">
        <v>1.87202</v>
      </c>
      <c r="EZ19">
        <v>1.87171</v>
      </c>
      <c r="FA19">
        <v>1.8686400000000001</v>
      </c>
      <c r="FB19">
        <v>0</v>
      </c>
      <c r="FC19">
        <v>0</v>
      </c>
      <c r="FD19">
        <v>0</v>
      </c>
      <c r="FE19">
        <v>0</v>
      </c>
      <c r="FF19" t="s">
        <v>339</v>
      </c>
      <c r="FG19" t="s">
        <v>340</v>
      </c>
      <c r="FH19" t="s">
        <v>341</v>
      </c>
      <c r="FI19" t="s">
        <v>341</v>
      </c>
      <c r="FJ19" t="s">
        <v>341</v>
      </c>
      <c r="FK19" t="s">
        <v>341</v>
      </c>
      <c r="FL19">
        <v>0</v>
      </c>
      <c r="FM19">
        <v>100</v>
      </c>
      <c r="FN19">
        <v>100</v>
      </c>
      <c r="FO19">
        <v>-1.004</v>
      </c>
      <c r="FP19">
        <v>0.25900000000000001</v>
      </c>
      <c r="FQ19">
        <v>-2.452151080185113</v>
      </c>
      <c r="FR19">
        <v>7.6898218637449396E-3</v>
      </c>
      <c r="FS19">
        <v>1.5097418776848419E-6</v>
      </c>
      <c r="FT19">
        <v>-9.8458676114205118E-11</v>
      </c>
      <c r="FU19">
        <v>0.25897999999999749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10</v>
      </c>
      <c r="GD19">
        <v>9.9</v>
      </c>
      <c r="GE19">
        <v>0.58960000000000001</v>
      </c>
      <c r="GF19">
        <v>2.64893</v>
      </c>
      <c r="GG19">
        <v>1.7981</v>
      </c>
      <c r="GH19">
        <v>2.3742700000000001</v>
      </c>
      <c r="GI19">
        <v>1.5979000000000001</v>
      </c>
      <c r="GJ19">
        <v>2.49878</v>
      </c>
      <c r="GK19">
        <v>35.3596</v>
      </c>
      <c r="GL19">
        <v>24.1663</v>
      </c>
      <c r="GM19">
        <v>18</v>
      </c>
      <c r="GN19">
        <v>364.75799999999998</v>
      </c>
      <c r="GO19">
        <v>677.33600000000001</v>
      </c>
      <c r="GP19">
        <v>25.830100000000002</v>
      </c>
      <c r="GQ19">
        <v>28.034500000000001</v>
      </c>
      <c r="GR19">
        <v>30.0001</v>
      </c>
      <c r="GS19">
        <v>27.969100000000001</v>
      </c>
      <c r="GT19">
        <v>27.997900000000001</v>
      </c>
      <c r="GU19">
        <v>11.7628</v>
      </c>
      <c r="GV19">
        <v>32.457700000000003</v>
      </c>
      <c r="GW19">
        <v>0</v>
      </c>
      <c r="GX19">
        <v>25.83</v>
      </c>
      <c r="GY19">
        <v>200</v>
      </c>
      <c r="GZ19">
        <v>19.5</v>
      </c>
      <c r="HA19">
        <v>100.358</v>
      </c>
      <c r="HB19">
        <v>69.228700000000003</v>
      </c>
    </row>
    <row r="20" spans="1:210" x14ac:dyDescent="0.3">
      <c r="A20">
        <v>4</v>
      </c>
      <c r="B20">
        <v>1752075078.5</v>
      </c>
      <c r="C20">
        <v>541.90000009536743</v>
      </c>
      <c r="D20" t="s">
        <v>346</v>
      </c>
      <c r="E20" t="s">
        <v>347</v>
      </c>
      <c r="F20">
        <v>15</v>
      </c>
      <c r="G20">
        <v>1752075070.75</v>
      </c>
      <c r="H20">
        <f t="shared" si="0"/>
        <v>2.6562202950566891E-3</v>
      </c>
      <c r="I20">
        <f t="shared" si="1"/>
        <v>2.6562202950566891</v>
      </c>
      <c r="J20">
        <f t="shared" si="2"/>
        <v>4.0465084750773954</v>
      </c>
      <c r="K20">
        <f t="shared" si="3"/>
        <v>115.1355982249987</v>
      </c>
      <c r="L20">
        <f t="shared" si="4"/>
        <v>93.280699749858769</v>
      </c>
      <c r="M20">
        <f t="shared" si="5"/>
        <v>9.5315988284312674</v>
      </c>
      <c r="N20">
        <f t="shared" si="6"/>
        <v>11.764773807389799</v>
      </c>
      <c r="O20">
        <f t="shared" si="7"/>
        <v>0.33698627562245992</v>
      </c>
      <c r="P20">
        <f t="shared" si="8"/>
        <v>2.4276342746445114</v>
      </c>
      <c r="Q20">
        <f t="shared" si="9"/>
        <v>0.31332906958927864</v>
      </c>
      <c r="R20">
        <f t="shared" si="10"/>
        <v>0.19781873067247982</v>
      </c>
      <c r="S20">
        <f t="shared" si="11"/>
        <v>182.66399233333334</v>
      </c>
      <c r="T20">
        <f t="shared" si="12"/>
        <v>27.403946500328111</v>
      </c>
      <c r="U20">
        <f t="shared" si="13"/>
        <v>26.248940000000001</v>
      </c>
      <c r="V20">
        <f t="shared" si="14"/>
        <v>3.4242841918667848</v>
      </c>
      <c r="W20">
        <f t="shared" si="15"/>
        <v>72.419285258257048</v>
      </c>
      <c r="X20">
        <f t="shared" si="16"/>
        <v>2.5835112174001629</v>
      </c>
      <c r="Y20">
        <f t="shared" si="17"/>
        <v>3.5674353981636377</v>
      </c>
      <c r="Z20">
        <f t="shared" si="18"/>
        <v>0.84077297446662191</v>
      </c>
      <c r="AA20">
        <f t="shared" si="19"/>
        <v>-117.13931501199998</v>
      </c>
      <c r="AB20">
        <f t="shared" si="20"/>
        <v>90.987688463100113</v>
      </c>
      <c r="AC20">
        <f t="shared" si="21"/>
        <v>8.0560389767702052</v>
      </c>
      <c r="AD20">
        <f t="shared" si="22"/>
        <v>164.56840476120368</v>
      </c>
      <c r="AE20">
        <f t="shared" si="23"/>
        <v>4.0465084750773954</v>
      </c>
      <c r="AF20">
        <f t="shared" si="24"/>
        <v>2.6562202950566891</v>
      </c>
      <c r="AG20">
        <f t="shared" si="25"/>
        <v>4.0538714725998313</v>
      </c>
      <c r="AH20">
        <v>127.4705210670672</v>
      </c>
      <c r="AI20">
        <v>118.1685636363636</v>
      </c>
      <c r="AJ20">
        <v>-4.1990281246836283E-6</v>
      </c>
      <c r="AK20">
        <v>84.077294511207981</v>
      </c>
      <c r="AL20">
        <f t="shared" si="26"/>
        <v>2.6581204442422166</v>
      </c>
      <c r="AM20">
        <v>19.458211338034509</v>
      </c>
      <c r="AN20">
        <v>25.287571428571422</v>
      </c>
      <c r="AO20">
        <v>3.4386246774842098E-6</v>
      </c>
      <c r="AP20">
        <v>90.497705113126258</v>
      </c>
      <c r="AQ20">
        <v>1</v>
      </c>
      <c r="AR20">
        <v>0</v>
      </c>
      <c r="AS20">
        <f t="shared" si="27"/>
        <v>1.0000277895198619</v>
      </c>
      <c r="AT20">
        <f t="shared" si="28"/>
        <v>2.7789519861931566E-3</v>
      </c>
      <c r="AU20">
        <f t="shared" si="29"/>
        <v>53978.683033623289</v>
      </c>
      <c r="AV20">
        <f t="shared" si="30"/>
        <v>961.38943333333339</v>
      </c>
      <c r="AW20">
        <f t="shared" si="31"/>
        <v>769.11154666666675</v>
      </c>
      <c r="AX20">
        <f t="shared" si="32"/>
        <v>0.8</v>
      </c>
      <c r="AY20">
        <f t="shared" si="33"/>
        <v>0.19</v>
      </c>
      <c r="AZ20">
        <v>9</v>
      </c>
      <c r="BA20">
        <v>1.88</v>
      </c>
      <c r="BB20" t="s">
        <v>336</v>
      </c>
      <c r="BC20">
        <v>2</v>
      </c>
      <c r="BD20" t="b">
        <v>0</v>
      </c>
      <c r="BE20">
        <v>1752075070.75</v>
      </c>
      <c r="BF20">
        <v>115.2030666666667</v>
      </c>
      <c r="BG20">
        <v>124.99573333333331</v>
      </c>
      <c r="BH20">
        <v>25.283453333333341</v>
      </c>
      <c r="BI20">
        <v>19.458369999999999</v>
      </c>
      <c r="BJ20">
        <v>116.73699999999999</v>
      </c>
      <c r="BK20">
        <v>25.024466666666669</v>
      </c>
      <c r="BL20">
        <v>400.00959999999992</v>
      </c>
      <c r="BM20">
        <v>102.0819333333333</v>
      </c>
      <c r="BN20">
        <v>9.9963393333333331E-2</v>
      </c>
      <c r="BO20">
        <v>26.944146666666661</v>
      </c>
      <c r="BP20">
        <v>26.248940000000001</v>
      </c>
      <c r="BQ20">
        <v>999.9000000000002</v>
      </c>
      <c r="BR20">
        <v>0</v>
      </c>
      <c r="BS20">
        <v>0</v>
      </c>
      <c r="BT20">
        <v>9998.1833333333325</v>
      </c>
      <c r="BU20">
        <v>961.38943333333339</v>
      </c>
      <c r="BV20">
        <v>16.363</v>
      </c>
      <c r="BW20">
        <v>-9.7927470000000003</v>
      </c>
      <c r="BX20">
        <v>118.1913</v>
      </c>
      <c r="BY20">
        <v>127.4762333333333</v>
      </c>
      <c r="BZ20">
        <v>5.825070666666667</v>
      </c>
      <c r="CA20">
        <v>124.99573333333331</v>
      </c>
      <c r="CB20">
        <v>19.458369999999999</v>
      </c>
      <c r="CC20">
        <v>2.5809830000000011</v>
      </c>
      <c r="CD20">
        <v>1.9863483333333329</v>
      </c>
      <c r="CE20">
        <v>21.546399999999998</v>
      </c>
      <c r="CF20">
        <v>17.335943333333329</v>
      </c>
      <c r="CG20">
        <v>1752074301.5999999</v>
      </c>
      <c r="CH20" t="s">
        <v>337</v>
      </c>
      <c r="CI20">
        <v>1752074299.5999999</v>
      </c>
      <c r="CJ20">
        <v>1752074301.5999999</v>
      </c>
      <c r="CK20">
        <v>4</v>
      </c>
      <c r="CL20">
        <v>-0.28000000000000003</v>
      </c>
      <c r="CM20">
        <v>5.8999999999999997E-2</v>
      </c>
      <c r="CN20">
        <v>1.294</v>
      </c>
      <c r="CO20">
        <v>0.25900000000000001</v>
      </c>
      <c r="CP20">
        <v>450</v>
      </c>
      <c r="CQ20">
        <v>19</v>
      </c>
      <c r="CR20">
        <v>0.03</v>
      </c>
      <c r="CS20">
        <v>0.02</v>
      </c>
      <c r="CT20">
        <v>-9.7852082926829258</v>
      </c>
      <c r="CU20">
        <v>-0.12832202090592371</v>
      </c>
      <c r="CV20">
        <v>1.6551102520558511E-2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5.8224053658536583</v>
      </c>
      <c r="DC20">
        <v>4.638898954705109E-2</v>
      </c>
      <c r="DD20">
        <v>4.816060072533236E-3</v>
      </c>
      <c r="DE20">
        <v>1</v>
      </c>
      <c r="DF20">
        <v>2</v>
      </c>
      <c r="DG20">
        <v>2</v>
      </c>
      <c r="DH20" t="s">
        <v>338</v>
      </c>
      <c r="DI20">
        <v>3.0245199999999999</v>
      </c>
      <c r="DJ20">
        <v>2.6913</v>
      </c>
      <c r="DK20">
        <v>3.2279099999999998E-2</v>
      </c>
      <c r="DL20">
        <v>3.4589200000000001E-2</v>
      </c>
      <c r="DM20">
        <v>0.12479899999999999</v>
      </c>
      <c r="DN20">
        <v>0.104951</v>
      </c>
      <c r="DO20">
        <v>26929.200000000001</v>
      </c>
      <c r="DP20">
        <v>17774.8</v>
      </c>
      <c r="DQ20">
        <v>26405.7</v>
      </c>
      <c r="DR20">
        <v>16734.8</v>
      </c>
      <c r="DS20">
        <v>32873.199999999997</v>
      </c>
      <c r="DT20">
        <v>19566.3</v>
      </c>
      <c r="DU20">
        <v>38475.199999999997</v>
      </c>
      <c r="DV20">
        <v>22178.9</v>
      </c>
      <c r="DW20">
        <v>1.7927</v>
      </c>
      <c r="DX20">
        <v>2.1895600000000002</v>
      </c>
      <c r="DY20">
        <v>7.3790599999999998E-2</v>
      </c>
      <c r="DZ20">
        <v>0</v>
      </c>
      <c r="EA20">
        <v>25.050899999999999</v>
      </c>
      <c r="EB20">
        <v>999.9</v>
      </c>
      <c r="EC20">
        <v>55.1</v>
      </c>
      <c r="ED20">
        <v>32.299999999999997</v>
      </c>
      <c r="EE20">
        <v>26.2194</v>
      </c>
      <c r="EF20">
        <v>62.931600000000003</v>
      </c>
      <c r="EG20">
        <v>34.539299999999997</v>
      </c>
      <c r="EH20">
        <v>1</v>
      </c>
      <c r="EI20">
        <v>7.4514200000000003E-2</v>
      </c>
      <c r="EJ20">
        <v>0.12945300000000001</v>
      </c>
      <c r="EK20">
        <v>20.3432</v>
      </c>
      <c r="EL20">
        <v>5.2523900000000001</v>
      </c>
      <c r="EM20">
        <v>11.962</v>
      </c>
      <c r="EN20">
        <v>4.9896399999999996</v>
      </c>
      <c r="EO20">
        <v>3.2917999999999998</v>
      </c>
      <c r="EP20">
        <v>9999</v>
      </c>
      <c r="EQ20">
        <v>9999</v>
      </c>
      <c r="ER20">
        <v>9999</v>
      </c>
      <c r="ES20">
        <v>999.9</v>
      </c>
      <c r="ET20">
        <v>4.9726800000000004</v>
      </c>
      <c r="EU20">
        <v>1.8718300000000001</v>
      </c>
      <c r="EV20">
        <v>1.8721099999999999</v>
      </c>
      <c r="EW20">
        <v>1.8771500000000001</v>
      </c>
      <c r="EX20">
        <v>1.87134</v>
      </c>
      <c r="EY20">
        <v>1.87209</v>
      </c>
      <c r="EZ20">
        <v>1.8717299999999999</v>
      </c>
      <c r="FA20">
        <v>1.86863</v>
      </c>
      <c r="FB20">
        <v>0</v>
      </c>
      <c r="FC20">
        <v>0</v>
      </c>
      <c r="FD20">
        <v>0</v>
      </c>
      <c r="FE20">
        <v>0</v>
      </c>
      <c r="FF20" t="s">
        <v>339</v>
      </c>
      <c r="FG20" t="s">
        <v>340</v>
      </c>
      <c r="FH20" t="s">
        <v>341</v>
      </c>
      <c r="FI20" t="s">
        <v>341</v>
      </c>
      <c r="FJ20" t="s">
        <v>341</v>
      </c>
      <c r="FK20" t="s">
        <v>341</v>
      </c>
      <c r="FL20">
        <v>0</v>
      </c>
      <c r="FM20">
        <v>100</v>
      </c>
      <c r="FN20">
        <v>100</v>
      </c>
      <c r="FO20">
        <v>-1.534</v>
      </c>
      <c r="FP20">
        <v>0.25890000000000002</v>
      </c>
      <c r="FQ20">
        <v>-2.452151080185113</v>
      </c>
      <c r="FR20">
        <v>7.6898218637449396E-3</v>
      </c>
      <c r="FS20">
        <v>1.5097418776848419E-6</v>
      </c>
      <c r="FT20">
        <v>-9.8458676114205118E-11</v>
      </c>
      <c r="FU20">
        <v>0.25897999999999749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13</v>
      </c>
      <c r="GD20">
        <v>12.9</v>
      </c>
      <c r="GE20">
        <v>0.42480499999999999</v>
      </c>
      <c r="GF20">
        <v>2.6721200000000001</v>
      </c>
      <c r="GG20">
        <v>1.7981</v>
      </c>
      <c r="GH20">
        <v>2.3742700000000001</v>
      </c>
      <c r="GI20">
        <v>1.5979000000000001</v>
      </c>
      <c r="GJ20">
        <v>2.4365199999999998</v>
      </c>
      <c r="GK20">
        <v>35.3596</v>
      </c>
      <c r="GL20">
        <v>24.157499999999999</v>
      </c>
      <c r="GM20">
        <v>18</v>
      </c>
      <c r="GN20">
        <v>364.80900000000003</v>
      </c>
      <c r="GO20">
        <v>677.04399999999998</v>
      </c>
      <c r="GP20">
        <v>25.830200000000001</v>
      </c>
      <c r="GQ20">
        <v>28.057500000000001</v>
      </c>
      <c r="GR20">
        <v>30.0002</v>
      </c>
      <c r="GS20">
        <v>27.991199999999999</v>
      </c>
      <c r="GT20">
        <v>28.019400000000001</v>
      </c>
      <c r="GU20">
        <v>8.46096</v>
      </c>
      <c r="GV20">
        <v>32.457700000000003</v>
      </c>
      <c r="GW20">
        <v>0</v>
      </c>
      <c r="GX20">
        <v>25.83</v>
      </c>
      <c r="GY20">
        <v>125</v>
      </c>
      <c r="GZ20">
        <v>19.5</v>
      </c>
      <c r="HA20">
        <v>100.352</v>
      </c>
      <c r="HB20">
        <v>69.225300000000004</v>
      </c>
    </row>
    <row r="21" spans="1:210" x14ac:dyDescent="0.3">
      <c r="A21">
        <v>5</v>
      </c>
      <c r="B21">
        <v>1752075259</v>
      </c>
      <c r="C21">
        <v>722.40000009536743</v>
      </c>
      <c r="D21" t="s">
        <v>348</v>
      </c>
      <c r="E21" t="s">
        <v>349</v>
      </c>
      <c r="F21">
        <v>15</v>
      </c>
      <c r="G21">
        <v>1752075251.25</v>
      </c>
      <c r="H21">
        <f t="shared" si="0"/>
        <v>2.7005145565262238E-3</v>
      </c>
      <c r="I21">
        <f t="shared" si="1"/>
        <v>2.7005145565262239</v>
      </c>
      <c r="J21">
        <f t="shared" si="2"/>
        <v>1.2881957706235487</v>
      </c>
      <c r="K21">
        <f t="shared" si="3"/>
        <v>71.652757208767071</v>
      </c>
      <c r="L21">
        <f t="shared" si="4"/>
        <v>64.461623981987657</v>
      </c>
      <c r="M21">
        <f t="shared" si="5"/>
        <v>6.5868974258963586</v>
      </c>
      <c r="N21">
        <f t="shared" si="6"/>
        <v>7.3217106995114767</v>
      </c>
      <c r="O21">
        <f t="shared" si="7"/>
        <v>0.34947468157048528</v>
      </c>
      <c r="P21">
        <f t="shared" si="8"/>
        <v>2.4283352768319757</v>
      </c>
      <c r="Q21">
        <f t="shared" si="9"/>
        <v>0.32410849735823111</v>
      </c>
      <c r="R21">
        <f t="shared" si="10"/>
        <v>0.20469446999271895</v>
      </c>
      <c r="S21">
        <f t="shared" si="11"/>
        <v>182.62346533333337</v>
      </c>
      <c r="T21">
        <f t="shared" si="12"/>
        <v>27.395691216781664</v>
      </c>
      <c r="U21">
        <f t="shared" si="13"/>
        <v>26.25958</v>
      </c>
      <c r="V21">
        <f t="shared" si="14"/>
        <v>3.4264367098273234</v>
      </c>
      <c r="W21">
        <f t="shared" si="15"/>
        <v>72.860326681758295</v>
      </c>
      <c r="X21">
        <f t="shared" si="16"/>
        <v>2.6001396717511209</v>
      </c>
      <c r="Y21">
        <f t="shared" si="17"/>
        <v>3.5686632083165035</v>
      </c>
      <c r="Z21">
        <f t="shared" si="18"/>
        <v>0.82629703807620247</v>
      </c>
      <c r="AA21">
        <f t="shared" si="19"/>
        <v>-119.09269194280647</v>
      </c>
      <c r="AB21">
        <f t="shared" si="20"/>
        <v>90.387745177594823</v>
      </c>
      <c r="AC21">
        <f t="shared" si="21"/>
        <v>8.0012704948964544</v>
      </c>
      <c r="AD21">
        <f t="shared" si="22"/>
        <v>161.91978906301819</v>
      </c>
      <c r="AE21">
        <f t="shared" si="23"/>
        <v>1.2881957706235487</v>
      </c>
      <c r="AF21">
        <f t="shared" si="24"/>
        <v>2.7005145565262239</v>
      </c>
      <c r="AG21">
        <f t="shared" si="25"/>
        <v>1.300993530165546</v>
      </c>
      <c r="AH21">
        <v>76.542969970458813</v>
      </c>
      <c r="AI21">
        <v>73.558458787878763</v>
      </c>
      <c r="AJ21">
        <v>-5.8647973724695197E-5</v>
      </c>
      <c r="AK21">
        <v>84.077294511207981</v>
      </c>
      <c r="AL21">
        <f t="shared" si="26"/>
        <v>2.7022341663696081</v>
      </c>
      <c r="AM21">
        <v>19.526728374403969</v>
      </c>
      <c r="AN21">
        <v>25.450995488721791</v>
      </c>
      <c r="AO21">
        <v>-3.1737650654042712E-7</v>
      </c>
      <c r="AP21">
        <v>90.497705113126258</v>
      </c>
      <c r="AQ21">
        <v>1</v>
      </c>
      <c r="AR21">
        <v>0</v>
      </c>
      <c r="AS21">
        <f t="shared" si="27"/>
        <v>1.0000277779392006</v>
      </c>
      <c r="AT21">
        <f t="shared" si="28"/>
        <v>2.7777939200612778E-3</v>
      </c>
      <c r="AU21">
        <f t="shared" si="29"/>
        <v>54001.186195896749</v>
      </c>
      <c r="AV21">
        <f t="shared" si="30"/>
        <v>961.1761333333335</v>
      </c>
      <c r="AW21">
        <f t="shared" si="31"/>
        <v>768.94090666666682</v>
      </c>
      <c r="AX21">
        <f t="shared" si="32"/>
        <v>0.8</v>
      </c>
      <c r="AY21">
        <f t="shared" si="33"/>
        <v>0.19</v>
      </c>
      <c r="AZ21">
        <v>9</v>
      </c>
      <c r="BA21">
        <v>1.88</v>
      </c>
      <c r="BB21" t="s">
        <v>336</v>
      </c>
      <c r="BC21">
        <v>2</v>
      </c>
      <c r="BD21" t="b">
        <v>0</v>
      </c>
      <c r="BE21">
        <v>1752075251.25</v>
      </c>
      <c r="BF21">
        <v>71.674226666666669</v>
      </c>
      <c r="BG21">
        <v>75.007516666666646</v>
      </c>
      <c r="BH21">
        <v>25.445853333333329</v>
      </c>
      <c r="BI21">
        <v>19.525496666666669</v>
      </c>
      <c r="BJ21">
        <v>73.552640000000011</v>
      </c>
      <c r="BK21">
        <v>25.186869999999999</v>
      </c>
      <c r="BL21">
        <v>400.06886666666662</v>
      </c>
      <c r="BM21">
        <v>102.0832333333333</v>
      </c>
      <c r="BN21">
        <v>0.1000040566666667</v>
      </c>
      <c r="BO21">
        <v>26.950003333333331</v>
      </c>
      <c r="BP21">
        <v>26.25958</v>
      </c>
      <c r="BQ21">
        <v>999.9000000000002</v>
      </c>
      <c r="BR21">
        <v>0</v>
      </c>
      <c r="BS21">
        <v>0</v>
      </c>
      <c r="BT21">
        <v>10002.6</v>
      </c>
      <c r="BU21">
        <v>961.1761333333335</v>
      </c>
      <c r="BV21">
        <v>16.363</v>
      </c>
      <c r="BW21">
        <v>-3.333295666666666</v>
      </c>
      <c r="BX21">
        <v>73.545653333333334</v>
      </c>
      <c r="BY21">
        <v>76.501233333333332</v>
      </c>
      <c r="BZ21">
        <v>5.9203573333333317</v>
      </c>
      <c r="CA21">
        <v>75.007516666666646</v>
      </c>
      <c r="CB21">
        <v>19.525496666666669</v>
      </c>
      <c r="CC21">
        <v>2.5975933333333341</v>
      </c>
      <c r="CD21">
        <v>1.993225666666667</v>
      </c>
      <c r="CE21">
        <v>21.65127</v>
      </c>
      <c r="CF21">
        <v>17.39061666666667</v>
      </c>
      <c r="CG21">
        <v>1752074301.5999999</v>
      </c>
      <c r="CH21" t="s">
        <v>337</v>
      </c>
      <c r="CI21">
        <v>1752074299.5999999</v>
      </c>
      <c r="CJ21">
        <v>1752074301.5999999</v>
      </c>
      <c r="CK21">
        <v>4</v>
      </c>
      <c r="CL21">
        <v>-0.28000000000000003</v>
      </c>
      <c r="CM21">
        <v>5.8999999999999997E-2</v>
      </c>
      <c r="CN21">
        <v>1.294</v>
      </c>
      <c r="CO21">
        <v>0.25900000000000001</v>
      </c>
      <c r="CP21">
        <v>450</v>
      </c>
      <c r="CQ21">
        <v>19</v>
      </c>
      <c r="CR21">
        <v>0.03</v>
      </c>
      <c r="CS21">
        <v>0.02</v>
      </c>
      <c r="CT21">
        <v>-3.3332907500000011</v>
      </c>
      <c r="CU21">
        <v>-3.397485928702391E-3</v>
      </c>
      <c r="CV21">
        <v>1.124014843930005E-2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5.9169727500000002</v>
      </c>
      <c r="DC21">
        <v>6.0376097560968227E-2</v>
      </c>
      <c r="DD21">
        <v>6.5687411227342294E-3</v>
      </c>
      <c r="DE21">
        <v>1</v>
      </c>
      <c r="DF21">
        <v>2</v>
      </c>
      <c r="DG21">
        <v>2</v>
      </c>
      <c r="DH21" t="s">
        <v>338</v>
      </c>
      <c r="DI21">
        <v>3.0243099999999998</v>
      </c>
      <c r="DJ21">
        <v>2.6912799999999999</v>
      </c>
      <c r="DK21">
        <v>2.0633599999999998E-2</v>
      </c>
      <c r="DL21">
        <v>2.11147E-2</v>
      </c>
      <c r="DM21">
        <v>0.12534899999999999</v>
      </c>
      <c r="DN21">
        <v>0.105199</v>
      </c>
      <c r="DO21">
        <v>27251.7</v>
      </c>
      <c r="DP21">
        <v>18022.3</v>
      </c>
      <c r="DQ21">
        <v>26404.400000000001</v>
      </c>
      <c r="DR21">
        <v>16734.400000000001</v>
      </c>
      <c r="DS21">
        <v>32850.300000000003</v>
      </c>
      <c r="DT21">
        <v>19560.3</v>
      </c>
      <c r="DU21">
        <v>38473.300000000003</v>
      </c>
      <c r="DV21">
        <v>22178.5</v>
      </c>
      <c r="DW21">
        <v>1.7921800000000001</v>
      </c>
      <c r="DX21">
        <v>2.1894</v>
      </c>
      <c r="DY21">
        <v>7.2628300000000007E-2</v>
      </c>
      <c r="DZ21">
        <v>0</v>
      </c>
      <c r="EA21">
        <v>25.073</v>
      </c>
      <c r="EB21">
        <v>999.9</v>
      </c>
      <c r="EC21">
        <v>55.1</v>
      </c>
      <c r="ED21">
        <v>32.4</v>
      </c>
      <c r="EE21">
        <v>26.362100000000002</v>
      </c>
      <c r="EF21">
        <v>62.771599999999999</v>
      </c>
      <c r="EG21">
        <v>34.579300000000003</v>
      </c>
      <c r="EH21">
        <v>1</v>
      </c>
      <c r="EI21">
        <v>7.6475600000000005E-2</v>
      </c>
      <c r="EJ21">
        <v>0.14017399999999999</v>
      </c>
      <c r="EK21">
        <v>20.343</v>
      </c>
      <c r="EL21">
        <v>5.2509499999999996</v>
      </c>
      <c r="EM21">
        <v>11.962</v>
      </c>
      <c r="EN21">
        <v>4.9897600000000004</v>
      </c>
      <c r="EO21">
        <v>3.29148</v>
      </c>
      <c r="EP21">
        <v>9999</v>
      </c>
      <c r="EQ21">
        <v>9999</v>
      </c>
      <c r="ER21">
        <v>9999</v>
      </c>
      <c r="ES21">
        <v>999.9</v>
      </c>
      <c r="ET21">
        <v>4.9726699999999999</v>
      </c>
      <c r="EU21">
        <v>1.8718399999999999</v>
      </c>
      <c r="EV21">
        <v>1.8721000000000001</v>
      </c>
      <c r="EW21">
        <v>1.87714</v>
      </c>
      <c r="EX21">
        <v>1.87134</v>
      </c>
      <c r="EY21">
        <v>1.87209</v>
      </c>
      <c r="EZ21">
        <v>1.8717200000000001</v>
      </c>
      <c r="FA21">
        <v>1.8686499999999999</v>
      </c>
      <c r="FB21">
        <v>0</v>
      </c>
      <c r="FC21">
        <v>0</v>
      </c>
      <c r="FD21">
        <v>0</v>
      </c>
      <c r="FE21">
        <v>0</v>
      </c>
      <c r="FF21" t="s">
        <v>339</v>
      </c>
      <c r="FG21" t="s">
        <v>340</v>
      </c>
      <c r="FH21" t="s">
        <v>341</v>
      </c>
      <c r="FI21" t="s">
        <v>341</v>
      </c>
      <c r="FJ21" t="s">
        <v>341</v>
      </c>
      <c r="FK21" t="s">
        <v>341</v>
      </c>
      <c r="FL21">
        <v>0</v>
      </c>
      <c r="FM21">
        <v>100</v>
      </c>
      <c r="FN21">
        <v>100</v>
      </c>
      <c r="FO21">
        <v>-1.8779999999999999</v>
      </c>
      <c r="FP21">
        <v>0.25890000000000002</v>
      </c>
      <c r="FQ21">
        <v>-2.452151080185113</v>
      </c>
      <c r="FR21">
        <v>7.6898218637449396E-3</v>
      </c>
      <c r="FS21">
        <v>1.5097418776848419E-6</v>
      </c>
      <c r="FT21">
        <v>-9.8458676114205118E-11</v>
      </c>
      <c r="FU21">
        <v>0.25897999999999749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16</v>
      </c>
      <c r="GD21">
        <v>16</v>
      </c>
      <c r="GE21">
        <v>0.31372100000000003</v>
      </c>
      <c r="GF21">
        <v>2.6940900000000001</v>
      </c>
      <c r="GG21">
        <v>1.79932</v>
      </c>
      <c r="GH21">
        <v>2.3730500000000001</v>
      </c>
      <c r="GI21">
        <v>1.5979000000000001</v>
      </c>
      <c r="GJ21">
        <v>2.4230999999999998</v>
      </c>
      <c r="GK21">
        <v>35.3596</v>
      </c>
      <c r="GL21">
        <v>24.157499999999999</v>
      </c>
      <c r="GM21">
        <v>18</v>
      </c>
      <c r="GN21">
        <v>364.70600000000002</v>
      </c>
      <c r="GO21">
        <v>677.23400000000004</v>
      </c>
      <c r="GP21">
        <v>25.83</v>
      </c>
      <c r="GQ21">
        <v>28.084800000000001</v>
      </c>
      <c r="GR21">
        <v>30.0002</v>
      </c>
      <c r="GS21">
        <v>28.016200000000001</v>
      </c>
      <c r="GT21">
        <v>28.0457</v>
      </c>
      <c r="GU21">
        <v>6.2344299999999997</v>
      </c>
      <c r="GV21">
        <v>32.183799999999998</v>
      </c>
      <c r="GW21">
        <v>0</v>
      </c>
      <c r="GX21">
        <v>25.83</v>
      </c>
      <c r="GY21">
        <v>75</v>
      </c>
      <c r="GZ21">
        <v>19.5</v>
      </c>
      <c r="HA21">
        <v>100.34699999999999</v>
      </c>
      <c r="HB21">
        <v>69.223799999999997</v>
      </c>
    </row>
    <row r="22" spans="1:210" x14ac:dyDescent="0.3">
      <c r="A22">
        <v>6</v>
      </c>
      <c r="B22">
        <v>1752075439.5</v>
      </c>
      <c r="C22">
        <v>902.90000009536743</v>
      </c>
      <c r="D22" t="s">
        <v>350</v>
      </c>
      <c r="E22" t="s">
        <v>351</v>
      </c>
      <c r="F22">
        <v>15</v>
      </c>
      <c r="G22">
        <v>1752075431.75</v>
      </c>
      <c r="H22">
        <f t="shared" si="0"/>
        <v>2.7417165024523583E-3</v>
      </c>
      <c r="I22">
        <f t="shared" si="1"/>
        <v>2.7417165024523582</v>
      </c>
      <c r="J22">
        <f t="shared" si="2"/>
        <v>21.099751359586403</v>
      </c>
      <c r="K22">
        <f t="shared" si="3"/>
        <v>399.72310028414768</v>
      </c>
      <c r="L22">
        <f t="shared" si="4"/>
        <v>295.19760055721798</v>
      </c>
      <c r="M22">
        <f t="shared" si="5"/>
        <v>30.164301610056608</v>
      </c>
      <c r="N22">
        <f t="shared" si="6"/>
        <v>40.845075077569483</v>
      </c>
      <c r="O22">
        <f t="shared" si="7"/>
        <v>0.36094730860492513</v>
      </c>
      <c r="P22">
        <f t="shared" si="8"/>
        <v>2.4274970037817423</v>
      </c>
      <c r="Q22">
        <f t="shared" si="9"/>
        <v>0.33394811637104793</v>
      </c>
      <c r="R22">
        <f t="shared" si="10"/>
        <v>0.21097616556623977</v>
      </c>
      <c r="S22">
        <f t="shared" si="11"/>
        <v>182.60748000000004</v>
      </c>
      <c r="T22">
        <f t="shared" si="12"/>
        <v>27.378671009304533</v>
      </c>
      <c r="U22">
        <f t="shared" si="13"/>
        <v>26.24403666666667</v>
      </c>
      <c r="V22">
        <f t="shared" si="14"/>
        <v>3.4232926239080252</v>
      </c>
      <c r="W22">
        <f t="shared" si="15"/>
        <v>73.130698881189588</v>
      </c>
      <c r="X22">
        <f t="shared" si="16"/>
        <v>2.6091290705309858</v>
      </c>
      <c r="Y22">
        <f t="shared" si="17"/>
        <v>3.5677617067079557</v>
      </c>
      <c r="Z22">
        <f t="shared" si="18"/>
        <v>0.8141635533770395</v>
      </c>
      <c r="AA22">
        <f t="shared" si="19"/>
        <v>-120.90969775814901</v>
      </c>
      <c r="AB22">
        <f t="shared" si="20"/>
        <v>91.827971624962601</v>
      </c>
      <c r="AC22">
        <f t="shared" si="21"/>
        <v>8.1307612742444615</v>
      </c>
      <c r="AD22">
        <f t="shared" si="22"/>
        <v>161.65651514105809</v>
      </c>
      <c r="AE22">
        <f t="shared" si="23"/>
        <v>21.099751359586403</v>
      </c>
      <c r="AF22">
        <f t="shared" si="24"/>
        <v>2.7417165024523582</v>
      </c>
      <c r="AG22">
        <f t="shared" si="25"/>
        <v>21.149123582695545</v>
      </c>
      <c r="AH22">
        <v>458.98393758375948</v>
      </c>
      <c r="AI22">
        <v>410.46136363636327</v>
      </c>
      <c r="AJ22">
        <v>-1.544427239403603E-3</v>
      </c>
      <c r="AK22">
        <v>84.077294511207981</v>
      </c>
      <c r="AL22">
        <f t="shared" si="26"/>
        <v>2.7439325088964934</v>
      </c>
      <c r="AM22">
        <v>19.520619972175119</v>
      </c>
      <c r="AN22">
        <v>25.53717203007518</v>
      </c>
      <c r="AO22">
        <v>-1.356967695052787E-6</v>
      </c>
      <c r="AP22">
        <v>90.497705113126258</v>
      </c>
      <c r="AQ22">
        <v>1</v>
      </c>
      <c r="AR22">
        <v>0</v>
      </c>
      <c r="AS22">
        <f t="shared" si="27"/>
        <v>1.0000277920200211</v>
      </c>
      <c r="AT22">
        <f t="shared" si="28"/>
        <v>2.7792020021122354E-3</v>
      </c>
      <c r="AU22">
        <f t="shared" si="29"/>
        <v>53973.827267168788</v>
      </c>
      <c r="AV22">
        <f t="shared" si="30"/>
        <v>961.09200000000021</v>
      </c>
      <c r="AW22">
        <f t="shared" si="31"/>
        <v>768.87360000000024</v>
      </c>
      <c r="AX22">
        <f t="shared" si="32"/>
        <v>0.8</v>
      </c>
      <c r="AY22">
        <f t="shared" si="33"/>
        <v>0.19</v>
      </c>
      <c r="AZ22">
        <v>9</v>
      </c>
      <c r="BA22">
        <v>1.88</v>
      </c>
      <c r="BB22" t="s">
        <v>336</v>
      </c>
      <c r="BC22">
        <v>2</v>
      </c>
      <c r="BD22" t="b">
        <v>0</v>
      </c>
      <c r="BE22">
        <v>1752075431.75</v>
      </c>
      <c r="BF22">
        <v>400.07493333333332</v>
      </c>
      <c r="BG22">
        <v>450.01899999999989</v>
      </c>
      <c r="BH22">
        <v>25.53378</v>
      </c>
      <c r="BI22">
        <v>19.52225</v>
      </c>
      <c r="BJ22">
        <v>399.22276666666659</v>
      </c>
      <c r="BK22">
        <v>25.274799999999999</v>
      </c>
      <c r="BL22">
        <v>399.97646666666668</v>
      </c>
      <c r="BM22">
        <v>102.0834</v>
      </c>
      <c r="BN22">
        <v>0.1000240966666667</v>
      </c>
      <c r="BO22">
        <v>26.945703333333331</v>
      </c>
      <c r="BP22">
        <v>26.24403666666667</v>
      </c>
      <c r="BQ22">
        <v>999.9000000000002</v>
      </c>
      <c r="BR22">
        <v>0</v>
      </c>
      <c r="BS22">
        <v>0</v>
      </c>
      <c r="BT22">
        <v>9997.15</v>
      </c>
      <c r="BU22">
        <v>961.09200000000021</v>
      </c>
      <c r="BV22">
        <v>16.363</v>
      </c>
      <c r="BW22">
        <v>-49.944173333333332</v>
      </c>
      <c r="BX22">
        <v>410.55790000000002</v>
      </c>
      <c r="BY22">
        <v>458.97940000000011</v>
      </c>
      <c r="BZ22">
        <v>6.0115186666666656</v>
      </c>
      <c r="CA22">
        <v>450.01899999999989</v>
      </c>
      <c r="CB22">
        <v>19.52225</v>
      </c>
      <c r="CC22">
        <v>2.6065746666666669</v>
      </c>
      <c r="CD22">
        <v>1.9928993333333329</v>
      </c>
      <c r="CE22">
        <v>21.70772333333333</v>
      </c>
      <c r="CF22">
        <v>17.388026666666669</v>
      </c>
      <c r="CG22">
        <v>1752074301.5999999</v>
      </c>
      <c r="CH22" t="s">
        <v>337</v>
      </c>
      <c r="CI22">
        <v>1752074299.5999999</v>
      </c>
      <c r="CJ22">
        <v>1752074301.5999999</v>
      </c>
      <c r="CK22">
        <v>4</v>
      </c>
      <c r="CL22">
        <v>-0.28000000000000003</v>
      </c>
      <c r="CM22">
        <v>5.8999999999999997E-2</v>
      </c>
      <c r="CN22">
        <v>1.294</v>
      </c>
      <c r="CO22">
        <v>0.25900000000000001</v>
      </c>
      <c r="CP22">
        <v>450</v>
      </c>
      <c r="CQ22">
        <v>19</v>
      </c>
      <c r="CR22">
        <v>0.03</v>
      </c>
      <c r="CS22">
        <v>0.02</v>
      </c>
      <c r="CT22">
        <v>-49.933482926829271</v>
      </c>
      <c r="CU22">
        <v>-0.39483554006971538</v>
      </c>
      <c r="CV22">
        <v>5.3627399724298572E-2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6.0103941463414632</v>
      </c>
      <c r="DC22">
        <v>2.609811846690277E-2</v>
      </c>
      <c r="DD22">
        <v>3.183881643536298E-3</v>
      </c>
      <c r="DE22">
        <v>1</v>
      </c>
      <c r="DF22">
        <v>2</v>
      </c>
      <c r="DG22">
        <v>2</v>
      </c>
      <c r="DH22" t="s">
        <v>338</v>
      </c>
      <c r="DI22">
        <v>3.0245099999999998</v>
      </c>
      <c r="DJ22">
        <v>2.6914099999999999</v>
      </c>
      <c r="DK22">
        <v>9.3761700000000003E-2</v>
      </c>
      <c r="DL22">
        <v>0.103135</v>
      </c>
      <c r="DM22">
        <v>0.12565299999999999</v>
      </c>
      <c r="DN22">
        <v>0.10519299999999999</v>
      </c>
      <c r="DO22">
        <v>25216.3</v>
      </c>
      <c r="DP22">
        <v>16511.3</v>
      </c>
      <c r="DQ22">
        <v>26403.599999999999</v>
      </c>
      <c r="DR22">
        <v>16733.400000000001</v>
      </c>
      <c r="DS22">
        <v>32839.5</v>
      </c>
      <c r="DT22">
        <v>19560.400000000001</v>
      </c>
      <c r="DU22">
        <v>38471.9</v>
      </c>
      <c r="DV22">
        <v>22177</v>
      </c>
      <c r="DW22">
        <v>1.79254</v>
      </c>
      <c r="DX22">
        <v>2.1896399999999998</v>
      </c>
      <c r="DY22">
        <v>7.0959300000000003E-2</v>
      </c>
      <c r="DZ22">
        <v>0</v>
      </c>
      <c r="EA22">
        <v>25.084700000000002</v>
      </c>
      <c r="EB22">
        <v>999.9</v>
      </c>
      <c r="EC22">
        <v>55.1</v>
      </c>
      <c r="ED22">
        <v>32.299999999999997</v>
      </c>
      <c r="EE22">
        <v>26.214500000000001</v>
      </c>
      <c r="EF22">
        <v>62.801699999999997</v>
      </c>
      <c r="EG22">
        <v>34.242800000000003</v>
      </c>
      <c r="EH22">
        <v>1</v>
      </c>
      <c r="EI22">
        <v>7.84329E-2</v>
      </c>
      <c r="EJ22">
        <v>0.14972299999999999</v>
      </c>
      <c r="EK22">
        <v>20.342700000000001</v>
      </c>
      <c r="EL22">
        <v>5.2477200000000002</v>
      </c>
      <c r="EM22">
        <v>11.962</v>
      </c>
      <c r="EN22">
        <v>4.9896399999999996</v>
      </c>
      <c r="EO22">
        <v>3.2917200000000002</v>
      </c>
      <c r="EP22">
        <v>9999</v>
      </c>
      <c r="EQ22">
        <v>9999</v>
      </c>
      <c r="ER22">
        <v>9999</v>
      </c>
      <c r="ES22">
        <v>999.9</v>
      </c>
      <c r="ET22">
        <v>4.9726699999999999</v>
      </c>
      <c r="EU22">
        <v>1.8718399999999999</v>
      </c>
      <c r="EV22">
        <v>1.8721000000000001</v>
      </c>
      <c r="EW22">
        <v>1.87714</v>
      </c>
      <c r="EX22">
        <v>1.87134</v>
      </c>
      <c r="EY22">
        <v>1.8721000000000001</v>
      </c>
      <c r="EZ22">
        <v>1.8716999999999999</v>
      </c>
      <c r="FA22">
        <v>1.8686400000000001</v>
      </c>
      <c r="FB22">
        <v>0</v>
      </c>
      <c r="FC22">
        <v>0</v>
      </c>
      <c r="FD22">
        <v>0</v>
      </c>
      <c r="FE22">
        <v>0</v>
      </c>
      <c r="FF22" t="s">
        <v>339</v>
      </c>
      <c r="FG22" t="s">
        <v>340</v>
      </c>
      <c r="FH22" t="s">
        <v>341</v>
      </c>
      <c r="FI22" t="s">
        <v>341</v>
      </c>
      <c r="FJ22" t="s">
        <v>341</v>
      </c>
      <c r="FK22" t="s">
        <v>341</v>
      </c>
      <c r="FL22">
        <v>0</v>
      </c>
      <c r="FM22">
        <v>100</v>
      </c>
      <c r="FN22">
        <v>100</v>
      </c>
      <c r="FO22">
        <v>0.85099999999999998</v>
      </c>
      <c r="FP22">
        <v>0.25900000000000001</v>
      </c>
      <c r="FQ22">
        <v>-2.452151080185113</v>
      </c>
      <c r="FR22">
        <v>7.6898218637449396E-3</v>
      </c>
      <c r="FS22">
        <v>1.5097418776848419E-6</v>
      </c>
      <c r="FT22">
        <v>-9.8458676114205118E-11</v>
      </c>
      <c r="FU22">
        <v>0.25897999999999749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19</v>
      </c>
      <c r="GD22">
        <v>19</v>
      </c>
      <c r="GE22">
        <v>1.1071800000000001</v>
      </c>
      <c r="GF22">
        <v>2.6440399999999999</v>
      </c>
      <c r="GG22">
        <v>1.7981</v>
      </c>
      <c r="GH22">
        <v>2.3742700000000001</v>
      </c>
      <c r="GI22">
        <v>1.5979000000000001</v>
      </c>
      <c r="GJ22">
        <v>2.50488</v>
      </c>
      <c r="GK22">
        <v>35.3596</v>
      </c>
      <c r="GL22">
        <v>24.1663</v>
      </c>
      <c r="GM22">
        <v>18</v>
      </c>
      <c r="GN22">
        <v>365.05799999999999</v>
      </c>
      <c r="GO22">
        <v>677.76099999999997</v>
      </c>
      <c r="GP22">
        <v>25.830200000000001</v>
      </c>
      <c r="GQ22">
        <v>28.1111</v>
      </c>
      <c r="GR22">
        <v>30.0002</v>
      </c>
      <c r="GS22">
        <v>28.042100000000001</v>
      </c>
      <c r="GT22">
        <v>28.070900000000002</v>
      </c>
      <c r="GU22">
        <v>22.121600000000001</v>
      </c>
      <c r="GV22">
        <v>32.183799999999998</v>
      </c>
      <c r="GW22">
        <v>0</v>
      </c>
      <c r="GX22">
        <v>25.83</v>
      </c>
      <c r="GY22">
        <v>450</v>
      </c>
      <c r="GZ22">
        <v>19.5</v>
      </c>
      <c r="HA22">
        <v>100.34399999999999</v>
      </c>
      <c r="HB22">
        <v>69.219300000000004</v>
      </c>
    </row>
    <row r="23" spans="1:210" x14ac:dyDescent="0.3">
      <c r="A23">
        <v>7</v>
      </c>
      <c r="B23">
        <v>1752075620</v>
      </c>
      <c r="C23">
        <v>1083.400000095367</v>
      </c>
      <c r="D23" t="s">
        <v>352</v>
      </c>
      <c r="E23" t="s">
        <v>353</v>
      </c>
      <c r="F23">
        <v>15</v>
      </c>
      <c r="G23">
        <v>1752075612.25</v>
      </c>
      <c r="H23">
        <f t="shared" si="0"/>
        <v>2.7612933604607842E-3</v>
      </c>
      <c r="I23">
        <f t="shared" si="1"/>
        <v>2.7612933604607841</v>
      </c>
      <c r="J23">
        <f t="shared" si="2"/>
        <v>21.298238145127613</v>
      </c>
      <c r="K23">
        <f t="shared" si="3"/>
        <v>399.2341030527341</v>
      </c>
      <c r="L23">
        <f t="shared" si="4"/>
        <v>294.79907200201376</v>
      </c>
      <c r="M23">
        <f t="shared" si="5"/>
        <v>30.124720791776699</v>
      </c>
      <c r="N23">
        <f t="shared" si="6"/>
        <v>40.796654491968226</v>
      </c>
      <c r="O23">
        <f t="shared" si="7"/>
        <v>0.36485041289704595</v>
      </c>
      <c r="P23">
        <f t="shared" si="8"/>
        <v>2.4281936314145867</v>
      </c>
      <c r="Q23">
        <f t="shared" si="9"/>
        <v>0.3372951187400165</v>
      </c>
      <c r="R23">
        <f t="shared" si="10"/>
        <v>0.21311290397785729</v>
      </c>
      <c r="S23">
        <f t="shared" si="11"/>
        <v>182.56255766666663</v>
      </c>
      <c r="T23">
        <f t="shared" si="12"/>
        <v>27.379382323801156</v>
      </c>
      <c r="U23">
        <f t="shared" si="13"/>
        <v>26.247959999999999</v>
      </c>
      <c r="V23">
        <f t="shared" si="14"/>
        <v>3.4240859930379739</v>
      </c>
      <c r="W23">
        <f t="shared" si="15"/>
        <v>73.186645004909138</v>
      </c>
      <c r="X23">
        <f t="shared" si="16"/>
        <v>2.6122299229439836</v>
      </c>
      <c r="Y23">
        <f t="shared" si="17"/>
        <v>3.5692713100440154</v>
      </c>
      <c r="Z23">
        <f t="shared" si="18"/>
        <v>0.8118560700939903</v>
      </c>
      <c r="AA23">
        <f t="shared" si="19"/>
        <v>-121.77303719632059</v>
      </c>
      <c r="AB23">
        <f t="shared" si="20"/>
        <v>92.283268251138978</v>
      </c>
      <c r="AC23">
        <f t="shared" si="21"/>
        <v>8.1691856223050046</v>
      </c>
      <c r="AD23">
        <f t="shared" si="22"/>
        <v>161.24197434379005</v>
      </c>
      <c r="AE23">
        <f t="shared" si="23"/>
        <v>21.298238145127613</v>
      </c>
      <c r="AF23">
        <f t="shared" si="24"/>
        <v>2.7612933604607841</v>
      </c>
      <c r="AG23">
        <f t="shared" si="25"/>
        <v>21.284551859943328</v>
      </c>
      <c r="AH23">
        <v>458.94969122401392</v>
      </c>
      <c r="AI23">
        <v>410.09813939393939</v>
      </c>
      <c r="AJ23">
        <v>9.6560132124752192E-4</v>
      </c>
      <c r="AK23">
        <v>84.077294511207981</v>
      </c>
      <c r="AL23">
        <f t="shared" si="26"/>
        <v>2.7621722950614118</v>
      </c>
      <c r="AM23">
        <v>19.50829949967645</v>
      </c>
      <c r="AN23">
        <v>25.564328872180429</v>
      </c>
      <c r="AO23">
        <v>-7.5726942542683968E-7</v>
      </c>
      <c r="AP23">
        <v>90.497705113126258</v>
      </c>
      <c r="AQ23">
        <v>1</v>
      </c>
      <c r="AR23">
        <v>0</v>
      </c>
      <c r="AS23">
        <f t="shared" si="27"/>
        <v>1.0000277806084927</v>
      </c>
      <c r="AT23">
        <f t="shared" si="28"/>
        <v>2.778060849273345E-3</v>
      </c>
      <c r="AU23">
        <f t="shared" si="29"/>
        <v>53995.997650801823</v>
      </c>
      <c r="AV23">
        <f t="shared" si="30"/>
        <v>960.8555666666665</v>
      </c>
      <c r="AW23">
        <f t="shared" si="31"/>
        <v>768.68445333333329</v>
      </c>
      <c r="AX23">
        <f t="shared" si="32"/>
        <v>0.8</v>
      </c>
      <c r="AY23">
        <f t="shared" si="33"/>
        <v>0.19</v>
      </c>
      <c r="AZ23">
        <v>9</v>
      </c>
      <c r="BA23">
        <v>1.88</v>
      </c>
      <c r="BB23" t="s">
        <v>336</v>
      </c>
      <c r="BC23">
        <v>2</v>
      </c>
      <c r="BD23" t="b">
        <v>0</v>
      </c>
      <c r="BE23">
        <v>1752075612.25</v>
      </c>
      <c r="BF23">
        <v>399.58910000000009</v>
      </c>
      <c r="BG23">
        <v>449.99153333333339</v>
      </c>
      <c r="BH23">
        <v>25.563156666666661</v>
      </c>
      <c r="BI23">
        <v>19.50922666666667</v>
      </c>
      <c r="BJ23">
        <v>398.74113333333332</v>
      </c>
      <c r="BK23">
        <v>25.30417000000001</v>
      </c>
      <c r="BL23">
        <v>399.99906666666658</v>
      </c>
      <c r="BM23">
        <v>102.0873</v>
      </c>
      <c r="BN23">
        <v>9.999857999999999E-2</v>
      </c>
      <c r="BO23">
        <v>26.952903333333321</v>
      </c>
      <c r="BP23">
        <v>26.247959999999999</v>
      </c>
      <c r="BQ23">
        <v>999.9000000000002</v>
      </c>
      <c r="BR23">
        <v>0</v>
      </c>
      <c r="BS23">
        <v>0</v>
      </c>
      <c r="BT23">
        <v>10001.283333333329</v>
      </c>
      <c r="BU23">
        <v>960.8555666666665</v>
      </c>
      <c r="BV23">
        <v>16.363</v>
      </c>
      <c r="BW23">
        <v>-50.402439999999999</v>
      </c>
      <c r="BX23">
        <v>410.07186666666661</v>
      </c>
      <c r="BY23">
        <v>458.94520000000011</v>
      </c>
      <c r="BZ23">
        <v>6.0539213333333342</v>
      </c>
      <c r="CA23">
        <v>449.99153333333339</v>
      </c>
      <c r="CB23">
        <v>19.50922666666667</v>
      </c>
      <c r="CC23">
        <v>2.609671333333333</v>
      </c>
      <c r="CD23">
        <v>1.9916426666666669</v>
      </c>
      <c r="CE23">
        <v>21.72713666666667</v>
      </c>
      <c r="CF23">
        <v>17.378060000000001</v>
      </c>
      <c r="CG23">
        <v>1752074301.5999999</v>
      </c>
      <c r="CH23" t="s">
        <v>337</v>
      </c>
      <c r="CI23">
        <v>1752074299.5999999</v>
      </c>
      <c r="CJ23">
        <v>1752074301.5999999</v>
      </c>
      <c r="CK23">
        <v>4</v>
      </c>
      <c r="CL23">
        <v>-0.28000000000000003</v>
      </c>
      <c r="CM23">
        <v>5.8999999999999997E-2</v>
      </c>
      <c r="CN23">
        <v>1.294</v>
      </c>
      <c r="CO23">
        <v>0.25900000000000001</v>
      </c>
      <c r="CP23">
        <v>450</v>
      </c>
      <c r="CQ23">
        <v>19</v>
      </c>
      <c r="CR23">
        <v>0.03</v>
      </c>
      <c r="CS23">
        <v>0.02</v>
      </c>
      <c r="CT23">
        <v>-50.418668292682923</v>
      </c>
      <c r="CU23">
        <v>6.3691986062642605E-2</v>
      </c>
      <c r="CV23">
        <v>4.4349935733032211E-2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6.0543729268292683</v>
      </c>
      <c r="DC23">
        <v>-2.8415331010247088E-3</v>
      </c>
      <c r="DD23">
        <v>1.1633178872694451E-3</v>
      </c>
      <c r="DE23">
        <v>1</v>
      </c>
      <c r="DF23">
        <v>2</v>
      </c>
      <c r="DG23">
        <v>2</v>
      </c>
      <c r="DH23" t="s">
        <v>338</v>
      </c>
      <c r="DI23">
        <v>3.0244800000000001</v>
      </c>
      <c r="DJ23">
        <v>2.6913399999999998</v>
      </c>
      <c r="DK23">
        <v>9.3700000000000006E-2</v>
      </c>
      <c r="DL23">
        <v>0.103133</v>
      </c>
      <c r="DM23">
        <v>0.12573000000000001</v>
      </c>
      <c r="DN23">
        <v>0.10514</v>
      </c>
      <c r="DO23">
        <v>25216.6</v>
      </c>
      <c r="DP23">
        <v>16510.8</v>
      </c>
      <c r="DQ23">
        <v>26402.2</v>
      </c>
      <c r="DR23">
        <v>16732.900000000001</v>
      </c>
      <c r="DS23">
        <v>32835.4</v>
      </c>
      <c r="DT23">
        <v>19561.2</v>
      </c>
      <c r="DU23">
        <v>38470.400000000001</v>
      </c>
      <c r="DV23">
        <v>22176.5</v>
      </c>
      <c r="DW23">
        <v>1.79216</v>
      </c>
      <c r="DX23">
        <v>2.18946</v>
      </c>
      <c r="DY23">
        <v>7.1197700000000003E-2</v>
      </c>
      <c r="DZ23">
        <v>0</v>
      </c>
      <c r="EA23">
        <v>25.0915</v>
      </c>
      <c r="EB23">
        <v>999.9</v>
      </c>
      <c r="EC23">
        <v>55.1</v>
      </c>
      <c r="ED23">
        <v>32.299999999999997</v>
      </c>
      <c r="EE23">
        <v>26.214200000000002</v>
      </c>
      <c r="EF23">
        <v>62.731699999999996</v>
      </c>
      <c r="EG23">
        <v>34.354999999999997</v>
      </c>
      <c r="EH23">
        <v>1</v>
      </c>
      <c r="EI23">
        <v>7.9979700000000001E-2</v>
      </c>
      <c r="EJ23">
        <v>0.15948599999999999</v>
      </c>
      <c r="EK23">
        <v>20.3429</v>
      </c>
      <c r="EL23">
        <v>5.2526299999999999</v>
      </c>
      <c r="EM23">
        <v>11.962</v>
      </c>
      <c r="EN23">
        <v>4.9896799999999999</v>
      </c>
      <c r="EO23">
        <v>3.2915999999999999</v>
      </c>
      <c r="EP23">
        <v>9999</v>
      </c>
      <c r="EQ23">
        <v>9999</v>
      </c>
      <c r="ER23">
        <v>9999</v>
      </c>
      <c r="ES23">
        <v>999.9</v>
      </c>
      <c r="ET23">
        <v>4.9726699999999999</v>
      </c>
      <c r="EU23">
        <v>1.87182</v>
      </c>
      <c r="EV23">
        <v>1.8721000000000001</v>
      </c>
      <c r="EW23">
        <v>1.87714</v>
      </c>
      <c r="EX23">
        <v>1.8713299999999999</v>
      </c>
      <c r="EY23">
        <v>1.87209</v>
      </c>
      <c r="EZ23">
        <v>1.87174</v>
      </c>
      <c r="FA23">
        <v>1.86866</v>
      </c>
      <c r="FB23">
        <v>0</v>
      </c>
      <c r="FC23">
        <v>0</v>
      </c>
      <c r="FD23">
        <v>0</v>
      </c>
      <c r="FE23">
        <v>0</v>
      </c>
      <c r="FF23" t="s">
        <v>339</v>
      </c>
      <c r="FG23" t="s">
        <v>340</v>
      </c>
      <c r="FH23" t="s">
        <v>341</v>
      </c>
      <c r="FI23" t="s">
        <v>341</v>
      </c>
      <c r="FJ23" t="s">
        <v>341</v>
      </c>
      <c r="FK23" t="s">
        <v>341</v>
      </c>
      <c r="FL23">
        <v>0</v>
      </c>
      <c r="FM23">
        <v>100</v>
      </c>
      <c r="FN23">
        <v>100</v>
      </c>
      <c r="FO23">
        <v>0.84799999999999998</v>
      </c>
      <c r="FP23">
        <v>0.25890000000000002</v>
      </c>
      <c r="FQ23">
        <v>-2.452151080185113</v>
      </c>
      <c r="FR23">
        <v>7.6898218637449396E-3</v>
      </c>
      <c r="FS23">
        <v>1.5097418776848419E-6</v>
      </c>
      <c r="FT23">
        <v>-9.8458676114205118E-11</v>
      </c>
      <c r="FU23">
        <v>0.25897999999999749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22</v>
      </c>
      <c r="GD23">
        <v>22</v>
      </c>
      <c r="GE23">
        <v>1.1071800000000001</v>
      </c>
      <c r="GF23">
        <v>2.65747</v>
      </c>
      <c r="GG23">
        <v>1.7981</v>
      </c>
      <c r="GH23">
        <v>2.3742700000000001</v>
      </c>
      <c r="GI23">
        <v>1.5979000000000001</v>
      </c>
      <c r="GJ23">
        <v>2.4438499999999999</v>
      </c>
      <c r="GK23">
        <v>35.3596</v>
      </c>
      <c r="GL23">
        <v>24.157499999999999</v>
      </c>
      <c r="GM23">
        <v>18</v>
      </c>
      <c r="GN23">
        <v>365.00099999999998</v>
      </c>
      <c r="GO23">
        <v>677.85699999999997</v>
      </c>
      <c r="GP23">
        <v>25.830100000000002</v>
      </c>
      <c r="GQ23">
        <v>28.130199999999999</v>
      </c>
      <c r="GR23">
        <v>30.0001</v>
      </c>
      <c r="GS23">
        <v>28.063400000000001</v>
      </c>
      <c r="GT23">
        <v>28.091100000000001</v>
      </c>
      <c r="GU23">
        <v>22.118500000000001</v>
      </c>
      <c r="GV23">
        <v>32.183799999999998</v>
      </c>
      <c r="GW23">
        <v>0</v>
      </c>
      <c r="GX23">
        <v>25.83</v>
      </c>
      <c r="GY23">
        <v>450</v>
      </c>
      <c r="GZ23">
        <v>19.5</v>
      </c>
      <c r="HA23">
        <v>100.339</v>
      </c>
      <c r="HB23">
        <v>69.217399999999998</v>
      </c>
    </row>
    <row r="24" spans="1:210" x14ac:dyDescent="0.3">
      <c r="A24">
        <v>8</v>
      </c>
      <c r="B24">
        <v>1752075800.5</v>
      </c>
      <c r="C24">
        <v>1263.900000095367</v>
      </c>
      <c r="D24" t="s">
        <v>354</v>
      </c>
      <c r="E24" t="s">
        <v>355</v>
      </c>
      <c r="F24">
        <v>15</v>
      </c>
      <c r="G24">
        <v>1752075792.75</v>
      </c>
      <c r="H24">
        <f t="shared" si="0"/>
        <v>2.7263640016369469E-3</v>
      </c>
      <c r="I24">
        <f t="shared" si="1"/>
        <v>2.7263640016369468</v>
      </c>
      <c r="J24">
        <f t="shared" si="2"/>
        <v>21.199239346567676</v>
      </c>
      <c r="K24">
        <f t="shared" si="3"/>
        <v>399.5210161536354</v>
      </c>
      <c r="L24">
        <f t="shared" si="4"/>
        <v>293.14386257058788</v>
      </c>
      <c r="M24">
        <f t="shared" si="5"/>
        <v>29.954519659200393</v>
      </c>
      <c r="N24">
        <f t="shared" si="6"/>
        <v>40.824529047597139</v>
      </c>
      <c r="O24">
        <f t="shared" si="7"/>
        <v>0.35580086967836533</v>
      </c>
      <c r="P24">
        <f t="shared" si="8"/>
        <v>2.4275894731481684</v>
      </c>
      <c r="Q24">
        <f t="shared" si="9"/>
        <v>0.32953725440616644</v>
      </c>
      <c r="R24">
        <f t="shared" si="10"/>
        <v>0.20815999390843334</v>
      </c>
      <c r="S24">
        <f t="shared" si="11"/>
        <v>182.56942933333337</v>
      </c>
      <c r="T24">
        <f t="shared" si="12"/>
        <v>27.393516180974522</v>
      </c>
      <c r="U24">
        <f t="shared" si="13"/>
        <v>26.257316666666672</v>
      </c>
      <c r="V24">
        <f t="shared" si="14"/>
        <v>3.4259787288016206</v>
      </c>
      <c r="W24">
        <f t="shared" si="15"/>
        <v>72.985343365138959</v>
      </c>
      <c r="X24">
        <f t="shared" si="16"/>
        <v>2.6055316743716537</v>
      </c>
      <c r="Y24">
        <f t="shared" si="17"/>
        <v>3.5699382290173225</v>
      </c>
      <c r="Z24">
        <f t="shared" si="18"/>
        <v>0.8204470544299669</v>
      </c>
      <c r="AA24">
        <f t="shared" si="19"/>
        <v>-120.23265247218936</v>
      </c>
      <c r="AB24">
        <f t="shared" si="20"/>
        <v>91.451928588919387</v>
      </c>
      <c r="AC24">
        <f t="shared" si="21"/>
        <v>8.0981158370676365</v>
      </c>
      <c r="AD24">
        <f t="shared" si="22"/>
        <v>161.88682128713106</v>
      </c>
      <c r="AE24">
        <f t="shared" si="23"/>
        <v>21.199239346567676</v>
      </c>
      <c r="AF24">
        <f t="shared" si="24"/>
        <v>2.7263640016369468</v>
      </c>
      <c r="AG24">
        <f t="shared" si="25"/>
        <v>21.189296387167882</v>
      </c>
      <c r="AH24">
        <v>458.97276331383341</v>
      </c>
      <c r="AI24">
        <v>410.34820606060612</v>
      </c>
      <c r="AJ24">
        <v>5.79772089319582E-4</v>
      </c>
      <c r="AK24">
        <v>84.077294511207981</v>
      </c>
      <c r="AL24">
        <f t="shared" si="26"/>
        <v>2.7240972474430936</v>
      </c>
      <c r="AM24">
        <v>19.52108202511652</v>
      </c>
      <c r="AN24">
        <v>25.49336616541353</v>
      </c>
      <c r="AO24">
        <v>-5.4799053075451793E-7</v>
      </c>
      <c r="AP24">
        <v>90.497705113126258</v>
      </c>
      <c r="AQ24">
        <v>1</v>
      </c>
      <c r="AR24">
        <v>0</v>
      </c>
      <c r="AS24">
        <f t="shared" si="27"/>
        <v>1.0000277913800262</v>
      </c>
      <c r="AT24">
        <f t="shared" si="28"/>
        <v>2.7791380026176427E-3</v>
      </c>
      <c r="AU24">
        <f t="shared" si="29"/>
        <v>53975.070171184103</v>
      </c>
      <c r="AV24">
        <f t="shared" si="30"/>
        <v>960.89173333333349</v>
      </c>
      <c r="AW24">
        <f t="shared" si="31"/>
        <v>768.71338666666679</v>
      </c>
      <c r="AX24">
        <f t="shared" si="32"/>
        <v>0.8</v>
      </c>
      <c r="AY24">
        <f t="shared" si="33"/>
        <v>0.19</v>
      </c>
      <c r="AZ24">
        <v>9</v>
      </c>
      <c r="BA24">
        <v>1.88</v>
      </c>
      <c r="BB24" t="s">
        <v>336</v>
      </c>
      <c r="BC24">
        <v>2</v>
      </c>
      <c r="BD24" t="b">
        <v>0</v>
      </c>
      <c r="BE24">
        <v>1752075792.75</v>
      </c>
      <c r="BF24">
        <v>399.87450000000001</v>
      </c>
      <c r="BG24">
        <v>450.01866666666672</v>
      </c>
      <c r="BH24">
        <v>25.49851</v>
      </c>
      <c r="BI24">
        <v>19.52146333333333</v>
      </c>
      <c r="BJ24">
        <v>399.02416666666659</v>
      </c>
      <c r="BK24">
        <v>25.23953666666667</v>
      </c>
      <c r="BL24">
        <v>400.04590000000002</v>
      </c>
      <c r="BM24">
        <v>102.0837333333333</v>
      </c>
      <c r="BN24">
        <v>9.995011999999999E-2</v>
      </c>
      <c r="BO24">
        <v>26.956083333333329</v>
      </c>
      <c r="BP24">
        <v>26.257316666666672</v>
      </c>
      <c r="BQ24">
        <v>999.9000000000002</v>
      </c>
      <c r="BR24">
        <v>0</v>
      </c>
      <c r="BS24">
        <v>0</v>
      </c>
      <c r="BT24">
        <v>9997.7166666666672</v>
      </c>
      <c r="BU24">
        <v>960.89173333333349</v>
      </c>
      <c r="BV24">
        <v>16.363</v>
      </c>
      <c r="BW24">
        <v>-50.144136666666668</v>
      </c>
      <c r="BX24">
        <v>410.33753333333328</v>
      </c>
      <c r="BY24">
        <v>458.97873333333331</v>
      </c>
      <c r="BZ24">
        <v>5.9770519999999996</v>
      </c>
      <c r="CA24">
        <v>450.01866666666672</v>
      </c>
      <c r="CB24">
        <v>19.52146333333333</v>
      </c>
      <c r="CC24">
        <v>2.602983333333333</v>
      </c>
      <c r="CD24">
        <v>1.992824666666666</v>
      </c>
      <c r="CE24">
        <v>21.68516</v>
      </c>
      <c r="CF24">
        <v>17.387423333333331</v>
      </c>
      <c r="CG24">
        <v>1752074301.5999999</v>
      </c>
      <c r="CH24" t="s">
        <v>337</v>
      </c>
      <c r="CI24">
        <v>1752074299.5999999</v>
      </c>
      <c r="CJ24">
        <v>1752074301.5999999</v>
      </c>
      <c r="CK24">
        <v>4</v>
      </c>
      <c r="CL24">
        <v>-0.28000000000000003</v>
      </c>
      <c r="CM24">
        <v>5.8999999999999997E-2</v>
      </c>
      <c r="CN24">
        <v>1.294</v>
      </c>
      <c r="CO24">
        <v>0.25900000000000001</v>
      </c>
      <c r="CP24">
        <v>450</v>
      </c>
      <c r="CQ24">
        <v>19</v>
      </c>
      <c r="CR24">
        <v>0.03</v>
      </c>
      <c r="CS24">
        <v>0.02</v>
      </c>
      <c r="CT24">
        <v>-50.152965853658543</v>
      </c>
      <c r="CU24">
        <v>0.24219930313583959</v>
      </c>
      <c r="CV24">
        <v>3.3161494050870113E-2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5.977571463414634</v>
      </c>
      <c r="DC24">
        <v>-2.7153658536574629E-2</v>
      </c>
      <c r="DD24">
        <v>4.0352934193647917E-3</v>
      </c>
      <c r="DE24">
        <v>1</v>
      </c>
      <c r="DF24">
        <v>2</v>
      </c>
      <c r="DG24">
        <v>2</v>
      </c>
      <c r="DH24" t="s">
        <v>338</v>
      </c>
      <c r="DI24">
        <v>3.0244200000000001</v>
      </c>
      <c r="DJ24">
        <v>2.69136</v>
      </c>
      <c r="DK24">
        <v>9.3735499999999999E-2</v>
      </c>
      <c r="DL24">
        <v>0.10312399999999999</v>
      </c>
      <c r="DM24">
        <v>0.12548200000000001</v>
      </c>
      <c r="DN24">
        <v>0.105174</v>
      </c>
      <c r="DO24">
        <v>25215.3</v>
      </c>
      <c r="DP24">
        <v>16510.8</v>
      </c>
      <c r="DQ24">
        <v>26402</v>
      </c>
      <c r="DR24">
        <v>16732.7</v>
      </c>
      <c r="DS24">
        <v>32844.699999999997</v>
      </c>
      <c r="DT24">
        <v>19560.099999999999</v>
      </c>
      <c r="DU24">
        <v>38469.9</v>
      </c>
      <c r="DV24">
        <v>22176.1</v>
      </c>
      <c r="DW24">
        <v>1.792</v>
      </c>
      <c r="DX24">
        <v>2.1891400000000001</v>
      </c>
      <c r="DY24">
        <v>7.1304999999999993E-2</v>
      </c>
      <c r="DZ24">
        <v>0</v>
      </c>
      <c r="EA24">
        <v>25.088899999999999</v>
      </c>
      <c r="EB24">
        <v>999.9</v>
      </c>
      <c r="EC24">
        <v>55.1</v>
      </c>
      <c r="ED24">
        <v>32.299999999999997</v>
      </c>
      <c r="EE24">
        <v>26.212399999999999</v>
      </c>
      <c r="EF24">
        <v>62.971699999999998</v>
      </c>
      <c r="EG24">
        <v>34.278799999999997</v>
      </c>
      <c r="EH24">
        <v>1</v>
      </c>
      <c r="EI24">
        <v>8.1272399999999995E-2</v>
      </c>
      <c r="EJ24">
        <v>0.168046</v>
      </c>
      <c r="EK24">
        <v>20.342700000000001</v>
      </c>
      <c r="EL24">
        <v>5.25143</v>
      </c>
      <c r="EM24">
        <v>11.962</v>
      </c>
      <c r="EN24">
        <v>4.9897600000000004</v>
      </c>
      <c r="EO24">
        <v>3.2915199999999998</v>
      </c>
      <c r="EP24">
        <v>9999</v>
      </c>
      <c r="EQ24">
        <v>9999</v>
      </c>
      <c r="ER24">
        <v>9999</v>
      </c>
      <c r="ES24">
        <v>999.9</v>
      </c>
      <c r="ET24">
        <v>4.9726699999999999</v>
      </c>
      <c r="EU24">
        <v>1.87185</v>
      </c>
      <c r="EV24">
        <v>1.8721000000000001</v>
      </c>
      <c r="EW24">
        <v>1.87714</v>
      </c>
      <c r="EX24">
        <v>1.87134</v>
      </c>
      <c r="EY24">
        <v>1.87209</v>
      </c>
      <c r="EZ24">
        <v>1.87174</v>
      </c>
      <c r="FA24">
        <v>1.86866</v>
      </c>
      <c r="FB24">
        <v>0</v>
      </c>
      <c r="FC24">
        <v>0</v>
      </c>
      <c r="FD24">
        <v>0</v>
      </c>
      <c r="FE24">
        <v>0</v>
      </c>
      <c r="FF24" t="s">
        <v>339</v>
      </c>
      <c r="FG24" t="s">
        <v>340</v>
      </c>
      <c r="FH24" t="s">
        <v>341</v>
      </c>
      <c r="FI24" t="s">
        <v>341</v>
      </c>
      <c r="FJ24" t="s">
        <v>341</v>
      </c>
      <c r="FK24" t="s">
        <v>341</v>
      </c>
      <c r="FL24">
        <v>0</v>
      </c>
      <c r="FM24">
        <v>100</v>
      </c>
      <c r="FN24">
        <v>100</v>
      </c>
      <c r="FO24">
        <v>0.85</v>
      </c>
      <c r="FP24">
        <v>0.25900000000000001</v>
      </c>
      <c r="FQ24">
        <v>-2.452151080185113</v>
      </c>
      <c r="FR24">
        <v>7.6898218637449396E-3</v>
      </c>
      <c r="FS24">
        <v>1.5097418776848419E-6</v>
      </c>
      <c r="FT24">
        <v>-9.8458676114205118E-11</v>
      </c>
      <c r="FU24">
        <v>0.25897999999999749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25</v>
      </c>
      <c r="GD24">
        <v>25</v>
      </c>
      <c r="GE24">
        <v>1.1071800000000001</v>
      </c>
      <c r="GF24">
        <v>2.6355</v>
      </c>
      <c r="GG24">
        <v>1.7981</v>
      </c>
      <c r="GH24">
        <v>2.3742700000000001</v>
      </c>
      <c r="GI24">
        <v>1.5979000000000001</v>
      </c>
      <c r="GJ24">
        <v>2.5732400000000002</v>
      </c>
      <c r="GK24">
        <v>35.3827</v>
      </c>
      <c r="GL24">
        <v>24.1663</v>
      </c>
      <c r="GM24">
        <v>18</v>
      </c>
      <c r="GN24">
        <v>365.03800000000001</v>
      </c>
      <c r="GO24">
        <v>677.81700000000001</v>
      </c>
      <c r="GP24">
        <v>25.830100000000002</v>
      </c>
      <c r="GQ24">
        <v>28.1494</v>
      </c>
      <c r="GR24">
        <v>30.0001</v>
      </c>
      <c r="GS24">
        <v>28.081800000000001</v>
      </c>
      <c r="GT24">
        <v>28.110199999999999</v>
      </c>
      <c r="GU24">
        <v>22.1172</v>
      </c>
      <c r="GV24">
        <v>32.183799999999998</v>
      </c>
      <c r="GW24">
        <v>0</v>
      </c>
      <c r="GX24">
        <v>25.83</v>
      </c>
      <c r="GY24">
        <v>450</v>
      </c>
      <c r="GZ24">
        <v>19.5</v>
      </c>
      <c r="HA24">
        <v>100.33799999999999</v>
      </c>
      <c r="HB24">
        <v>69.216399999999993</v>
      </c>
    </row>
    <row r="25" spans="1:210" x14ac:dyDescent="0.3">
      <c r="A25">
        <v>9</v>
      </c>
      <c r="B25">
        <v>1752075981</v>
      </c>
      <c r="C25">
        <v>1444.400000095367</v>
      </c>
      <c r="D25" t="s">
        <v>356</v>
      </c>
      <c r="E25" t="s">
        <v>357</v>
      </c>
      <c r="F25">
        <v>15</v>
      </c>
      <c r="G25">
        <v>1752075973.25</v>
      </c>
      <c r="H25">
        <f t="shared" si="0"/>
        <v>2.6745859168665212E-3</v>
      </c>
      <c r="I25">
        <f t="shared" si="1"/>
        <v>2.6745859168665214</v>
      </c>
      <c r="J25">
        <f t="shared" si="2"/>
        <v>26.870375539489402</v>
      </c>
      <c r="K25">
        <f t="shared" si="3"/>
        <v>535.85199151240977</v>
      </c>
      <c r="L25">
        <f t="shared" si="4"/>
        <v>396.51289207196368</v>
      </c>
      <c r="M25">
        <f t="shared" si="5"/>
        <v>40.51589948596181</v>
      </c>
      <c r="N25">
        <f t="shared" si="6"/>
        <v>54.753643227138703</v>
      </c>
      <c r="O25">
        <f t="shared" si="7"/>
        <v>0.34418732428783244</v>
      </c>
      <c r="P25">
        <f t="shared" si="8"/>
        <v>2.4285828925984205</v>
      </c>
      <c r="Q25">
        <f t="shared" si="9"/>
        <v>0.31955644848305542</v>
      </c>
      <c r="R25">
        <f t="shared" si="10"/>
        <v>0.20178988270994688</v>
      </c>
      <c r="S25">
        <f t="shared" si="11"/>
        <v>182.57986666666667</v>
      </c>
      <c r="T25">
        <f t="shared" si="12"/>
        <v>27.412631146273306</v>
      </c>
      <c r="U25">
        <f t="shared" si="13"/>
        <v>26.258759999999999</v>
      </c>
      <c r="V25">
        <f t="shared" si="14"/>
        <v>3.4262707782726265</v>
      </c>
      <c r="W25">
        <f t="shared" si="15"/>
        <v>72.711873099532625</v>
      </c>
      <c r="X25">
        <f t="shared" si="16"/>
        <v>2.596255488495486</v>
      </c>
      <c r="Y25">
        <f t="shared" si="17"/>
        <v>3.5706073545121946</v>
      </c>
      <c r="Z25">
        <f t="shared" si="18"/>
        <v>0.83001528977714045</v>
      </c>
      <c r="AA25">
        <f t="shared" si="19"/>
        <v>-117.94923893381359</v>
      </c>
      <c r="AB25">
        <f t="shared" si="20"/>
        <v>91.718043244635453</v>
      </c>
      <c r="AC25">
        <f t="shared" si="21"/>
        <v>8.1185466081079412</v>
      </c>
      <c r="AD25">
        <f t="shared" si="22"/>
        <v>164.46721758559647</v>
      </c>
      <c r="AE25">
        <f t="shared" si="23"/>
        <v>26.870375539489402</v>
      </c>
      <c r="AF25">
        <f t="shared" si="24"/>
        <v>2.6745859168665214</v>
      </c>
      <c r="AG25">
        <f t="shared" si="25"/>
        <v>26.888824568785516</v>
      </c>
      <c r="AH25">
        <v>611.96557372856114</v>
      </c>
      <c r="AI25">
        <v>550.26199393939396</v>
      </c>
      <c r="AJ25">
        <v>8.9052620534015801E-5</v>
      </c>
      <c r="AK25">
        <v>84.077294511207981</v>
      </c>
      <c r="AL25">
        <f t="shared" si="26"/>
        <v>2.6716568680173043</v>
      </c>
      <c r="AM25">
        <v>19.542726416799059</v>
      </c>
      <c r="AN25">
        <v>25.400980902255629</v>
      </c>
      <c r="AO25">
        <v>-5.0488731942268954E-7</v>
      </c>
      <c r="AP25">
        <v>90.497705113126258</v>
      </c>
      <c r="AQ25">
        <v>1</v>
      </c>
      <c r="AR25">
        <v>0</v>
      </c>
      <c r="AS25">
        <f t="shared" si="27"/>
        <v>1.0000277745523352</v>
      </c>
      <c r="AT25">
        <f t="shared" si="28"/>
        <v>2.777455233515802E-3</v>
      </c>
      <c r="AU25">
        <f t="shared" si="29"/>
        <v>54007.770988718592</v>
      </c>
      <c r="AV25">
        <f t="shared" si="30"/>
        <v>960.94666666666672</v>
      </c>
      <c r="AW25">
        <f t="shared" si="31"/>
        <v>768.75733333333346</v>
      </c>
      <c r="AX25">
        <f t="shared" si="32"/>
        <v>0.8</v>
      </c>
      <c r="AY25">
        <f t="shared" si="33"/>
        <v>0.19</v>
      </c>
      <c r="AZ25">
        <v>9</v>
      </c>
      <c r="BA25">
        <v>1.88</v>
      </c>
      <c r="BB25" t="s">
        <v>336</v>
      </c>
      <c r="BC25">
        <v>2</v>
      </c>
      <c r="BD25" t="b">
        <v>0</v>
      </c>
      <c r="BE25">
        <v>1752075973.25</v>
      </c>
      <c r="BF25">
        <v>536.29976666666664</v>
      </c>
      <c r="BG25">
        <v>599.98066666666659</v>
      </c>
      <c r="BH25">
        <v>25.408513333333339</v>
      </c>
      <c r="BI25">
        <v>19.544053333333331</v>
      </c>
      <c r="BJ25">
        <v>534.22790000000009</v>
      </c>
      <c r="BK25">
        <v>25.14952666666667</v>
      </c>
      <c r="BL25">
        <v>400.01960000000003</v>
      </c>
      <c r="BM25">
        <v>102.0805666666667</v>
      </c>
      <c r="BN25">
        <v>9.9968433333333329E-2</v>
      </c>
      <c r="BO25">
        <v>26.959273333333339</v>
      </c>
      <c r="BP25">
        <v>26.258759999999999</v>
      </c>
      <c r="BQ25">
        <v>999.9000000000002</v>
      </c>
      <c r="BR25">
        <v>0</v>
      </c>
      <c r="BS25">
        <v>0</v>
      </c>
      <c r="BT25">
        <v>10004.466666666671</v>
      </c>
      <c r="BU25">
        <v>960.94666666666672</v>
      </c>
      <c r="BV25">
        <v>16.363</v>
      </c>
      <c r="BW25">
        <v>-63.680883333333327</v>
      </c>
      <c r="BX25">
        <v>550.28156666666666</v>
      </c>
      <c r="BY25">
        <v>611.94043333333332</v>
      </c>
      <c r="BZ25">
        <v>5.8644539999999994</v>
      </c>
      <c r="CA25">
        <v>599.98066666666659</v>
      </c>
      <c r="CB25">
        <v>19.544053333333331</v>
      </c>
      <c r="CC25">
        <v>2.593713333333334</v>
      </c>
      <c r="CD25">
        <v>1.9950676666666669</v>
      </c>
      <c r="CE25">
        <v>21.626823333333331</v>
      </c>
      <c r="CF25">
        <v>17.405236666666671</v>
      </c>
      <c r="CG25">
        <v>1752074301.5999999</v>
      </c>
      <c r="CH25" t="s">
        <v>337</v>
      </c>
      <c r="CI25">
        <v>1752074299.5999999</v>
      </c>
      <c r="CJ25">
        <v>1752074301.5999999</v>
      </c>
      <c r="CK25">
        <v>4</v>
      </c>
      <c r="CL25">
        <v>-0.28000000000000003</v>
      </c>
      <c r="CM25">
        <v>5.8999999999999997E-2</v>
      </c>
      <c r="CN25">
        <v>1.294</v>
      </c>
      <c r="CO25">
        <v>0.25900000000000001</v>
      </c>
      <c r="CP25">
        <v>450</v>
      </c>
      <c r="CQ25">
        <v>19</v>
      </c>
      <c r="CR25">
        <v>0.03</v>
      </c>
      <c r="CS25">
        <v>0.02</v>
      </c>
      <c r="CT25">
        <v>-63.6875675</v>
      </c>
      <c r="CU25">
        <v>-6.179999999991722E-2</v>
      </c>
      <c r="CV25">
        <v>4.1781002785357013E-2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5.8667084999999997</v>
      </c>
      <c r="DC25">
        <v>-5.497170731709116E-2</v>
      </c>
      <c r="DD25">
        <v>5.410049699402085E-3</v>
      </c>
      <c r="DE25">
        <v>1</v>
      </c>
      <c r="DF25">
        <v>2</v>
      </c>
      <c r="DG25">
        <v>2</v>
      </c>
      <c r="DH25" t="s">
        <v>338</v>
      </c>
      <c r="DI25">
        <v>3.0244900000000001</v>
      </c>
      <c r="DJ25">
        <v>2.6913999999999998</v>
      </c>
      <c r="DK25">
        <v>0.116241</v>
      </c>
      <c r="DL25">
        <v>0.12682199999999999</v>
      </c>
      <c r="DM25">
        <v>0.12515100000000001</v>
      </c>
      <c r="DN25">
        <v>0.105254</v>
      </c>
      <c r="DO25">
        <v>24589.1</v>
      </c>
      <c r="DP25">
        <v>16073.4</v>
      </c>
      <c r="DQ25">
        <v>26402</v>
      </c>
      <c r="DR25">
        <v>16731.599999999999</v>
      </c>
      <c r="DS25">
        <v>32857.9</v>
      </c>
      <c r="DT25">
        <v>19557.8</v>
      </c>
      <c r="DU25">
        <v>38469.800000000003</v>
      </c>
      <c r="DV25">
        <v>22175</v>
      </c>
      <c r="DW25">
        <v>1.792</v>
      </c>
      <c r="DX25">
        <v>2.1892200000000002</v>
      </c>
      <c r="DY25">
        <v>7.0780499999999996E-2</v>
      </c>
      <c r="DZ25">
        <v>0</v>
      </c>
      <c r="EA25">
        <v>25.099499999999999</v>
      </c>
      <c r="EB25">
        <v>999.9</v>
      </c>
      <c r="EC25">
        <v>55.1</v>
      </c>
      <c r="ED25">
        <v>32.299999999999997</v>
      </c>
      <c r="EE25">
        <v>26.216699999999999</v>
      </c>
      <c r="EF25">
        <v>62.751800000000003</v>
      </c>
      <c r="EG25">
        <v>34.282899999999998</v>
      </c>
      <c r="EH25">
        <v>1</v>
      </c>
      <c r="EI25">
        <v>8.2556900000000003E-2</v>
      </c>
      <c r="EJ25">
        <v>0.17252500000000001</v>
      </c>
      <c r="EK25">
        <v>20.3432</v>
      </c>
      <c r="EL25">
        <v>5.2517899999999997</v>
      </c>
      <c r="EM25">
        <v>11.962</v>
      </c>
      <c r="EN25">
        <v>4.9896799999999999</v>
      </c>
      <c r="EO25">
        <v>3.2916799999999999</v>
      </c>
      <c r="EP25">
        <v>9999</v>
      </c>
      <c r="EQ25">
        <v>9999</v>
      </c>
      <c r="ER25">
        <v>9999</v>
      </c>
      <c r="ES25">
        <v>999.9</v>
      </c>
      <c r="ET25">
        <v>4.9726800000000004</v>
      </c>
      <c r="EU25">
        <v>1.87188</v>
      </c>
      <c r="EV25">
        <v>1.8721000000000001</v>
      </c>
      <c r="EW25">
        <v>1.87714</v>
      </c>
      <c r="EX25">
        <v>1.87134</v>
      </c>
      <c r="EY25">
        <v>1.8721000000000001</v>
      </c>
      <c r="EZ25">
        <v>1.87174</v>
      </c>
      <c r="FA25">
        <v>1.8686799999999999</v>
      </c>
      <c r="FB25">
        <v>0</v>
      </c>
      <c r="FC25">
        <v>0</v>
      </c>
      <c r="FD25">
        <v>0</v>
      </c>
      <c r="FE25">
        <v>0</v>
      </c>
      <c r="FF25" t="s">
        <v>339</v>
      </c>
      <c r="FG25" t="s">
        <v>340</v>
      </c>
      <c r="FH25" t="s">
        <v>341</v>
      </c>
      <c r="FI25" t="s">
        <v>341</v>
      </c>
      <c r="FJ25" t="s">
        <v>341</v>
      </c>
      <c r="FK25" t="s">
        <v>341</v>
      </c>
      <c r="FL25">
        <v>0</v>
      </c>
      <c r="FM25">
        <v>100</v>
      </c>
      <c r="FN25">
        <v>100</v>
      </c>
      <c r="FO25">
        <v>2.0720000000000001</v>
      </c>
      <c r="FP25">
        <v>0.25900000000000001</v>
      </c>
      <c r="FQ25">
        <v>-2.452151080185113</v>
      </c>
      <c r="FR25">
        <v>7.6898218637449396E-3</v>
      </c>
      <c r="FS25">
        <v>1.5097418776848419E-6</v>
      </c>
      <c r="FT25">
        <v>-9.8458676114205118E-11</v>
      </c>
      <c r="FU25">
        <v>0.25897999999999749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28</v>
      </c>
      <c r="GD25">
        <v>28</v>
      </c>
      <c r="GE25">
        <v>1.3940399999999999</v>
      </c>
      <c r="GF25">
        <v>2.65503</v>
      </c>
      <c r="GG25">
        <v>1.7981</v>
      </c>
      <c r="GH25">
        <v>2.3754900000000001</v>
      </c>
      <c r="GI25">
        <v>1.5979000000000001</v>
      </c>
      <c r="GJ25">
        <v>2.4072300000000002</v>
      </c>
      <c r="GK25">
        <v>35.3827</v>
      </c>
      <c r="GL25">
        <v>24.157499999999999</v>
      </c>
      <c r="GM25">
        <v>18</v>
      </c>
      <c r="GN25">
        <v>365.149</v>
      </c>
      <c r="GO25">
        <v>678.12800000000004</v>
      </c>
      <c r="GP25">
        <v>25.829899999999999</v>
      </c>
      <c r="GQ25">
        <v>28.166399999999999</v>
      </c>
      <c r="GR25">
        <v>30.0002</v>
      </c>
      <c r="GS25">
        <v>28.0989</v>
      </c>
      <c r="GT25">
        <v>28.1294</v>
      </c>
      <c r="GU25">
        <v>27.873100000000001</v>
      </c>
      <c r="GV25">
        <v>32.183799999999998</v>
      </c>
      <c r="GW25">
        <v>0</v>
      </c>
      <c r="GX25">
        <v>25.83</v>
      </c>
      <c r="GY25">
        <v>600</v>
      </c>
      <c r="GZ25">
        <v>19.5</v>
      </c>
      <c r="HA25">
        <v>100.33799999999999</v>
      </c>
      <c r="HB25">
        <v>69.212500000000006</v>
      </c>
    </row>
    <row r="26" spans="1:210" x14ac:dyDescent="0.3">
      <c r="A26">
        <v>10</v>
      </c>
      <c r="B26">
        <v>1752076161.5</v>
      </c>
      <c r="C26">
        <v>1624.900000095367</v>
      </c>
      <c r="D26" t="s">
        <v>358</v>
      </c>
      <c r="E26" t="s">
        <v>359</v>
      </c>
      <c r="F26">
        <v>15</v>
      </c>
      <c r="G26">
        <v>1752076153.75</v>
      </c>
      <c r="H26">
        <f t="shared" si="0"/>
        <v>2.5663900237968087E-3</v>
      </c>
      <c r="I26">
        <f t="shared" si="1"/>
        <v>2.5663900237968087</v>
      </c>
      <c r="J26">
        <f t="shared" si="2"/>
        <v>32.123641093693216</v>
      </c>
      <c r="K26">
        <f t="shared" si="3"/>
        <v>822.43517695395838</v>
      </c>
      <c r="L26">
        <f t="shared" si="4"/>
        <v>641.20524844630654</v>
      </c>
      <c r="M26">
        <f t="shared" si="5"/>
        <v>65.519916733006383</v>
      </c>
      <c r="N26">
        <f t="shared" si="6"/>
        <v>84.038433002363405</v>
      </c>
      <c r="O26">
        <f t="shared" si="7"/>
        <v>0.31855713831632004</v>
      </c>
      <c r="P26">
        <f t="shared" si="8"/>
        <v>2.42659306490112</v>
      </c>
      <c r="Q26">
        <f t="shared" si="9"/>
        <v>0.29732158063568892</v>
      </c>
      <c r="R26">
        <f t="shared" si="10"/>
        <v>0.18761678861085074</v>
      </c>
      <c r="S26">
        <f t="shared" si="11"/>
        <v>182.56984100000003</v>
      </c>
      <c r="T26">
        <f t="shared" si="12"/>
        <v>27.452184796762442</v>
      </c>
      <c r="U26">
        <f t="shared" si="13"/>
        <v>26.263066666666671</v>
      </c>
      <c r="V26">
        <f t="shared" si="14"/>
        <v>3.4271423345541834</v>
      </c>
      <c r="W26">
        <f t="shared" si="15"/>
        <v>71.980671856328939</v>
      </c>
      <c r="X26">
        <f t="shared" si="16"/>
        <v>2.5710215655693078</v>
      </c>
      <c r="Y26">
        <f t="shared" si="17"/>
        <v>3.5718221284471792</v>
      </c>
      <c r="Z26">
        <f t="shared" si="18"/>
        <v>0.85612076898487555</v>
      </c>
      <c r="AA26">
        <f t="shared" si="19"/>
        <v>-113.17780004943927</v>
      </c>
      <c r="AB26">
        <f t="shared" si="20"/>
        <v>91.836948616143687</v>
      </c>
      <c r="AC26">
        <f t="shared" si="21"/>
        <v>8.1361488970753495</v>
      </c>
      <c r="AD26">
        <f t="shared" si="22"/>
        <v>169.36513846377977</v>
      </c>
      <c r="AE26">
        <f t="shared" si="23"/>
        <v>32.123641093693216</v>
      </c>
      <c r="AF26">
        <f t="shared" si="24"/>
        <v>2.5663900237968087</v>
      </c>
      <c r="AG26">
        <f t="shared" si="25"/>
        <v>32.132293506641822</v>
      </c>
      <c r="AH26">
        <v>917.92812629953164</v>
      </c>
      <c r="AI26">
        <v>844.20497575757599</v>
      </c>
      <c r="AJ26">
        <v>4.5344604996121402E-5</v>
      </c>
      <c r="AK26">
        <v>84.077294511207981</v>
      </c>
      <c r="AL26">
        <f t="shared" si="26"/>
        <v>2.5627600481560737</v>
      </c>
      <c r="AM26">
        <v>19.532792646621829</v>
      </c>
      <c r="AN26">
        <v>25.15282090225562</v>
      </c>
      <c r="AO26">
        <v>-1.837330555006711E-6</v>
      </c>
      <c r="AP26">
        <v>90.497705113126258</v>
      </c>
      <c r="AQ26">
        <v>1</v>
      </c>
      <c r="AR26">
        <v>0</v>
      </c>
      <c r="AS26">
        <f t="shared" si="27"/>
        <v>1.0000278094574608</v>
      </c>
      <c r="AT26">
        <f t="shared" si="28"/>
        <v>2.780945746083674E-3</v>
      </c>
      <c r="AU26">
        <f t="shared" si="29"/>
        <v>53939.984852026988</v>
      </c>
      <c r="AV26">
        <f t="shared" si="30"/>
        <v>960.89390000000014</v>
      </c>
      <c r="AW26">
        <f t="shared" si="31"/>
        <v>768.71512000000018</v>
      </c>
      <c r="AX26">
        <f t="shared" si="32"/>
        <v>0.8</v>
      </c>
      <c r="AY26">
        <f t="shared" si="33"/>
        <v>0.19</v>
      </c>
      <c r="AZ26">
        <v>9</v>
      </c>
      <c r="BA26">
        <v>1.88</v>
      </c>
      <c r="BB26" t="s">
        <v>336</v>
      </c>
      <c r="BC26">
        <v>2</v>
      </c>
      <c r="BD26" t="b">
        <v>0</v>
      </c>
      <c r="BE26">
        <v>1752076153.75</v>
      </c>
      <c r="BF26">
        <v>822.97116666666659</v>
      </c>
      <c r="BG26">
        <v>899.98356666666655</v>
      </c>
      <c r="BH26">
        <v>25.161090000000009</v>
      </c>
      <c r="BI26">
        <v>19.53332666666666</v>
      </c>
      <c r="BJ26">
        <v>818.17496666666659</v>
      </c>
      <c r="BK26">
        <v>24.902116666666679</v>
      </c>
      <c r="BL26">
        <v>400.08273333333341</v>
      </c>
      <c r="BM26">
        <v>102.0823</v>
      </c>
      <c r="BN26">
        <v>0.10013985333333331</v>
      </c>
      <c r="BO26">
        <v>26.96506333333334</v>
      </c>
      <c r="BP26">
        <v>26.263066666666671</v>
      </c>
      <c r="BQ26">
        <v>999.9000000000002</v>
      </c>
      <c r="BR26">
        <v>0</v>
      </c>
      <c r="BS26">
        <v>0</v>
      </c>
      <c r="BT26">
        <v>9991.4</v>
      </c>
      <c r="BU26">
        <v>960.89390000000014</v>
      </c>
      <c r="BV26">
        <v>16.363</v>
      </c>
      <c r="BW26">
        <v>-77.012346666666673</v>
      </c>
      <c r="BX26">
        <v>844.21253333333345</v>
      </c>
      <c r="BY26">
        <v>917.91339999999991</v>
      </c>
      <c r="BZ26">
        <v>5.6277656666666651</v>
      </c>
      <c r="CA26">
        <v>899.98356666666655</v>
      </c>
      <c r="CB26">
        <v>19.53332666666666</v>
      </c>
      <c r="CC26">
        <v>2.5685026666666659</v>
      </c>
      <c r="CD26">
        <v>1.9940070000000001</v>
      </c>
      <c r="CE26">
        <v>21.467216666666669</v>
      </c>
      <c r="CF26">
        <v>17.396826666666659</v>
      </c>
      <c r="CG26">
        <v>1752074301.5999999</v>
      </c>
      <c r="CH26" t="s">
        <v>337</v>
      </c>
      <c r="CI26">
        <v>1752074299.5999999</v>
      </c>
      <c r="CJ26">
        <v>1752074301.5999999</v>
      </c>
      <c r="CK26">
        <v>4</v>
      </c>
      <c r="CL26">
        <v>-0.28000000000000003</v>
      </c>
      <c r="CM26">
        <v>5.8999999999999997E-2</v>
      </c>
      <c r="CN26">
        <v>1.294</v>
      </c>
      <c r="CO26">
        <v>0.25900000000000001</v>
      </c>
      <c r="CP26">
        <v>450</v>
      </c>
      <c r="CQ26">
        <v>19</v>
      </c>
      <c r="CR26">
        <v>0.03</v>
      </c>
      <c r="CS26">
        <v>0.02</v>
      </c>
      <c r="CT26">
        <v>-77.016258536585369</v>
      </c>
      <c r="CU26">
        <v>-0.22448153310098709</v>
      </c>
      <c r="CV26">
        <v>5.8679543016200257E-2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5.6315007317073169</v>
      </c>
      <c r="DC26">
        <v>-7.8348083623683951E-2</v>
      </c>
      <c r="DD26">
        <v>7.7705828610979862E-3</v>
      </c>
      <c r="DE26">
        <v>1</v>
      </c>
      <c r="DF26">
        <v>2</v>
      </c>
      <c r="DG26">
        <v>2</v>
      </c>
      <c r="DH26" t="s">
        <v>338</v>
      </c>
      <c r="DI26">
        <v>3.0245600000000001</v>
      </c>
      <c r="DJ26">
        <v>2.6912699999999998</v>
      </c>
      <c r="DK26">
        <v>0.15557099999999999</v>
      </c>
      <c r="DL26">
        <v>0.16645699999999999</v>
      </c>
      <c r="DM26">
        <v>0.12428500000000001</v>
      </c>
      <c r="DN26">
        <v>0.105208</v>
      </c>
      <c r="DO26">
        <v>23493.1</v>
      </c>
      <c r="DP26">
        <v>15343.4</v>
      </c>
      <c r="DQ26">
        <v>26400.2</v>
      </c>
      <c r="DR26">
        <v>16731.3</v>
      </c>
      <c r="DS26">
        <v>32889.599999999999</v>
      </c>
      <c r="DT26">
        <v>19559.099999999999</v>
      </c>
      <c r="DU26">
        <v>38466.5</v>
      </c>
      <c r="DV26">
        <v>22174.6</v>
      </c>
      <c r="DW26">
        <v>1.79226</v>
      </c>
      <c r="DX26">
        <v>2.1896</v>
      </c>
      <c r="DY26">
        <v>7.1054699999999998E-2</v>
      </c>
      <c r="DZ26">
        <v>0</v>
      </c>
      <c r="EA26">
        <v>25.0961</v>
      </c>
      <c r="EB26">
        <v>999.9</v>
      </c>
      <c r="EC26">
        <v>55.1</v>
      </c>
      <c r="ED26">
        <v>32.299999999999997</v>
      </c>
      <c r="EE26">
        <v>26.215199999999999</v>
      </c>
      <c r="EF26">
        <v>62.781799999999997</v>
      </c>
      <c r="EG26">
        <v>34.042499999999997</v>
      </c>
      <c r="EH26">
        <v>1</v>
      </c>
      <c r="EI26">
        <v>8.4172800000000006E-2</v>
      </c>
      <c r="EJ26">
        <v>0.18034900000000001</v>
      </c>
      <c r="EK26">
        <v>20.3429</v>
      </c>
      <c r="EL26">
        <v>5.2488000000000001</v>
      </c>
      <c r="EM26">
        <v>11.962</v>
      </c>
      <c r="EN26">
        <v>4.9896799999999999</v>
      </c>
      <c r="EO26">
        <v>3.2916799999999999</v>
      </c>
      <c r="EP26">
        <v>9999</v>
      </c>
      <c r="EQ26">
        <v>9999</v>
      </c>
      <c r="ER26">
        <v>9999</v>
      </c>
      <c r="ES26">
        <v>999.9</v>
      </c>
      <c r="ET26">
        <v>4.9726800000000004</v>
      </c>
      <c r="EU26">
        <v>1.87185</v>
      </c>
      <c r="EV26">
        <v>1.8721099999999999</v>
      </c>
      <c r="EW26">
        <v>1.87714</v>
      </c>
      <c r="EX26">
        <v>1.87134</v>
      </c>
      <c r="EY26">
        <v>1.8721000000000001</v>
      </c>
      <c r="EZ26">
        <v>1.8717299999999999</v>
      </c>
      <c r="FA26">
        <v>1.8686400000000001</v>
      </c>
      <c r="FB26">
        <v>0</v>
      </c>
      <c r="FC26">
        <v>0</v>
      </c>
      <c r="FD26">
        <v>0</v>
      </c>
      <c r="FE26">
        <v>0</v>
      </c>
      <c r="FF26" t="s">
        <v>339</v>
      </c>
      <c r="FG26" t="s">
        <v>340</v>
      </c>
      <c r="FH26" t="s">
        <v>341</v>
      </c>
      <c r="FI26" t="s">
        <v>341</v>
      </c>
      <c r="FJ26" t="s">
        <v>341</v>
      </c>
      <c r="FK26" t="s">
        <v>341</v>
      </c>
      <c r="FL26">
        <v>0</v>
      </c>
      <c r="FM26">
        <v>100</v>
      </c>
      <c r="FN26">
        <v>100</v>
      </c>
      <c r="FO26">
        <v>4.7969999999999997</v>
      </c>
      <c r="FP26">
        <v>0.25900000000000001</v>
      </c>
      <c r="FQ26">
        <v>-2.452151080185113</v>
      </c>
      <c r="FR26">
        <v>7.6898218637449396E-3</v>
      </c>
      <c r="FS26">
        <v>1.5097418776848419E-6</v>
      </c>
      <c r="FT26">
        <v>-9.8458676114205118E-11</v>
      </c>
      <c r="FU26">
        <v>0.25897999999999749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31</v>
      </c>
      <c r="GD26">
        <v>31</v>
      </c>
      <c r="GE26">
        <v>1.93848</v>
      </c>
      <c r="GF26">
        <v>2.63184</v>
      </c>
      <c r="GG26">
        <v>1.7981</v>
      </c>
      <c r="GH26">
        <v>2.3742700000000001</v>
      </c>
      <c r="GI26">
        <v>1.5979000000000001</v>
      </c>
      <c r="GJ26">
        <v>2.50366</v>
      </c>
      <c r="GK26">
        <v>35.3827</v>
      </c>
      <c r="GL26">
        <v>24.1663</v>
      </c>
      <c r="GM26">
        <v>18</v>
      </c>
      <c r="GN26">
        <v>365.40499999999997</v>
      </c>
      <c r="GO26">
        <v>678.70299999999997</v>
      </c>
      <c r="GP26">
        <v>25.830100000000002</v>
      </c>
      <c r="GQ26">
        <v>28.185400000000001</v>
      </c>
      <c r="GR26">
        <v>30.0001</v>
      </c>
      <c r="GS26">
        <v>28.117799999999999</v>
      </c>
      <c r="GT26">
        <v>28.148599999999998</v>
      </c>
      <c r="GU26">
        <v>38.769399999999997</v>
      </c>
      <c r="GV26">
        <v>32.457000000000001</v>
      </c>
      <c r="GW26">
        <v>0</v>
      </c>
      <c r="GX26">
        <v>25.83</v>
      </c>
      <c r="GY26">
        <v>900</v>
      </c>
      <c r="GZ26">
        <v>19.5</v>
      </c>
      <c r="HA26">
        <v>100.33</v>
      </c>
      <c r="HB26">
        <v>69.211299999999994</v>
      </c>
    </row>
    <row r="27" spans="1:210" x14ac:dyDescent="0.3">
      <c r="A27">
        <v>11</v>
      </c>
      <c r="B27">
        <v>1752076342</v>
      </c>
      <c r="C27">
        <v>1805.400000095367</v>
      </c>
      <c r="D27" t="s">
        <v>360</v>
      </c>
      <c r="E27" t="s">
        <v>361</v>
      </c>
      <c r="F27">
        <v>15</v>
      </c>
      <c r="G27">
        <v>1752076334.25</v>
      </c>
      <c r="H27">
        <f t="shared" si="0"/>
        <v>2.4209072332279685E-3</v>
      </c>
      <c r="I27">
        <f t="shared" si="1"/>
        <v>2.4209072332279686</v>
      </c>
      <c r="J27">
        <f t="shared" si="2"/>
        <v>33.70861674408301</v>
      </c>
      <c r="K27">
        <f t="shared" si="3"/>
        <v>1117.5201807430617</v>
      </c>
      <c r="L27">
        <f t="shared" si="4"/>
        <v>903.8701791371243</v>
      </c>
      <c r="M27">
        <f t="shared" si="5"/>
        <v>92.35841272340862</v>
      </c>
      <c r="N27">
        <f t="shared" si="6"/>
        <v>114.18939628956136</v>
      </c>
      <c r="O27">
        <f t="shared" si="7"/>
        <v>0.2856210049529882</v>
      </c>
      <c r="P27">
        <f t="shared" si="8"/>
        <v>2.4274668893733375</v>
      </c>
      <c r="Q27">
        <f t="shared" si="9"/>
        <v>0.26842927460301208</v>
      </c>
      <c r="R27">
        <f t="shared" si="10"/>
        <v>0.16922731450512585</v>
      </c>
      <c r="S27">
        <f t="shared" si="11"/>
        <v>182.54879533333337</v>
      </c>
      <c r="T27">
        <f t="shared" si="12"/>
        <v>27.508927156543422</v>
      </c>
      <c r="U27">
        <f t="shared" si="13"/>
        <v>26.27887333333334</v>
      </c>
      <c r="V27">
        <f t="shared" si="14"/>
        <v>3.4303428485027778</v>
      </c>
      <c r="W27">
        <f t="shared" si="15"/>
        <v>70.94151457719623</v>
      </c>
      <c r="X27">
        <f t="shared" si="16"/>
        <v>2.5356965664876085</v>
      </c>
      <c r="Y27">
        <f t="shared" si="17"/>
        <v>3.5743479422452236</v>
      </c>
      <c r="Z27">
        <f t="shared" si="18"/>
        <v>0.89464628201516927</v>
      </c>
      <c r="AA27">
        <f t="shared" si="19"/>
        <v>-106.76200898535342</v>
      </c>
      <c r="AB27">
        <f t="shared" si="20"/>
        <v>91.37620481091659</v>
      </c>
      <c r="AC27">
        <f t="shared" si="21"/>
        <v>8.093543770860224</v>
      </c>
      <c r="AD27">
        <f t="shared" si="22"/>
        <v>175.25653492975678</v>
      </c>
      <c r="AE27">
        <f t="shared" si="23"/>
        <v>33.70861674408301</v>
      </c>
      <c r="AF27">
        <f t="shared" si="24"/>
        <v>2.4209072332279686</v>
      </c>
      <c r="AG27">
        <f t="shared" si="25"/>
        <v>33.688516071449456</v>
      </c>
      <c r="AH27">
        <v>1223.8416098847631</v>
      </c>
      <c r="AI27">
        <v>1146.54090909091</v>
      </c>
      <c r="AJ27">
        <v>-1.03442498498788E-3</v>
      </c>
      <c r="AK27">
        <v>84.077294511207981</v>
      </c>
      <c r="AL27">
        <f t="shared" si="26"/>
        <v>2.4130146266608095</v>
      </c>
      <c r="AM27">
        <v>19.504471878496869</v>
      </c>
      <c r="AN27">
        <v>24.799300150375931</v>
      </c>
      <c r="AO27">
        <v>-6.4709293348891346E-7</v>
      </c>
      <c r="AP27">
        <v>90.497705113126258</v>
      </c>
      <c r="AQ27">
        <v>1</v>
      </c>
      <c r="AR27">
        <v>0</v>
      </c>
      <c r="AS27">
        <f t="shared" si="27"/>
        <v>1.0000277954753547</v>
      </c>
      <c r="AT27">
        <f t="shared" si="28"/>
        <v>2.7795475354697174E-3</v>
      </c>
      <c r="AU27">
        <f t="shared" si="29"/>
        <v>53967.117815887177</v>
      </c>
      <c r="AV27">
        <f t="shared" si="30"/>
        <v>960.78313333333347</v>
      </c>
      <c r="AW27">
        <f t="shared" si="31"/>
        <v>768.62650666666684</v>
      </c>
      <c r="AX27">
        <f t="shared" si="32"/>
        <v>0.8</v>
      </c>
      <c r="AY27">
        <f t="shared" si="33"/>
        <v>0.19</v>
      </c>
      <c r="AZ27">
        <v>9</v>
      </c>
      <c r="BA27">
        <v>1.88</v>
      </c>
      <c r="BB27" t="s">
        <v>336</v>
      </c>
      <c r="BC27">
        <v>2</v>
      </c>
      <c r="BD27" t="b">
        <v>0</v>
      </c>
      <c r="BE27">
        <v>1752076334.25</v>
      </c>
      <c r="BF27">
        <v>1118.0823333333331</v>
      </c>
      <c r="BG27">
        <v>1200.0176666666671</v>
      </c>
      <c r="BH27">
        <v>24.815719999999999</v>
      </c>
      <c r="BI27">
        <v>19.503820000000001</v>
      </c>
      <c r="BJ27">
        <v>1110.270666666667</v>
      </c>
      <c r="BK27">
        <v>24.55674333333333</v>
      </c>
      <c r="BL27">
        <v>399.98626666666672</v>
      </c>
      <c r="BM27">
        <v>102.0810666666667</v>
      </c>
      <c r="BN27">
        <v>9.9993020000000016E-2</v>
      </c>
      <c r="BO27">
        <v>26.977096666666672</v>
      </c>
      <c r="BP27">
        <v>26.27887333333334</v>
      </c>
      <c r="BQ27">
        <v>999.9000000000002</v>
      </c>
      <c r="BR27">
        <v>0</v>
      </c>
      <c r="BS27">
        <v>0</v>
      </c>
      <c r="BT27">
        <v>9997.1833333333325</v>
      </c>
      <c r="BU27">
        <v>960.78313333333347</v>
      </c>
      <c r="BV27">
        <v>16.363</v>
      </c>
      <c r="BW27">
        <v>-81.935783333333347</v>
      </c>
      <c r="BX27">
        <v>1146.5346666666669</v>
      </c>
      <c r="BY27">
        <v>1223.8879999999999</v>
      </c>
      <c r="BZ27">
        <v>5.3119016666666674</v>
      </c>
      <c r="CA27">
        <v>1200.0176666666671</v>
      </c>
      <c r="CB27">
        <v>19.503820000000001</v>
      </c>
      <c r="CC27">
        <v>2.5332133333333329</v>
      </c>
      <c r="CD27">
        <v>1.990969</v>
      </c>
      <c r="CE27">
        <v>21.241479999999999</v>
      </c>
      <c r="CF27">
        <v>17.37269666666667</v>
      </c>
      <c r="CG27">
        <v>1752074301.5999999</v>
      </c>
      <c r="CH27" t="s">
        <v>337</v>
      </c>
      <c r="CI27">
        <v>1752074299.5999999</v>
      </c>
      <c r="CJ27">
        <v>1752074301.5999999</v>
      </c>
      <c r="CK27">
        <v>4</v>
      </c>
      <c r="CL27">
        <v>-0.28000000000000003</v>
      </c>
      <c r="CM27">
        <v>5.8999999999999997E-2</v>
      </c>
      <c r="CN27">
        <v>1.294</v>
      </c>
      <c r="CO27">
        <v>0.25900000000000001</v>
      </c>
      <c r="CP27">
        <v>450</v>
      </c>
      <c r="CQ27">
        <v>19</v>
      </c>
      <c r="CR27">
        <v>0.03</v>
      </c>
      <c r="CS27">
        <v>0.02</v>
      </c>
      <c r="CT27">
        <v>-81.940955000000002</v>
      </c>
      <c r="CU27">
        <v>0.2346258911821725</v>
      </c>
      <c r="CV27">
        <v>9.5156216165838525E-2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5.3172112499999997</v>
      </c>
      <c r="DC27">
        <v>-0.12611786116324011</v>
      </c>
      <c r="DD27">
        <v>1.216842618983649E-2</v>
      </c>
      <c r="DE27">
        <v>0</v>
      </c>
      <c r="DF27">
        <v>1</v>
      </c>
      <c r="DG27">
        <v>2</v>
      </c>
      <c r="DH27" t="s">
        <v>362</v>
      </c>
      <c r="DI27">
        <v>3.0244</v>
      </c>
      <c r="DJ27">
        <v>2.6915200000000001</v>
      </c>
      <c r="DK27">
        <v>0.189107</v>
      </c>
      <c r="DL27">
        <v>0.19961100000000001</v>
      </c>
      <c r="DM27">
        <v>0.12305000000000001</v>
      </c>
      <c r="DN27">
        <v>0.10509499999999999</v>
      </c>
      <c r="DO27">
        <v>22559</v>
      </c>
      <c r="DP27">
        <v>14732.4</v>
      </c>
      <c r="DQ27">
        <v>26399.1</v>
      </c>
      <c r="DR27">
        <v>16730.5</v>
      </c>
      <c r="DS27">
        <v>32936.5</v>
      </c>
      <c r="DT27">
        <v>19561.099999999999</v>
      </c>
      <c r="DU27">
        <v>38464.699999999997</v>
      </c>
      <c r="DV27">
        <v>22173.4</v>
      </c>
      <c r="DW27">
        <v>1.7914600000000001</v>
      </c>
      <c r="DX27">
        <v>2.1900599999999999</v>
      </c>
      <c r="DY27">
        <v>7.1322899999999995E-2</v>
      </c>
      <c r="DZ27">
        <v>0</v>
      </c>
      <c r="EA27">
        <v>25.105799999999999</v>
      </c>
      <c r="EB27">
        <v>999.9</v>
      </c>
      <c r="EC27">
        <v>55.1</v>
      </c>
      <c r="ED27">
        <v>32.299999999999997</v>
      </c>
      <c r="EE27">
        <v>26.2182</v>
      </c>
      <c r="EF27">
        <v>62.471800000000002</v>
      </c>
      <c r="EG27">
        <v>34.078499999999998</v>
      </c>
      <c r="EH27">
        <v>1</v>
      </c>
      <c r="EI27">
        <v>8.5483699999999996E-2</v>
      </c>
      <c r="EJ27">
        <v>0.186976</v>
      </c>
      <c r="EK27">
        <v>20.3428</v>
      </c>
      <c r="EL27">
        <v>5.2517899999999997</v>
      </c>
      <c r="EM27">
        <v>11.962</v>
      </c>
      <c r="EN27">
        <v>4.9897200000000002</v>
      </c>
      <c r="EO27">
        <v>3.2916400000000001</v>
      </c>
      <c r="EP27">
        <v>9999</v>
      </c>
      <c r="EQ27">
        <v>9999</v>
      </c>
      <c r="ER27">
        <v>9999</v>
      </c>
      <c r="ES27">
        <v>999.9</v>
      </c>
      <c r="ET27">
        <v>4.9726900000000001</v>
      </c>
      <c r="EU27">
        <v>1.8718399999999999</v>
      </c>
      <c r="EV27">
        <v>1.8721099999999999</v>
      </c>
      <c r="EW27">
        <v>1.87714</v>
      </c>
      <c r="EX27">
        <v>1.87134</v>
      </c>
      <c r="EY27">
        <v>1.87209</v>
      </c>
      <c r="EZ27">
        <v>1.8717200000000001</v>
      </c>
      <c r="FA27">
        <v>1.86869</v>
      </c>
      <c r="FB27">
        <v>0</v>
      </c>
      <c r="FC27">
        <v>0</v>
      </c>
      <c r="FD27">
        <v>0</v>
      </c>
      <c r="FE27">
        <v>0</v>
      </c>
      <c r="FF27" t="s">
        <v>339</v>
      </c>
      <c r="FG27" t="s">
        <v>340</v>
      </c>
      <c r="FH27" t="s">
        <v>341</v>
      </c>
      <c r="FI27" t="s">
        <v>341</v>
      </c>
      <c r="FJ27" t="s">
        <v>341</v>
      </c>
      <c r="FK27" t="s">
        <v>341</v>
      </c>
      <c r="FL27">
        <v>0</v>
      </c>
      <c r="FM27">
        <v>100</v>
      </c>
      <c r="FN27">
        <v>100</v>
      </c>
      <c r="FO27">
        <v>7.81</v>
      </c>
      <c r="FP27">
        <v>0.25890000000000002</v>
      </c>
      <c r="FQ27">
        <v>-2.452151080185113</v>
      </c>
      <c r="FR27">
        <v>7.6898218637449396E-3</v>
      </c>
      <c r="FS27">
        <v>1.5097418776848419E-6</v>
      </c>
      <c r="FT27">
        <v>-9.8458676114205118E-11</v>
      </c>
      <c r="FU27">
        <v>0.25897999999999749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34</v>
      </c>
      <c r="GD27">
        <v>34</v>
      </c>
      <c r="GE27">
        <v>2.4536099999999998</v>
      </c>
      <c r="GF27">
        <v>2.6232899999999999</v>
      </c>
      <c r="GG27">
        <v>1.7981</v>
      </c>
      <c r="GH27">
        <v>2.3742700000000001</v>
      </c>
      <c r="GI27">
        <v>1.5979000000000001</v>
      </c>
      <c r="GJ27">
        <v>2.49756</v>
      </c>
      <c r="GK27">
        <v>35.405900000000003</v>
      </c>
      <c r="GL27">
        <v>24.1663</v>
      </c>
      <c r="GM27">
        <v>18</v>
      </c>
      <c r="GN27">
        <v>365.11700000000002</v>
      </c>
      <c r="GO27">
        <v>679.32</v>
      </c>
      <c r="GP27">
        <v>25.83</v>
      </c>
      <c r="GQ27">
        <v>28.204699999999999</v>
      </c>
      <c r="GR27">
        <v>30</v>
      </c>
      <c r="GS27">
        <v>28.136800000000001</v>
      </c>
      <c r="GT27">
        <v>28.165400000000002</v>
      </c>
      <c r="GU27">
        <v>49.0749</v>
      </c>
      <c r="GV27">
        <v>32.457000000000001</v>
      </c>
      <c r="GW27">
        <v>0</v>
      </c>
      <c r="GX27">
        <v>25.83</v>
      </c>
      <c r="GY27">
        <v>1200</v>
      </c>
      <c r="GZ27">
        <v>19.5</v>
      </c>
      <c r="HA27">
        <v>100.32599999999999</v>
      </c>
      <c r="HB27">
        <v>69.207800000000006</v>
      </c>
    </row>
    <row r="28" spans="1:210" x14ac:dyDescent="0.3">
      <c r="A28">
        <v>12</v>
      </c>
      <c r="B28">
        <v>1752076522.5999999</v>
      </c>
      <c r="C28">
        <v>1986</v>
      </c>
      <c r="D28" t="s">
        <v>363</v>
      </c>
      <c r="E28" t="s">
        <v>364</v>
      </c>
      <c r="F28">
        <v>15</v>
      </c>
      <c r="G28">
        <v>1752076514.849999</v>
      </c>
      <c r="H28">
        <f t="shared" si="0"/>
        <v>2.2556377778623201E-3</v>
      </c>
      <c r="I28">
        <f t="shared" si="1"/>
        <v>2.25563777786232</v>
      </c>
      <c r="J28">
        <f t="shared" si="2"/>
        <v>33.948685283739728</v>
      </c>
      <c r="K28">
        <f t="shared" si="3"/>
        <v>1515.3619645202814</v>
      </c>
      <c r="L28">
        <f t="shared" si="4"/>
        <v>1268.3806738892322</v>
      </c>
      <c r="M28">
        <f t="shared" si="5"/>
        <v>129.60538378425588</v>
      </c>
      <c r="N28">
        <f t="shared" si="6"/>
        <v>154.84236950843558</v>
      </c>
      <c r="O28">
        <f t="shared" si="7"/>
        <v>0.25189599067960661</v>
      </c>
      <c r="P28">
        <f t="shared" si="8"/>
        <v>2.4278883843012782</v>
      </c>
      <c r="Q28">
        <f t="shared" si="9"/>
        <v>0.23842468890433807</v>
      </c>
      <c r="R28">
        <f t="shared" si="10"/>
        <v>0.15016620375777767</v>
      </c>
      <c r="S28">
        <f t="shared" si="11"/>
        <v>182.55267133333331</v>
      </c>
      <c r="T28">
        <f t="shared" si="12"/>
        <v>27.574743634338443</v>
      </c>
      <c r="U28">
        <f t="shared" si="13"/>
        <v>26.303686666666671</v>
      </c>
      <c r="V28">
        <f t="shared" si="14"/>
        <v>3.4353722856657254</v>
      </c>
      <c r="W28">
        <f t="shared" si="15"/>
        <v>69.790966424286765</v>
      </c>
      <c r="X28">
        <f t="shared" si="16"/>
        <v>2.4967332393439499</v>
      </c>
      <c r="Y28">
        <f t="shared" si="17"/>
        <v>3.5774447142131907</v>
      </c>
      <c r="Z28">
        <f t="shared" si="18"/>
        <v>0.93863904632177553</v>
      </c>
      <c r="AA28">
        <f t="shared" si="19"/>
        <v>-99.473626003728313</v>
      </c>
      <c r="AB28">
        <f t="shared" si="20"/>
        <v>90.073985334736093</v>
      </c>
      <c r="AC28">
        <f t="shared" si="21"/>
        <v>7.9783955294837119</v>
      </c>
      <c r="AD28">
        <f t="shared" si="22"/>
        <v>181.13142619382481</v>
      </c>
      <c r="AE28">
        <f t="shared" si="23"/>
        <v>33.948685283739728</v>
      </c>
      <c r="AF28">
        <f t="shared" si="24"/>
        <v>2.25563777786232</v>
      </c>
      <c r="AG28">
        <f t="shared" si="25"/>
        <v>33.872550305017775</v>
      </c>
      <c r="AH28">
        <v>1631.838478917226</v>
      </c>
      <c r="AI28">
        <v>1553.9427272727271</v>
      </c>
      <c r="AJ28">
        <v>2.048606224388962E-2</v>
      </c>
      <c r="AK28">
        <v>84.077294511207981</v>
      </c>
      <c r="AL28">
        <f t="shared" si="26"/>
        <v>2.247013553508685</v>
      </c>
      <c r="AM28">
        <v>19.484931574411618</v>
      </c>
      <c r="AN28">
        <v>24.4177166917293</v>
      </c>
      <c r="AO28">
        <v>-1.043493134505638E-4</v>
      </c>
      <c r="AP28">
        <v>90.497705113126258</v>
      </c>
      <c r="AQ28">
        <v>1</v>
      </c>
      <c r="AR28">
        <v>0</v>
      </c>
      <c r="AS28">
        <f t="shared" si="27"/>
        <v>1.0000277895498682</v>
      </c>
      <c r="AT28">
        <f t="shared" si="28"/>
        <v>2.7789549868151298E-3</v>
      </c>
      <c r="AU28">
        <f t="shared" si="29"/>
        <v>53978.624750774958</v>
      </c>
      <c r="AV28">
        <f t="shared" si="30"/>
        <v>960.80353333333312</v>
      </c>
      <c r="AW28">
        <f t="shared" si="31"/>
        <v>768.64282666666656</v>
      </c>
      <c r="AX28">
        <f t="shared" si="32"/>
        <v>0.8</v>
      </c>
      <c r="AY28">
        <f t="shared" si="33"/>
        <v>0.19</v>
      </c>
      <c r="AZ28">
        <v>9</v>
      </c>
      <c r="BA28">
        <v>1.88</v>
      </c>
      <c r="BB28" t="s">
        <v>336</v>
      </c>
      <c r="BC28">
        <v>2</v>
      </c>
      <c r="BD28" t="b">
        <v>0</v>
      </c>
      <c r="BE28">
        <v>1752076514.849999</v>
      </c>
      <c r="BF28">
        <v>1515.9280000000001</v>
      </c>
      <c r="BG28">
        <v>1599.995333333334</v>
      </c>
      <c r="BH28">
        <v>24.434233333333331</v>
      </c>
      <c r="BI28">
        <v>19.483709999999999</v>
      </c>
      <c r="BJ28">
        <v>1503.7376666666671</v>
      </c>
      <c r="BK28">
        <v>24.175259999999991</v>
      </c>
      <c r="BL28">
        <v>400.04140000000012</v>
      </c>
      <c r="BM28">
        <v>102.0817333333334</v>
      </c>
      <c r="BN28">
        <v>0.10003784333333331</v>
      </c>
      <c r="BO28">
        <v>26.99184</v>
      </c>
      <c r="BP28">
        <v>26.303686666666671</v>
      </c>
      <c r="BQ28">
        <v>999.9000000000002</v>
      </c>
      <c r="BR28">
        <v>0</v>
      </c>
      <c r="BS28">
        <v>0</v>
      </c>
      <c r="BT28">
        <v>9999.85</v>
      </c>
      <c r="BU28">
        <v>960.80353333333312</v>
      </c>
      <c r="BV28">
        <v>16.363</v>
      </c>
      <c r="BW28">
        <v>-84.067960000000014</v>
      </c>
      <c r="BX28">
        <v>1553.8953333333329</v>
      </c>
      <c r="BY28">
        <v>1631.789</v>
      </c>
      <c r="BZ28">
        <v>4.9505273333333353</v>
      </c>
      <c r="CA28">
        <v>1599.995333333334</v>
      </c>
      <c r="CB28">
        <v>19.483709999999999</v>
      </c>
      <c r="CC28">
        <v>2.494289333333334</v>
      </c>
      <c r="CD28">
        <v>1.988931666666667</v>
      </c>
      <c r="CE28">
        <v>20.98927333333334</v>
      </c>
      <c r="CF28">
        <v>17.356486666666669</v>
      </c>
      <c r="CG28">
        <v>1752074301.5999999</v>
      </c>
      <c r="CH28" t="s">
        <v>337</v>
      </c>
      <c r="CI28">
        <v>1752074299.5999999</v>
      </c>
      <c r="CJ28">
        <v>1752074301.5999999</v>
      </c>
      <c r="CK28">
        <v>4</v>
      </c>
      <c r="CL28">
        <v>-0.28000000000000003</v>
      </c>
      <c r="CM28">
        <v>5.8999999999999997E-2</v>
      </c>
      <c r="CN28">
        <v>1.294</v>
      </c>
      <c r="CO28">
        <v>0.25900000000000001</v>
      </c>
      <c r="CP28">
        <v>450</v>
      </c>
      <c r="CQ28">
        <v>19</v>
      </c>
      <c r="CR28">
        <v>0.03</v>
      </c>
      <c r="CS28">
        <v>0.02</v>
      </c>
      <c r="CT28">
        <v>-84.037675609756107</v>
      </c>
      <c r="CU28">
        <v>-0.45258494099494773</v>
      </c>
      <c r="CV28">
        <v>8.0654807306827114E-2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4.9573319512195129</v>
      </c>
      <c r="DC28">
        <v>-0.13059660731067221</v>
      </c>
      <c r="DD28">
        <v>1.2696593401287719E-2</v>
      </c>
      <c r="DE28">
        <v>0</v>
      </c>
      <c r="DF28">
        <v>1</v>
      </c>
      <c r="DG28">
        <v>2</v>
      </c>
      <c r="DH28" t="s">
        <v>362</v>
      </c>
      <c r="DI28">
        <v>3.0243799999999998</v>
      </c>
      <c r="DJ28">
        <v>2.69116</v>
      </c>
      <c r="DK28">
        <v>0.22744500000000001</v>
      </c>
      <c r="DL28">
        <v>0.237373</v>
      </c>
      <c r="DM28">
        <v>0.121709</v>
      </c>
      <c r="DN28">
        <v>0.105013</v>
      </c>
      <c r="DO28">
        <v>21492</v>
      </c>
      <c r="DP28">
        <v>14036.3</v>
      </c>
      <c r="DQ28">
        <v>26399</v>
      </c>
      <c r="DR28">
        <v>16729.599999999999</v>
      </c>
      <c r="DS28">
        <v>32989.300000000003</v>
      </c>
      <c r="DT28">
        <v>19562.7</v>
      </c>
      <c r="DU28">
        <v>38465</v>
      </c>
      <c r="DV28">
        <v>22172.5</v>
      </c>
      <c r="DW28">
        <v>1.79132</v>
      </c>
      <c r="DX28">
        <v>2.1909000000000001</v>
      </c>
      <c r="DY28">
        <v>7.1883199999999994E-2</v>
      </c>
      <c r="DZ28">
        <v>0</v>
      </c>
      <c r="EA28">
        <v>25.133400000000002</v>
      </c>
      <c r="EB28">
        <v>999.9</v>
      </c>
      <c r="EC28">
        <v>55</v>
      </c>
      <c r="ED28">
        <v>32.4</v>
      </c>
      <c r="EE28">
        <v>26.316500000000001</v>
      </c>
      <c r="EF28">
        <v>62.921799999999998</v>
      </c>
      <c r="EG28">
        <v>33.986400000000003</v>
      </c>
      <c r="EH28">
        <v>1</v>
      </c>
      <c r="EI28">
        <v>8.6875999999999995E-2</v>
      </c>
      <c r="EJ28">
        <v>0.195107</v>
      </c>
      <c r="EK28">
        <v>20.3428</v>
      </c>
      <c r="EL28">
        <v>5.2513100000000001</v>
      </c>
      <c r="EM28">
        <v>11.962</v>
      </c>
      <c r="EN28">
        <v>4.9896399999999996</v>
      </c>
      <c r="EO28">
        <v>3.2917399999999999</v>
      </c>
      <c r="EP28">
        <v>9999</v>
      </c>
      <c r="EQ28">
        <v>9999</v>
      </c>
      <c r="ER28">
        <v>9999</v>
      </c>
      <c r="ES28">
        <v>999.9</v>
      </c>
      <c r="ET28">
        <v>4.9726600000000003</v>
      </c>
      <c r="EU28">
        <v>1.8718399999999999</v>
      </c>
      <c r="EV28">
        <v>1.8721000000000001</v>
      </c>
      <c r="EW28">
        <v>1.87714</v>
      </c>
      <c r="EX28">
        <v>1.87134</v>
      </c>
      <c r="EY28">
        <v>1.87209</v>
      </c>
      <c r="EZ28">
        <v>1.87174</v>
      </c>
      <c r="FA28">
        <v>1.8686700000000001</v>
      </c>
      <c r="FB28">
        <v>0</v>
      </c>
      <c r="FC28">
        <v>0</v>
      </c>
      <c r="FD28">
        <v>0</v>
      </c>
      <c r="FE28">
        <v>0</v>
      </c>
      <c r="FF28" t="s">
        <v>339</v>
      </c>
      <c r="FG28" t="s">
        <v>340</v>
      </c>
      <c r="FH28" t="s">
        <v>341</v>
      </c>
      <c r="FI28" t="s">
        <v>341</v>
      </c>
      <c r="FJ28" t="s">
        <v>341</v>
      </c>
      <c r="FK28" t="s">
        <v>341</v>
      </c>
      <c r="FL28">
        <v>0</v>
      </c>
      <c r="FM28">
        <v>100</v>
      </c>
      <c r="FN28">
        <v>100</v>
      </c>
      <c r="FO28">
        <v>12.19</v>
      </c>
      <c r="FP28">
        <v>0.25890000000000002</v>
      </c>
      <c r="FQ28">
        <v>-2.452151080185113</v>
      </c>
      <c r="FR28">
        <v>7.6898218637449396E-3</v>
      </c>
      <c r="FS28">
        <v>1.5097418776848419E-6</v>
      </c>
      <c r="FT28">
        <v>-9.8458676114205118E-11</v>
      </c>
      <c r="FU28">
        <v>0.25897999999999749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37</v>
      </c>
      <c r="GD28">
        <v>37</v>
      </c>
      <c r="GE28">
        <v>3.10547</v>
      </c>
      <c r="GF28">
        <v>2.6025399999999999</v>
      </c>
      <c r="GG28">
        <v>1.7981</v>
      </c>
      <c r="GH28">
        <v>2.3742700000000001</v>
      </c>
      <c r="GI28">
        <v>1.5979000000000001</v>
      </c>
      <c r="GJ28">
        <v>2.5781200000000002</v>
      </c>
      <c r="GK28">
        <v>35.405900000000003</v>
      </c>
      <c r="GL28">
        <v>24.1663</v>
      </c>
      <c r="GM28">
        <v>18</v>
      </c>
      <c r="GN28">
        <v>365.15199999999999</v>
      </c>
      <c r="GO28">
        <v>680.30100000000004</v>
      </c>
      <c r="GP28">
        <v>25.830100000000002</v>
      </c>
      <c r="GQ28">
        <v>28.221399999999999</v>
      </c>
      <c r="GR28">
        <v>30.0002</v>
      </c>
      <c r="GS28">
        <v>28.153300000000002</v>
      </c>
      <c r="GT28">
        <v>28.1846</v>
      </c>
      <c r="GU28">
        <v>62.077500000000001</v>
      </c>
      <c r="GV28">
        <v>32.457000000000001</v>
      </c>
      <c r="GW28">
        <v>0</v>
      </c>
      <c r="GX28">
        <v>25.83</v>
      </c>
      <c r="GY28">
        <v>1600</v>
      </c>
      <c r="GZ28">
        <v>19.5</v>
      </c>
      <c r="HA28">
        <v>100.32599999999999</v>
      </c>
      <c r="HB28">
        <v>69.204499999999996</v>
      </c>
    </row>
    <row r="29" spans="1:210" x14ac:dyDescent="0.3">
      <c r="A29">
        <v>13</v>
      </c>
      <c r="B29">
        <v>1752076703.0999999</v>
      </c>
      <c r="C29">
        <v>2166.5</v>
      </c>
      <c r="D29" t="s">
        <v>365</v>
      </c>
      <c r="E29" t="s">
        <v>366</v>
      </c>
      <c r="F29">
        <v>15</v>
      </c>
      <c r="G29">
        <v>1752076695.349999</v>
      </c>
      <c r="H29">
        <f t="shared" si="0"/>
        <v>2.1125837536376106E-3</v>
      </c>
      <c r="I29">
        <f t="shared" si="1"/>
        <v>2.1125837536376104</v>
      </c>
      <c r="J29">
        <f t="shared" si="2"/>
        <v>17.487211135245115</v>
      </c>
      <c r="K29">
        <f t="shared" si="3"/>
        <v>408.39805342231102</v>
      </c>
      <c r="L29">
        <f t="shared" si="4"/>
        <v>273.34540939255913</v>
      </c>
      <c r="M29">
        <f t="shared" si="5"/>
        <v>27.931273205098638</v>
      </c>
      <c r="N29">
        <f t="shared" si="6"/>
        <v>41.731367034545691</v>
      </c>
      <c r="O29">
        <f t="shared" si="7"/>
        <v>0.2250418565793533</v>
      </c>
      <c r="P29">
        <f t="shared" si="8"/>
        <v>2.4268310014664376</v>
      </c>
      <c r="Q29">
        <f t="shared" si="9"/>
        <v>0.21421956738445636</v>
      </c>
      <c r="R29">
        <f t="shared" si="10"/>
        <v>0.13481654763515577</v>
      </c>
      <c r="S29">
        <f t="shared" si="11"/>
        <v>182.56420433333335</v>
      </c>
      <c r="T29">
        <f t="shared" si="12"/>
        <v>27.639218653146191</v>
      </c>
      <c r="U29">
        <f t="shared" si="13"/>
        <v>26.332919999999991</v>
      </c>
      <c r="V29">
        <f t="shared" si="14"/>
        <v>3.4413058777211396</v>
      </c>
      <c r="W29">
        <f t="shared" si="15"/>
        <v>68.759607399762871</v>
      </c>
      <c r="X29">
        <f t="shared" si="16"/>
        <v>2.4627121354866364</v>
      </c>
      <c r="Y29">
        <f t="shared" si="17"/>
        <v>3.5816262317622392</v>
      </c>
      <c r="Z29">
        <f t="shared" si="18"/>
        <v>0.97859374223450324</v>
      </c>
      <c r="AA29">
        <f t="shared" si="19"/>
        <v>-93.164943535418629</v>
      </c>
      <c r="AB29">
        <f t="shared" si="20"/>
        <v>88.812318784309298</v>
      </c>
      <c r="AC29">
        <f t="shared" si="21"/>
        <v>7.8720048285356992</v>
      </c>
      <c r="AD29">
        <f t="shared" si="22"/>
        <v>186.08358441075973</v>
      </c>
      <c r="AE29">
        <f t="shared" si="23"/>
        <v>17.487211135245115</v>
      </c>
      <c r="AF29">
        <f t="shared" si="24"/>
        <v>2.1125837536376104</v>
      </c>
      <c r="AG29">
        <f t="shared" si="25"/>
        <v>17.523944458275619</v>
      </c>
      <c r="AH29">
        <v>458.89947433278383</v>
      </c>
      <c r="AI29">
        <v>418.69667272727258</v>
      </c>
      <c r="AJ29">
        <v>-1.172052385799507E-3</v>
      </c>
      <c r="AK29">
        <v>84.077294511207981</v>
      </c>
      <c r="AL29">
        <f t="shared" si="26"/>
        <v>2.1095032007570618</v>
      </c>
      <c r="AM29">
        <v>19.462622872502539</v>
      </c>
      <c r="AN29">
        <v>24.09484240601504</v>
      </c>
      <c r="AO29">
        <v>-4.2472457395842179E-6</v>
      </c>
      <c r="AP29">
        <v>90.497705113126258</v>
      </c>
      <c r="AQ29">
        <v>1</v>
      </c>
      <c r="AR29">
        <v>0</v>
      </c>
      <c r="AS29">
        <f t="shared" si="27"/>
        <v>1.0000278096588286</v>
      </c>
      <c r="AT29">
        <f t="shared" si="28"/>
        <v>2.7809658828648054E-3</v>
      </c>
      <c r="AU29">
        <f t="shared" si="29"/>
        <v>53939.594287263739</v>
      </c>
      <c r="AV29">
        <f t="shared" si="30"/>
        <v>960.86423333333335</v>
      </c>
      <c r="AW29">
        <f t="shared" si="31"/>
        <v>768.69138666666674</v>
      </c>
      <c r="AX29">
        <f t="shared" si="32"/>
        <v>0.8</v>
      </c>
      <c r="AY29">
        <f t="shared" si="33"/>
        <v>0.19</v>
      </c>
      <c r="AZ29">
        <v>9</v>
      </c>
      <c r="BA29">
        <v>1.88</v>
      </c>
      <c r="BB29" t="s">
        <v>336</v>
      </c>
      <c r="BC29">
        <v>2</v>
      </c>
      <c r="BD29" t="b">
        <v>0</v>
      </c>
      <c r="BE29">
        <v>1752076695.349999</v>
      </c>
      <c r="BF29">
        <v>408.68983333333341</v>
      </c>
      <c r="BG29">
        <v>449.97903333333318</v>
      </c>
      <c r="BH29">
        <v>24.10098</v>
      </c>
      <c r="BI29">
        <v>19.462196666666671</v>
      </c>
      <c r="BJ29">
        <v>407.76203333333342</v>
      </c>
      <c r="BK29">
        <v>23.84199666666667</v>
      </c>
      <c r="BL29">
        <v>399.98606666666672</v>
      </c>
      <c r="BM29">
        <v>102.0830666666667</v>
      </c>
      <c r="BN29">
        <v>0.10000371</v>
      </c>
      <c r="BO29">
        <v>27.01173</v>
      </c>
      <c r="BP29">
        <v>26.332919999999991</v>
      </c>
      <c r="BQ29">
        <v>999.9000000000002</v>
      </c>
      <c r="BR29">
        <v>0</v>
      </c>
      <c r="BS29">
        <v>0</v>
      </c>
      <c r="BT29">
        <v>9992.8666666666668</v>
      </c>
      <c r="BU29">
        <v>960.86423333333335</v>
      </c>
      <c r="BV29">
        <v>16.363</v>
      </c>
      <c r="BW29">
        <v>-41.289246666666671</v>
      </c>
      <c r="BX29">
        <v>418.78286666666668</v>
      </c>
      <c r="BY29">
        <v>458.91046666666671</v>
      </c>
      <c r="BZ29">
        <v>4.6387723333333319</v>
      </c>
      <c r="CA29">
        <v>449.97903333333318</v>
      </c>
      <c r="CB29">
        <v>19.462196666666671</v>
      </c>
      <c r="CC29">
        <v>2.4603023333333329</v>
      </c>
      <c r="CD29">
        <v>1.986761</v>
      </c>
      <c r="CE29">
        <v>20.766236666666661</v>
      </c>
      <c r="CF29">
        <v>17.339223333333329</v>
      </c>
      <c r="CG29">
        <v>1752074301.5999999</v>
      </c>
      <c r="CH29" t="s">
        <v>337</v>
      </c>
      <c r="CI29">
        <v>1752074299.5999999</v>
      </c>
      <c r="CJ29">
        <v>1752074301.5999999</v>
      </c>
      <c r="CK29">
        <v>4</v>
      </c>
      <c r="CL29">
        <v>-0.28000000000000003</v>
      </c>
      <c r="CM29">
        <v>5.8999999999999997E-2</v>
      </c>
      <c r="CN29">
        <v>1.294</v>
      </c>
      <c r="CO29">
        <v>0.25900000000000001</v>
      </c>
      <c r="CP29">
        <v>450</v>
      </c>
      <c r="CQ29">
        <v>19</v>
      </c>
      <c r="CR29">
        <v>0.03</v>
      </c>
      <c r="CS29">
        <v>0.02</v>
      </c>
      <c r="CT29">
        <v>-41.27529024390244</v>
      </c>
      <c r="CU29">
        <v>-0.35337700348426299</v>
      </c>
      <c r="CV29">
        <v>4.4704835799306661E-2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4.6432673170731711</v>
      </c>
      <c r="DC29">
        <v>-8.1723763066202798E-2</v>
      </c>
      <c r="DD29">
        <v>8.4062909150376588E-3</v>
      </c>
      <c r="DE29">
        <v>1</v>
      </c>
      <c r="DF29">
        <v>2</v>
      </c>
      <c r="DG29">
        <v>2</v>
      </c>
      <c r="DH29" t="s">
        <v>338</v>
      </c>
      <c r="DI29">
        <v>3.0244200000000001</v>
      </c>
      <c r="DJ29">
        <v>2.6915100000000001</v>
      </c>
      <c r="DK29">
        <v>9.52461E-2</v>
      </c>
      <c r="DL29">
        <v>0.1031</v>
      </c>
      <c r="DM29">
        <v>0.12056600000000001</v>
      </c>
      <c r="DN29">
        <v>0.10492600000000001</v>
      </c>
      <c r="DO29">
        <v>25168.799999999999</v>
      </c>
      <c r="DP29">
        <v>16507.3</v>
      </c>
      <c r="DQ29">
        <v>26397.8</v>
      </c>
      <c r="DR29">
        <v>16728.900000000001</v>
      </c>
      <c r="DS29">
        <v>33029.1</v>
      </c>
      <c r="DT29">
        <v>19561.7</v>
      </c>
      <c r="DU29">
        <v>38463.9</v>
      </c>
      <c r="DV29">
        <v>22171.5</v>
      </c>
      <c r="DW29">
        <v>1.7902400000000001</v>
      </c>
      <c r="DX29">
        <v>2.1877399999999998</v>
      </c>
      <c r="DY29">
        <v>7.2866700000000006E-2</v>
      </c>
      <c r="DZ29">
        <v>0</v>
      </c>
      <c r="EA29">
        <v>25.143899999999999</v>
      </c>
      <c r="EB29">
        <v>999.9</v>
      </c>
      <c r="EC29">
        <v>55</v>
      </c>
      <c r="ED29">
        <v>32.299999999999997</v>
      </c>
      <c r="EE29">
        <v>26.166799999999999</v>
      </c>
      <c r="EF29">
        <v>62.701799999999999</v>
      </c>
      <c r="EG29">
        <v>34.138599999999997</v>
      </c>
      <c r="EH29">
        <v>1</v>
      </c>
      <c r="EI29">
        <v>8.8071099999999999E-2</v>
      </c>
      <c r="EJ29">
        <v>0.19902</v>
      </c>
      <c r="EK29">
        <v>20.342500000000001</v>
      </c>
      <c r="EL29">
        <v>5.2472399999999997</v>
      </c>
      <c r="EM29">
        <v>11.962</v>
      </c>
      <c r="EN29">
        <v>4.9896000000000003</v>
      </c>
      <c r="EO29">
        <v>3.2917399999999999</v>
      </c>
      <c r="EP29">
        <v>9999</v>
      </c>
      <c r="EQ29">
        <v>9999</v>
      </c>
      <c r="ER29">
        <v>9999</v>
      </c>
      <c r="ES29">
        <v>999.9</v>
      </c>
      <c r="ET29">
        <v>4.9726699999999999</v>
      </c>
      <c r="EU29">
        <v>1.8718399999999999</v>
      </c>
      <c r="EV29">
        <v>1.8721000000000001</v>
      </c>
      <c r="EW29">
        <v>1.87714</v>
      </c>
      <c r="EX29">
        <v>1.8713299999999999</v>
      </c>
      <c r="EY29">
        <v>1.87209</v>
      </c>
      <c r="EZ29">
        <v>1.8716999999999999</v>
      </c>
      <c r="FA29">
        <v>1.86863</v>
      </c>
      <c r="FB29">
        <v>0</v>
      </c>
      <c r="FC29">
        <v>0</v>
      </c>
      <c r="FD29">
        <v>0</v>
      </c>
      <c r="FE29">
        <v>0</v>
      </c>
      <c r="FF29" t="s">
        <v>339</v>
      </c>
      <c r="FG29" t="s">
        <v>340</v>
      </c>
      <c r="FH29" t="s">
        <v>341</v>
      </c>
      <c r="FI29" t="s">
        <v>341</v>
      </c>
      <c r="FJ29" t="s">
        <v>341</v>
      </c>
      <c r="FK29" t="s">
        <v>341</v>
      </c>
      <c r="FL29">
        <v>0</v>
      </c>
      <c r="FM29">
        <v>100</v>
      </c>
      <c r="FN29">
        <v>100</v>
      </c>
      <c r="FO29">
        <v>0.92700000000000005</v>
      </c>
      <c r="FP29">
        <v>0.25900000000000001</v>
      </c>
      <c r="FQ29">
        <v>-2.452151080185113</v>
      </c>
      <c r="FR29">
        <v>7.6898218637449396E-3</v>
      </c>
      <c r="FS29">
        <v>1.5097418776848419E-6</v>
      </c>
      <c r="FT29">
        <v>-9.8458676114205118E-11</v>
      </c>
      <c r="FU29">
        <v>0.25897999999999749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40.1</v>
      </c>
      <c r="GD29">
        <v>40</v>
      </c>
      <c r="GE29">
        <v>1.1059600000000001</v>
      </c>
      <c r="GF29">
        <v>2.6159699999999999</v>
      </c>
      <c r="GG29">
        <v>1.7981</v>
      </c>
      <c r="GH29">
        <v>2.3742700000000001</v>
      </c>
      <c r="GI29">
        <v>1.5979000000000001</v>
      </c>
      <c r="GJ29">
        <v>2.5915499999999998</v>
      </c>
      <c r="GK29">
        <v>35.405900000000003</v>
      </c>
      <c r="GL29">
        <v>24.1663</v>
      </c>
      <c r="GM29">
        <v>18</v>
      </c>
      <c r="GN29">
        <v>364.72</v>
      </c>
      <c r="GO29">
        <v>677.73199999999997</v>
      </c>
      <c r="GP29">
        <v>25.83</v>
      </c>
      <c r="GQ29">
        <v>28.238299999999999</v>
      </c>
      <c r="GR29">
        <v>30.0001</v>
      </c>
      <c r="GS29">
        <v>28.1723</v>
      </c>
      <c r="GT29">
        <v>28.2014</v>
      </c>
      <c r="GU29">
        <v>22.102900000000002</v>
      </c>
      <c r="GV29">
        <v>32.457000000000001</v>
      </c>
      <c r="GW29">
        <v>0</v>
      </c>
      <c r="GX29">
        <v>25.83</v>
      </c>
      <c r="GY29">
        <v>450</v>
      </c>
      <c r="GZ29">
        <v>19.5</v>
      </c>
      <c r="HA29">
        <v>100.322</v>
      </c>
      <c r="HB29">
        <v>69.201499999999996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2025-07-09T15:58:26Z</dcterms:created>
  <dcterms:modified xsi:type="dcterms:W3CDTF">2025-12-01T11:34:35Z</dcterms:modified>
</cp:coreProperties>
</file>