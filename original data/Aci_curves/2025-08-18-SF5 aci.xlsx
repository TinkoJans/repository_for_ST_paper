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E76B95FD6B6EFA900102FE143002FFE2" xr6:coauthVersionLast="47" xr6:coauthVersionMax="47" xr10:uidLastSave="{A9F32E5E-AD16-4CF1-9A3E-06E94AC2BDE7}"/>
  <bookViews>
    <workbookView xWindow="1776" yWindow="177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P29" i="1"/>
  <c r="AY28" i="1"/>
  <c r="AX28" i="1"/>
  <c r="AV28" i="1"/>
  <c r="AW28" i="1" s="1"/>
  <c r="AU28" i="1"/>
  <c r="AS28" i="1"/>
  <c r="AL28" i="1"/>
  <c r="AG28" i="1"/>
  <c r="Y28" i="1"/>
  <c r="X28" i="1"/>
  <c r="W28" i="1" s="1"/>
  <c r="S28" i="1"/>
  <c r="P28" i="1"/>
  <c r="AY27" i="1"/>
  <c r="AX27" i="1"/>
  <c r="AV27" i="1"/>
  <c r="AU27" i="1"/>
  <c r="AS27" i="1" s="1"/>
  <c r="AT27" i="1"/>
  <c r="AL27" i="1"/>
  <c r="AG27" i="1"/>
  <c r="Y27" i="1"/>
  <c r="X27" i="1"/>
  <c r="W27" i="1" s="1"/>
  <c r="P27" i="1"/>
  <c r="AY26" i="1"/>
  <c r="AX26" i="1"/>
  <c r="AV26" i="1"/>
  <c r="S26" i="1" s="1"/>
  <c r="AU26" i="1"/>
  <c r="AS26" i="1"/>
  <c r="AT26" i="1" s="1"/>
  <c r="AL26" i="1"/>
  <c r="AG26" i="1"/>
  <c r="AF26" i="1"/>
  <c r="I26" i="1" s="1"/>
  <c r="H26" i="1" s="1"/>
  <c r="AE26" i="1"/>
  <c r="J26" i="1" s="1"/>
  <c r="Y26" i="1"/>
  <c r="X26" i="1"/>
  <c r="W26" i="1"/>
  <c r="P26" i="1"/>
  <c r="N26" i="1"/>
  <c r="AY25" i="1"/>
  <c r="S25" i="1" s="1"/>
  <c r="AX25" i="1"/>
  <c r="AW25" i="1" s="1"/>
  <c r="AV25" i="1"/>
  <c r="AU25" i="1"/>
  <c r="AS25" i="1"/>
  <c r="AE25" i="1" s="1"/>
  <c r="J25" i="1" s="1"/>
  <c r="AL25" i="1"/>
  <c r="AG25" i="1"/>
  <c r="AF25" i="1"/>
  <c r="Y25" i="1"/>
  <c r="X25" i="1"/>
  <c r="W25" i="1" s="1"/>
  <c r="P25" i="1"/>
  <c r="K25" i="1"/>
  <c r="I25" i="1"/>
  <c r="H25" i="1" s="1"/>
  <c r="AY24" i="1"/>
  <c r="AX24" i="1"/>
  <c r="AV24" i="1"/>
  <c r="AW24" i="1" s="1"/>
  <c r="AU24" i="1"/>
  <c r="AT24" i="1"/>
  <c r="AS24" i="1"/>
  <c r="AL24" i="1"/>
  <c r="AG24" i="1"/>
  <c r="Y24" i="1"/>
  <c r="X24" i="1"/>
  <c r="W24" i="1"/>
  <c r="S24" i="1"/>
  <c r="P24" i="1"/>
  <c r="K24" i="1"/>
  <c r="AY23" i="1"/>
  <c r="AX23" i="1"/>
  <c r="AV23" i="1"/>
  <c r="AU23" i="1"/>
  <c r="AS23" i="1" s="1"/>
  <c r="AT23" i="1"/>
  <c r="AL23" i="1"/>
  <c r="AG23" i="1"/>
  <c r="Y23" i="1"/>
  <c r="X23" i="1"/>
  <c r="W23" i="1"/>
  <c r="P23" i="1"/>
  <c r="AY22" i="1"/>
  <c r="AX22" i="1"/>
  <c r="AV22" i="1"/>
  <c r="S22" i="1" s="1"/>
  <c r="T22" i="1" s="1"/>
  <c r="U22" i="1" s="1"/>
  <c r="AC22" i="1" s="1"/>
  <c r="AU22" i="1"/>
  <c r="AS22" i="1"/>
  <c r="AT22" i="1" s="1"/>
  <c r="AL22" i="1"/>
  <c r="AG22" i="1"/>
  <c r="AF22" i="1"/>
  <c r="I22" i="1" s="1"/>
  <c r="AE22" i="1"/>
  <c r="J22" i="1" s="1"/>
  <c r="Y22" i="1"/>
  <c r="X22" i="1"/>
  <c r="W22" i="1"/>
  <c r="P22" i="1"/>
  <c r="N22" i="1"/>
  <c r="K22" i="1"/>
  <c r="H22" i="1"/>
  <c r="AY21" i="1"/>
  <c r="S21" i="1" s="1"/>
  <c r="AX21" i="1"/>
  <c r="AW21" i="1" s="1"/>
  <c r="AV21" i="1"/>
  <c r="AU21" i="1"/>
  <c r="AS21" i="1"/>
  <c r="AE21" i="1" s="1"/>
  <c r="AL21" i="1"/>
  <c r="AG21" i="1"/>
  <c r="AF21" i="1"/>
  <c r="I21" i="1" s="1"/>
  <c r="H21" i="1" s="1"/>
  <c r="Y21" i="1"/>
  <c r="X21" i="1"/>
  <c r="P21" i="1"/>
  <c r="K21" i="1"/>
  <c r="J21" i="1"/>
  <c r="AY20" i="1"/>
  <c r="AX20" i="1"/>
  <c r="AV20" i="1"/>
  <c r="AW20" i="1" s="1"/>
  <c r="AU20" i="1"/>
  <c r="AS20" i="1"/>
  <c r="AT20" i="1" s="1"/>
  <c r="AL20" i="1"/>
  <c r="AG20" i="1"/>
  <c r="Y20" i="1"/>
  <c r="X20" i="1"/>
  <c r="W20" i="1"/>
  <c r="S20" i="1"/>
  <c r="P20" i="1"/>
  <c r="AY19" i="1"/>
  <c r="AX19" i="1"/>
  <c r="AV19" i="1"/>
  <c r="S19" i="1" s="1"/>
  <c r="AU19" i="1"/>
  <c r="AS19" i="1" s="1"/>
  <c r="AE19" i="1" s="1"/>
  <c r="J19" i="1" s="1"/>
  <c r="AT19" i="1"/>
  <c r="AL19" i="1"/>
  <c r="AG19" i="1"/>
  <c r="Y19" i="1"/>
  <c r="X19" i="1"/>
  <c r="W19" i="1"/>
  <c r="P19" i="1"/>
  <c r="AY18" i="1"/>
  <c r="AX18" i="1"/>
  <c r="AV18" i="1"/>
  <c r="S18" i="1" s="1"/>
  <c r="AU18" i="1"/>
  <c r="AS18" i="1"/>
  <c r="K18" i="1" s="1"/>
  <c r="AL18" i="1"/>
  <c r="AG18" i="1"/>
  <c r="AF18" i="1"/>
  <c r="AE18" i="1"/>
  <c r="J18" i="1" s="1"/>
  <c r="Y18" i="1"/>
  <c r="X18" i="1"/>
  <c r="W18" i="1"/>
  <c r="P18" i="1"/>
  <c r="N18" i="1"/>
  <c r="I18" i="1"/>
  <c r="H18" i="1"/>
  <c r="AA18" i="1" s="1"/>
  <c r="AY17" i="1"/>
  <c r="S17" i="1" s="1"/>
  <c r="AX17" i="1"/>
  <c r="AV17" i="1"/>
  <c r="AU17" i="1"/>
  <c r="AS17" i="1"/>
  <c r="AL17" i="1"/>
  <c r="AG17" i="1"/>
  <c r="AF17" i="1"/>
  <c r="I17" i="1" s="1"/>
  <c r="H17" i="1" s="1"/>
  <c r="Y17" i="1"/>
  <c r="X17" i="1"/>
  <c r="W17" i="1" s="1"/>
  <c r="P17" i="1"/>
  <c r="K17" i="1"/>
  <c r="AA26" i="1" l="1"/>
  <c r="T17" i="1"/>
  <c r="U17" i="1" s="1"/>
  <c r="Q17" i="1"/>
  <c r="O17" i="1" s="1"/>
  <c r="R17" i="1" s="1"/>
  <c r="L17" i="1" s="1"/>
  <c r="M17" i="1" s="1"/>
  <c r="AA17" i="1"/>
  <c r="T20" i="1"/>
  <c r="U20" i="1" s="1"/>
  <c r="AA21" i="1"/>
  <c r="Q21" i="1"/>
  <c r="O21" i="1" s="1"/>
  <c r="R21" i="1" s="1"/>
  <c r="L21" i="1" s="1"/>
  <c r="M21" i="1" s="1"/>
  <c r="AA25" i="1"/>
  <c r="N19" i="1"/>
  <c r="AB21" i="1"/>
  <c r="S27" i="1"/>
  <c r="AW27" i="1"/>
  <c r="N28" i="1"/>
  <c r="AF28" i="1"/>
  <c r="I28" i="1" s="1"/>
  <c r="H28" i="1" s="1"/>
  <c r="AE28" i="1"/>
  <c r="J28" i="1" s="1"/>
  <c r="AB25" i="1"/>
  <c r="K27" i="1"/>
  <c r="AF27" i="1"/>
  <c r="I27" i="1" s="1"/>
  <c r="H27" i="1" s="1"/>
  <c r="AE27" i="1"/>
  <c r="J27" i="1" s="1"/>
  <c r="AW18" i="1"/>
  <c r="AB22" i="1"/>
  <c r="K23" i="1"/>
  <c r="AE23" i="1"/>
  <c r="J23" i="1" s="1"/>
  <c r="AF23" i="1"/>
  <c r="I23" i="1" s="1"/>
  <c r="H23" i="1" s="1"/>
  <c r="N27" i="1"/>
  <c r="AT28" i="1"/>
  <c r="AF29" i="1"/>
  <c r="I29" i="1" s="1"/>
  <c r="H29" i="1" s="1"/>
  <c r="AE29" i="1"/>
  <c r="J29" i="1" s="1"/>
  <c r="N29" i="1"/>
  <c r="AT29" i="1"/>
  <c r="K29" i="1"/>
  <c r="AE17" i="1"/>
  <c r="J17" i="1" s="1"/>
  <c r="N17" i="1"/>
  <c r="AT17" i="1"/>
  <c r="W21" i="1"/>
  <c r="V22" i="1"/>
  <c r="Z22" i="1" s="1"/>
  <c r="S23" i="1"/>
  <c r="AW23" i="1"/>
  <c r="AE20" i="1"/>
  <c r="J20" i="1" s="1"/>
  <c r="AF20" i="1"/>
  <c r="I20" i="1" s="1"/>
  <c r="H20" i="1" s="1"/>
  <c r="N20" i="1"/>
  <c r="Q22" i="1"/>
  <c r="O22" i="1" s="1"/>
  <c r="R22" i="1" s="1"/>
  <c r="L22" i="1" s="1"/>
  <c r="M22" i="1" s="1"/>
  <c r="AA22" i="1"/>
  <c r="K19" i="1"/>
  <c r="AF19" i="1"/>
  <c r="I19" i="1" s="1"/>
  <c r="H19" i="1" s="1"/>
  <c r="AD22" i="1"/>
  <c r="AW22" i="1"/>
  <c r="AB17" i="1"/>
  <c r="T18" i="1"/>
  <c r="U18" i="1" s="1"/>
  <c r="AB18" i="1" s="1"/>
  <c r="AW19" i="1"/>
  <c r="T28" i="1"/>
  <c r="U28" i="1" s="1"/>
  <c r="N23" i="1"/>
  <c r="T25" i="1"/>
  <c r="U25" i="1" s="1"/>
  <c r="Q25" i="1" s="1"/>
  <c r="O25" i="1" s="1"/>
  <c r="R25" i="1" s="1"/>
  <c r="L25" i="1" s="1"/>
  <c r="M25" i="1" s="1"/>
  <c r="T26" i="1"/>
  <c r="U26" i="1" s="1"/>
  <c r="K28" i="1"/>
  <c r="AW17" i="1"/>
  <c r="Q18" i="1"/>
  <c r="O18" i="1" s="1"/>
  <c r="R18" i="1" s="1"/>
  <c r="L18" i="1" s="1"/>
  <c r="M18" i="1" s="1"/>
  <c r="K20" i="1"/>
  <c r="T21" i="1"/>
  <c r="U21" i="1" s="1"/>
  <c r="N24" i="1"/>
  <c r="AF24" i="1"/>
  <c r="I24" i="1" s="1"/>
  <c r="H24" i="1" s="1"/>
  <c r="AE24" i="1"/>
  <c r="J24" i="1" s="1"/>
  <c r="AW26" i="1"/>
  <c r="W29" i="1"/>
  <c r="S29" i="1"/>
  <c r="AT21" i="1"/>
  <c r="K26" i="1"/>
  <c r="AT18" i="1"/>
  <c r="N21" i="1"/>
  <c r="N25" i="1"/>
  <c r="AT25" i="1"/>
  <c r="AA19" i="1" l="1"/>
  <c r="Q19" i="1"/>
  <c r="O19" i="1" s="1"/>
  <c r="R19" i="1" s="1"/>
  <c r="L19" i="1" s="1"/>
  <c r="M19" i="1" s="1"/>
  <c r="T29" i="1"/>
  <c r="U29" i="1" s="1"/>
  <c r="AA27" i="1"/>
  <c r="Q27" i="1"/>
  <c r="O27" i="1" s="1"/>
  <c r="R27" i="1" s="1"/>
  <c r="L27" i="1" s="1"/>
  <c r="M27" i="1" s="1"/>
  <c r="V20" i="1"/>
  <c r="Z20" i="1" s="1"/>
  <c r="AC20" i="1"/>
  <c r="AB20" i="1"/>
  <c r="AA23" i="1"/>
  <c r="T27" i="1"/>
  <c r="U27" i="1" s="1"/>
  <c r="V28" i="1"/>
  <c r="Z28" i="1" s="1"/>
  <c r="AC28" i="1"/>
  <c r="AB28" i="1"/>
  <c r="V17" i="1"/>
  <c r="Z17" i="1" s="1"/>
  <c r="AC17" i="1"/>
  <c r="AD17" i="1" s="1"/>
  <c r="AA29" i="1"/>
  <c r="Q28" i="1"/>
  <c r="O28" i="1" s="1"/>
  <c r="R28" i="1" s="1"/>
  <c r="L28" i="1" s="1"/>
  <c r="M28" i="1" s="1"/>
  <c r="AA28" i="1"/>
  <c r="T23" i="1"/>
  <c r="U23" i="1" s="1"/>
  <c r="Q23" i="1" s="1"/>
  <c r="O23" i="1" s="1"/>
  <c r="R23" i="1" s="1"/>
  <c r="L23" i="1" s="1"/>
  <c r="M23" i="1" s="1"/>
  <c r="T19" i="1"/>
  <c r="U19" i="1" s="1"/>
  <c r="Q24" i="1"/>
  <c r="O24" i="1" s="1"/>
  <c r="R24" i="1" s="1"/>
  <c r="L24" i="1" s="1"/>
  <c r="M24" i="1" s="1"/>
  <c r="T24" i="1"/>
  <c r="U24" i="1" s="1"/>
  <c r="AA24" i="1"/>
  <c r="AC26" i="1"/>
  <c r="AD26" i="1" s="1"/>
  <c r="V26" i="1"/>
  <c r="Z26" i="1" s="1"/>
  <c r="AC18" i="1"/>
  <c r="AD18" i="1" s="1"/>
  <c r="V18" i="1"/>
  <c r="Z18" i="1" s="1"/>
  <c r="AB26" i="1"/>
  <c r="Q26" i="1"/>
  <c r="O26" i="1" s="1"/>
  <c r="R26" i="1" s="1"/>
  <c r="L26" i="1" s="1"/>
  <c r="M26" i="1" s="1"/>
  <c r="AC21" i="1"/>
  <c r="AD21" i="1" s="1"/>
  <c r="V21" i="1"/>
  <c r="Z21" i="1" s="1"/>
  <c r="V25" i="1"/>
  <c r="Z25" i="1" s="1"/>
  <c r="AC25" i="1"/>
  <c r="AD25" i="1" s="1"/>
  <c r="Q20" i="1"/>
  <c r="O20" i="1" s="1"/>
  <c r="R20" i="1" s="1"/>
  <c r="L20" i="1" s="1"/>
  <c r="M20" i="1" s="1"/>
  <c r="AA20" i="1"/>
  <c r="AD20" i="1" l="1"/>
  <c r="V29" i="1"/>
  <c r="Z29" i="1" s="1"/>
  <c r="AC29" i="1"/>
  <c r="AB29" i="1"/>
  <c r="AD28" i="1"/>
  <c r="Q29" i="1"/>
  <c r="O29" i="1" s="1"/>
  <c r="R29" i="1" s="1"/>
  <c r="L29" i="1" s="1"/>
  <c r="M29" i="1" s="1"/>
  <c r="AB27" i="1"/>
  <c r="AC27" i="1"/>
  <c r="AD27" i="1" s="1"/>
  <c r="V27" i="1"/>
  <c r="Z27" i="1" s="1"/>
  <c r="V24" i="1"/>
  <c r="Z24" i="1" s="1"/>
  <c r="AC24" i="1"/>
  <c r="AB24" i="1"/>
  <c r="AC23" i="1"/>
  <c r="AB23" i="1"/>
  <c r="V23" i="1"/>
  <c r="Z23" i="1" s="1"/>
  <c r="V19" i="1"/>
  <c r="Z19" i="1" s="1"/>
  <c r="AB19" i="1"/>
  <c r="AC19" i="1"/>
  <c r="AD19" i="1" s="1"/>
  <c r="AD23" i="1" l="1"/>
  <c r="AD24" i="1"/>
  <c r="AD29" i="1"/>
</calcChain>
</file>

<file path=xl/sharedStrings.xml><?xml version="1.0" encoding="utf-8"?>
<sst xmlns="http://schemas.openxmlformats.org/spreadsheetml/2006/main" count="818" uniqueCount="370">
  <si>
    <t>File opened</t>
  </si>
  <si>
    <t>2025-08-18 12:21:24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</si>
  <si>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</si>
  <si>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</si>
  <si>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</si>
  <si>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</si>
  <si>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</si>
  <si>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</si>
  <si>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</si>
  <si>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</si>
  <si>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</si>
  <si>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</si>
  <si>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</si>
  <si>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</si>
  <si>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</si>
  <si>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</si>
  <si>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</si>
  <si>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</si>
  <si>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</si>
  <si>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</si>
  <si>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</si>
  <si>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</si>
  <si>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</si>
  <si>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</si>
  <si>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</si>
  <si>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</si>
  <si>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</si>
  <si>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</si>
  <si>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12:21:24</t>
  </si>
  <si>
    <t>Stability Definition:	F (FlrLS): Per=20	ΔH2O (Meas2): Slp&lt;0.1 Per=20	ΔCO2 (Meas2): Slp&lt;0.5 Per=20</t>
  </si>
  <si>
    <t>12:21:29</t>
  </si>
  <si>
    <t>Config file loaded: 18 topics from file /home/licor/configs/Tinko/configs aci curve</t>
  </si>
  <si>
    <t>12:21:30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</si>
  <si>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</si>
  <si>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</si>
  <si>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</si>
  <si>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</si>
  <si>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</si>
  <si>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</si>
  <si>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</si>
  <si>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</si>
  <si>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</si>
  <si>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</si>
  <si>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</si>
  <si>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</si>
  <si>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</si>
  <si>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</si>
  <si>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</si>
  <si>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</si>
  <si>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</si>
  <si>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</si>
  <si>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</si>
  <si>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</si>
  <si>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</si>
  <si>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</si>
  <si>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</si>
  <si>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</si>
  <si>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</si>
  <si>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</si>
  <si>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</si>
  <si>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</si>
  <si>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</si>
  <si>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</si>
  <si>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</si>
  <si>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</si>
  <si>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</si>
  <si>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</si>
  <si>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</si>
  <si>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</si>
  <si>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</si>
  <si>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</si>
  <si>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</si>
  <si>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</si>
  <si>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</si>
  <si>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</si>
  <si>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</si>
  <si>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</si>
  <si>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</si>
  <si>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</si>
  <si>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</si>
  <si>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</si>
  <si>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</si>
  <si>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</si>
  <si>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3.25332 165.819 344.778 592.231 856.777 1059.73 1291.56 1494.82</t>
  </si>
  <si>
    <t>Fs_true</t>
  </si>
  <si>
    <t>0.980895 200.355 384.33 595.141 805.574 1001.42 1201.22 1401.31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</si>
  <si>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</si>
  <si>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</si>
  <si>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</si>
  <si>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</si>
  <si>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</si>
  <si>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</si>
  <si>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</si>
  <si>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</si>
  <si>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</si>
  <si>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</si>
  <si>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</si>
  <si>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</si>
  <si>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</si>
  <si>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</si>
  <si>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</si>
  <si>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</si>
  <si>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</si>
  <si>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</si>
  <si>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</si>
  <si>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</si>
  <si>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</si>
  <si>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</si>
  <si>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</si>
  <si>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</si>
  <si>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</si>
  <si>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</si>
  <si>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</si>
  <si>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</si>
  <si>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</si>
  <si>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</si>
  <si>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</si>
  <si>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</si>
  <si>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</si>
  <si>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</si>
  <si>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</si>
  <si>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</si>
  <si>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</si>
  <si>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</si>
  <si>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</si>
  <si>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</si>
  <si>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</si>
  <si>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</si>
  <si>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</si>
  <si>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</si>
  <si>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</si>
  <si>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</si>
  <si>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</si>
  <si>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</si>
  <si>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</si>
  <si>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</si>
  <si>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</si>
  <si>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</si>
  <si>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</si>
  <si>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</si>
  <si>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</si>
  <si>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</si>
  <si>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</si>
  <si>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</si>
  <si>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</si>
  <si>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</si>
  <si>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</si>
  <si>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</si>
  <si>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</si>
  <si>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</si>
  <si>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</si>
  <si>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</si>
  <si>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</si>
  <si>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</si>
  <si>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</si>
  <si>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</si>
  <si>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</si>
  <si>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</si>
  <si>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</si>
  <si>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</si>
  <si>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</si>
  <si>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</si>
  <si>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</si>
  <si>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</si>
  <si>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</si>
  <si>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</si>
  <si>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</si>
  <si>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</si>
  <si>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</si>
  <si>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</si>
  <si>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</si>
  <si>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</si>
  <si>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</si>
  <si>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</si>
  <si>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</si>
  <si>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</si>
  <si>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</si>
  <si>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</si>
  <si>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</si>
  <si>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</si>
  <si>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</si>
  <si>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</si>
  <si>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</si>
  <si>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</si>
  <si>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</si>
  <si>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</si>
  <si>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</si>
  <si>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</si>
  <si>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</si>
  <si>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</si>
  <si>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</si>
  <si>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</si>
  <si>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</si>
  <si>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</si>
  <si>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</si>
  <si>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</si>
  <si>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</si>
  <si>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</si>
  <si>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</si>
  <si>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</si>
  <si>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</si>
  <si>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</si>
  <si>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</si>
  <si>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</si>
  <si>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</si>
  <si>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</si>
  <si>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</si>
  <si>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</si>
  <si>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</si>
  <si>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</si>
  <si>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</si>
  <si>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</si>
  <si>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</si>
  <si>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</si>
  <si>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</si>
  <si>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</si>
  <si>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</si>
  <si>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</si>
  <si>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</si>
  <si>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</si>
  <si>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</si>
  <si>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</si>
  <si>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</si>
  <si>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</si>
  <si>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</si>
  <si>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</si>
  <si>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</si>
  <si>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</si>
  <si>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</si>
  <si>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</si>
  <si>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</si>
  <si>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</si>
  <si>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</si>
  <si>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</si>
  <si>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</si>
  <si>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</si>
  <si>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</si>
  <si>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</si>
  <si>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</si>
  <si>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</si>
  <si>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</si>
  <si>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</si>
  <si>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</si>
  <si>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</si>
  <si>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</si>
  <si>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</si>
  <si>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</si>
  <si>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</si>
  <si>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</si>
  <si>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</si>
  <si>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</si>
  <si>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</si>
  <si>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</si>
  <si>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</si>
  <si>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</si>
  <si>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</si>
  <si>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</si>
  <si>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</si>
  <si>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</si>
  <si>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</si>
  <si>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</si>
  <si>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</si>
  <si>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</si>
  <si>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</si>
  <si>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</si>
  <si>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</si>
  <si>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</si>
  <si>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</si>
  <si>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</si>
  <si>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</si>
  <si>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</si>
  <si>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</si>
  <si>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</si>
  <si>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</si>
  <si>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</si>
  <si>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</si>
  <si>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</si>
  <si>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</si>
  <si>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</si>
  <si>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</si>
  <si>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</si>
  <si>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</si>
  <si>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</si>
  <si>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</si>
  <si>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</si>
  <si>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</si>
  <si>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</si>
  <si>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</si>
  <si>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</si>
  <si>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</si>
  <si>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</si>
  <si>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</si>
  <si>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</si>
  <si>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</si>
  <si>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</si>
  <si>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</si>
  <si>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</si>
  <si>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</si>
  <si>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</si>
  <si>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</si>
  <si>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</si>
  <si>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</si>
  <si>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</si>
  <si>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</si>
  <si>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</si>
  <si>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</si>
  <si>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</si>
  <si>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</si>
  <si>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</si>
  <si>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</si>
  <si>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</si>
  <si>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</si>
  <si>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</si>
  <si>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</si>
  <si>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</si>
  <si>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</si>
  <si>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</si>
  <si>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</si>
  <si>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</si>
  <si>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</si>
  <si>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</si>
  <si>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</si>
  <si>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</si>
  <si>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</si>
  <si>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</si>
  <si>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</si>
  <si>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</si>
  <si>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</si>
  <si>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</si>
  <si>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</si>
  <si>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</si>
  <si>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</si>
  <si>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</si>
  <si>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</si>
  <si>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</si>
  <si>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</si>
  <si>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</si>
  <si>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20250818 12:49:21</t>
  </si>
  <si>
    <t>12:49:21</t>
  </si>
  <si>
    <t>0: Broadleaf</t>
  </si>
  <si>
    <t>12:45:42</t>
  </si>
  <si>
    <t>1/2</t>
  </si>
  <si>
    <t>11111111</t>
  </si>
  <si>
    <t>oooooooo</t>
  </si>
  <si>
    <t>on</t>
  </si>
  <si>
    <t>20250818 12:52:22</t>
  </si>
  <si>
    <t>12:52:22</t>
  </si>
  <si>
    <t>20250818 12:55:22</t>
  </si>
  <si>
    <t>12:55:22</t>
  </si>
  <si>
    <t>2/2</t>
  </si>
  <si>
    <t>20250818 12:58:23</t>
  </si>
  <si>
    <t>12:58:23</t>
  </si>
  <si>
    <t>20250818 13:01:23</t>
  </si>
  <si>
    <t>13:01:23</t>
  </si>
  <si>
    <t>20250818 13:04:24</t>
  </si>
  <si>
    <t>13:04:24</t>
  </si>
  <si>
    <t>20250818 13:07:24</t>
  </si>
  <si>
    <t>13:07:24</t>
  </si>
  <si>
    <t>20250818 13:10:25</t>
  </si>
  <si>
    <t>13:10:25</t>
  </si>
  <si>
    <t>20250818 13:13:25</t>
  </si>
  <si>
    <t>13:13:25</t>
  </si>
  <si>
    <t>20250818 13:16:26</t>
  </si>
  <si>
    <t>13:16:26</t>
  </si>
  <si>
    <t>20250818 13:19:27</t>
  </si>
  <si>
    <t>13:19:27</t>
  </si>
  <si>
    <t>20250818 13:22:27</t>
  </si>
  <si>
    <t>13:22:27</t>
  </si>
  <si>
    <t>20250818 13:25:28</t>
  </si>
  <si>
    <t>13:25:28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</si>
</sst>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W6" workbookViewId="0">
      <selection activeCell="BD12" sqref="BD12"/>
    </sheetView>
  </sheetViews>
  <sheetFormatPr defaultRowHeight="14.4" x14ac:dyDescent="0.3"/>
  <sheetData>
    <row r="2" spans="1:210" x14ac:dyDescent="0.3">
      <c r="A2" t="s">
        <v>33</v>
      </c>
      <c r="B2" t="s">
        <v>34</v>
      </c>
      <c r="C2" t="s">
        <v>35</v>
      </c>
    </row>
    <row r="3" spans="1:210" x14ac:dyDescent="0.3">
      <c r="B3">
        <v>5</v>
      </c>
      <c r="C3">
        <v>21</v>
      </c>
    </row>
    <row r="4" spans="1:210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0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1.5</v>
      </c>
    </row>
    <row r="14" spans="1:210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96</v>
      </c>
      <c r="CU14" t="s">
        <v>96</v>
      </c>
      <c r="CV14" t="s">
        <v>96</v>
      </c>
      <c r="CW14" t="s">
        <v>96</v>
      </c>
      <c r="CX14" t="s">
        <v>96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97</v>
      </c>
      <c r="DJ14" t="s">
        <v>97</v>
      </c>
      <c r="DK14" t="s">
        <v>97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</row>
    <row r="15" spans="1:210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133</v>
      </c>
      <c r="AF15" t="s">
        <v>134</v>
      </c>
      <c r="AG15" t="s">
        <v>135</v>
      </c>
      <c r="AH15" t="s">
        <v>136</v>
      </c>
      <c r="AI15" t="s">
        <v>137</v>
      </c>
      <c r="AJ15" t="s">
        <v>138</v>
      </c>
      <c r="AK15" t="s">
        <v>139</v>
      </c>
      <c r="AL15" t="s">
        <v>140</v>
      </c>
      <c r="AM15" t="s">
        <v>141</v>
      </c>
      <c r="AN15" t="s">
        <v>142</v>
      </c>
      <c r="AO15" t="s">
        <v>143</v>
      </c>
      <c r="AP15" t="s">
        <v>144</v>
      </c>
      <c r="AQ15" t="s">
        <v>90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109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104</v>
      </c>
      <c r="CH15" t="s">
        <v>107</v>
      </c>
      <c r="CI15" t="s">
        <v>185</v>
      </c>
      <c r="CJ15" t="s">
        <v>186</v>
      </c>
      <c r="CK15" t="s">
        <v>187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245</v>
      </c>
      <c r="ER15" t="s">
        <v>246</v>
      </c>
      <c r="ES15" t="s">
        <v>247</v>
      </c>
      <c r="ET15" t="s">
        <v>248</v>
      </c>
      <c r="EU15" t="s">
        <v>249</v>
      </c>
      <c r="EV15" t="s">
        <v>250</v>
      </c>
      <c r="EW15" t="s">
        <v>251</v>
      </c>
      <c r="EX15" t="s">
        <v>252</v>
      </c>
      <c r="EY15" t="s">
        <v>253</v>
      </c>
      <c r="EZ15" t="s">
        <v>254</v>
      </c>
      <c r="FA15" t="s">
        <v>255</v>
      </c>
      <c r="FB15" t="s">
        <v>256</v>
      </c>
      <c r="FC15" t="s">
        <v>257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</row>
    <row r="16" spans="1:210" x14ac:dyDescent="0.3">
      <c r="B16" t="s">
        <v>309</v>
      </c>
      <c r="C16" t="s">
        <v>309</v>
      </c>
      <c r="F16" t="s">
        <v>309</v>
      </c>
      <c r="G16" t="s">
        <v>309</v>
      </c>
      <c r="H16" t="s">
        <v>310</v>
      </c>
      <c r="I16" t="s">
        <v>311</v>
      </c>
      <c r="J16" t="s">
        <v>312</v>
      </c>
      <c r="K16" t="s">
        <v>313</v>
      </c>
      <c r="L16" t="s">
        <v>313</v>
      </c>
      <c r="M16" t="s">
        <v>165</v>
      </c>
      <c r="N16" t="s">
        <v>165</v>
      </c>
      <c r="O16" t="s">
        <v>310</v>
      </c>
      <c r="P16" t="s">
        <v>310</v>
      </c>
      <c r="Q16" t="s">
        <v>310</v>
      </c>
      <c r="R16" t="s">
        <v>310</v>
      </c>
      <c r="S16" t="s">
        <v>314</v>
      </c>
      <c r="T16" t="s">
        <v>315</v>
      </c>
      <c r="U16" t="s">
        <v>315</v>
      </c>
      <c r="V16" t="s">
        <v>316</v>
      </c>
      <c r="W16" t="s">
        <v>317</v>
      </c>
      <c r="X16" t="s">
        <v>316</v>
      </c>
      <c r="Y16" t="s">
        <v>316</v>
      </c>
      <c r="Z16" t="s">
        <v>316</v>
      </c>
      <c r="AA16" t="s">
        <v>314</v>
      </c>
      <c r="AB16" t="s">
        <v>314</v>
      </c>
      <c r="AC16" t="s">
        <v>314</v>
      </c>
      <c r="AD16" t="s">
        <v>314</v>
      </c>
      <c r="AE16" t="s">
        <v>312</v>
      </c>
      <c r="AF16" t="s">
        <v>311</v>
      </c>
      <c r="AG16" t="s">
        <v>312</v>
      </c>
      <c r="AH16" t="s">
        <v>313</v>
      </c>
      <c r="AI16" t="s">
        <v>313</v>
      </c>
      <c r="AJ16" t="s">
        <v>318</v>
      </c>
      <c r="AK16" t="s">
        <v>319</v>
      </c>
      <c r="AL16" t="s">
        <v>311</v>
      </c>
      <c r="AM16" t="s">
        <v>320</v>
      </c>
      <c r="AN16" t="s">
        <v>320</v>
      </c>
      <c r="AO16" t="s">
        <v>321</v>
      </c>
      <c r="AP16" t="s">
        <v>319</v>
      </c>
      <c r="AQ16" t="s">
        <v>322</v>
      </c>
      <c r="AR16" t="s">
        <v>317</v>
      </c>
      <c r="AT16" t="s">
        <v>317</v>
      </c>
      <c r="AU16" t="s">
        <v>322</v>
      </c>
      <c r="AV16" t="s">
        <v>312</v>
      </c>
      <c r="AW16" t="s">
        <v>312</v>
      </c>
      <c r="AY16" t="s">
        <v>323</v>
      </c>
      <c r="AZ16" t="s">
        <v>324</v>
      </c>
      <c r="BC16" t="s">
        <v>310</v>
      </c>
      <c r="BE16" t="s">
        <v>309</v>
      </c>
      <c r="BF16" t="s">
        <v>313</v>
      </c>
      <c r="BG16" t="s">
        <v>313</v>
      </c>
      <c r="BH16" t="s">
        <v>320</v>
      </c>
      <c r="BI16" t="s">
        <v>320</v>
      </c>
      <c r="BJ16" t="s">
        <v>313</v>
      </c>
      <c r="BK16" t="s">
        <v>320</v>
      </c>
      <c r="BL16" t="s">
        <v>322</v>
      </c>
      <c r="BM16" t="s">
        <v>316</v>
      </c>
      <c r="BN16" t="s">
        <v>316</v>
      </c>
      <c r="BO16" t="s">
        <v>315</v>
      </c>
      <c r="BP16" t="s">
        <v>315</v>
      </c>
      <c r="BQ16" t="s">
        <v>315</v>
      </c>
      <c r="BR16" t="s">
        <v>315</v>
      </c>
      <c r="BS16" t="s">
        <v>315</v>
      </c>
      <c r="BT16" t="s">
        <v>325</v>
      </c>
      <c r="BU16" t="s">
        <v>312</v>
      </c>
      <c r="BV16" t="s">
        <v>312</v>
      </c>
      <c r="BW16" t="s">
        <v>313</v>
      </c>
      <c r="BX16" t="s">
        <v>313</v>
      </c>
      <c r="BY16" t="s">
        <v>313</v>
      </c>
      <c r="BZ16" t="s">
        <v>320</v>
      </c>
      <c r="CA16" t="s">
        <v>313</v>
      </c>
      <c r="CB16" t="s">
        <v>320</v>
      </c>
      <c r="CC16" t="s">
        <v>316</v>
      </c>
      <c r="CD16" t="s">
        <v>316</v>
      </c>
      <c r="CE16" t="s">
        <v>315</v>
      </c>
      <c r="CF16" t="s">
        <v>315</v>
      </c>
      <c r="CG16" t="s">
        <v>326</v>
      </c>
      <c r="CI16" t="s">
        <v>309</v>
      </c>
      <c r="CJ16" t="s">
        <v>309</v>
      </c>
      <c r="CL16" t="s">
        <v>327</v>
      </c>
      <c r="CM16" t="s">
        <v>328</v>
      </c>
      <c r="CN16" t="s">
        <v>327</v>
      </c>
      <c r="CO16" t="s">
        <v>328</v>
      </c>
      <c r="CP16" t="s">
        <v>327</v>
      </c>
      <c r="CQ16" t="s">
        <v>328</v>
      </c>
      <c r="CR16" t="s">
        <v>317</v>
      </c>
      <c r="CS16" t="s">
        <v>317</v>
      </c>
      <c r="CT16" t="s">
        <v>313</v>
      </c>
      <c r="CU16" t="s">
        <v>329</v>
      </c>
      <c r="CV16" t="s">
        <v>313</v>
      </c>
      <c r="CY16" t="s">
        <v>330</v>
      </c>
      <c r="DB16" t="s">
        <v>320</v>
      </c>
      <c r="DC16" t="s">
        <v>331</v>
      </c>
      <c r="DD16" t="s">
        <v>320</v>
      </c>
      <c r="DI16" t="s">
        <v>332</v>
      </c>
      <c r="DJ16" t="s">
        <v>332</v>
      </c>
      <c r="DW16" t="s">
        <v>332</v>
      </c>
      <c r="DX16" t="s">
        <v>332</v>
      </c>
      <c r="DY16" t="s">
        <v>333</v>
      </c>
      <c r="DZ16" t="s">
        <v>333</v>
      </c>
      <c r="EA16" t="s">
        <v>315</v>
      </c>
      <c r="EB16" t="s">
        <v>315</v>
      </c>
      <c r="EC16" t="s">
        <v>317</v>
      </c>
      <c r="ED16" t="s">
        <v>315</v>
      </c>
      <c r="EE16" t="s">
        <v>320</v>
      </c>
      <c r="EF16" t="s">
        <v>317</v>
      </c>
      <c r="EG16" t="s">
        <v>317</v>
      </c>
      <c r="EI16" t="s">
        <v>332</v>
      </c>
      <c r="EJ16" t="s">
        <v>332</v>
      </c>
      <c r="EK16" t="s">
        <v>332</v>
      </c>
      <c r="EL16" t="s">
        <v>332</v>
      </c>
      <c r="EM16" t="s">
        <v>332</v>
      </c>
      <c r="EN16" t="s">
        <v>332</v>
      </c>
      <c r="EO16" t="s">
        <v>332</v>
      </c>
      <c r="EP16" t="s">
        <v>334</v>
      </c>
      <c r="EQ16" t="s">
        <v>334</v>
      </c>
      <c r="ER16" t="s">
        <v>334</v>
      </c>
      <c r="ES16" t="s">
        <v>335</v>
      </c>
      <c r="ET16" t="s">
        <v>332</v>
      </c>
      <c r="EU16" t="s">
        <v>332</v>
      </c>
      <c r="EV16" t="s">
        <v>332</v>
      </c>
      <c r="EW16" t="s">
        <v>332</v>
      </c>
      <c r="EX16" t="s">
        <v>332</v>
      </c>
      <c r="EY16" t="s">
        <v>332</v>
      </c>
      <c r="EZ16" t="s">
        <v>332</v>
      </c>
      <c r="FA16" t="s">
        <v>332</v>
      </c>
      <c r="FB16" t="s">
        <v>332</v>
      </c>
      <c r="FC16" t="s">
        <v>332</v>
      </c>
      <c r="FD16" t="s">
        <v>332</v>
      </c>
      <c r="FE16" t="s">
        <v>332</v>
      </c>
      <c r="FL16" t="s">
        <v>332</v>
      </c>
      <c r="FM16" t="s">
        <v>317</v>
      </c>
      <c r="FN16" t="s">
        <v>317</v>
      </c>
      <c r="FO16" t="s">
        <v>327</v>
      </c>
      <c r="FP16" t="s">
        <v>328</v>
      </c>
      <c r="FQ16" t="s">
        <v>327</v>
      </c>
      <c r="FU16" t="s">
        <v>328</v>
      </c>
      <c r="FY16" t="s">
        <v>313</v>
      </c>
      <c r="FZ16" t="s">
        <v>313</v>
      </c>
      <c r="GA16" t="s">
        <v>320</v>
      </c>
      <c r="GB16" t="s">
        <v>320</v>
      </c>
      <c r="GC16" t="s">
        <v>336</v>
      </c>
      <c r="GD16" t="s">
        <v>336</v>
      </c>
      <c r="GE16" t="s">
        <v>332</v>
      </c>
      <c r="GF16" t="s">
        <v>332</v>
      </c>
      <c r="GG16" t="s">
        <v>332</v>
      </c>
      <c r="GH16" t="s">
        <v>332</v>
      </c>
      <c r="GI16" t="s">
        <v>332</v>
      </c>
      <c r="GJ16" t="s">
        <v>332</v>
      </c>
      <c r="GK16" t="s">
        <v>315</v>
      </c>
      <c r="GL16" t="s">
        <v>332</v>
      </c>
      <c r="GN16" t="s">
        <v>322</v>
      </c>
      <c r="GO16" t="s">
        <v>322</v>
      </c>
      <c r="GP16" t="s">
        <v>315</v>
      </c>
      <c r="GQ16" t="s">
        <v>315</v>
      </c>
      <c r="GR16" t="s">
        <v>315</v>
      </c>
      <c r="GS16" t="s">
        <v>315</v>
      </c>
      <c r="GT16" t="s">
        <v>315</v>
      </c>
      <c r="GU16" t="s">
        <v>317</v>
      </c>
      <c r="GV16" t="s">
        <v>317</v>
      </c>
      <c r="GW16" t="s">
        <v>317</v>
      </c>
      <c r="GX16" t="s">
        <v>315</v>
      </c>
      <c r="GY16" t="s">
        <v>313</v>
      </c>
      <c r="GZ16" t="s">
        <v>320</v>
      </c>
      <c r="HA16" t="s">
        <v>317</v>
      </c>
      <c r="HB16" t="s">
        <v>317</v>
      </c>
    </row>
    <row r="17" spans="1:210" x14ac:dyDescent="0.3">
      <c r="A17">
        <v>1</v>
      </c>
      <c r="B17">
        <v>1755514161.5999999</v>
      </c>
      <c r="C17">
        <v>0</v>
      </c>
      <c r="D17" t="s">
        <v>337</v>
      </c>
      <c r="E17" t="s">
        <v>338</v>
      </c>
      <c r="F17">
        <v>15</v>
      </c>
      <c r="G17">
        <v>1755514153.849999</v>
      </c>
      <c r="H17">
        <f t="shared" ref="H17:H29" si="0">(I17)/1000</f>
        <v>3.9229715960958818E-3</v>
      </c>
      <c r="I17">
        <f t="shared" ref="I17:I29" si="1">IF(BD17, AL17, AF17)</f>
        <v>3.9229715960958815</v>
      </c>
      <c r="J17">
        <f t="shared" ref="J17:J29" si="2">IF(BD17, AG17, AE17)</f>
        <v>29.917011562494938</v>
      </c>
      <c r="K17">
        <f t="shared" ref="K17:K29" si="3">BF17 - IF(AS17&gt;1, J17*AZ17*100/(AU17), 0)</f>
        <v>379.35660000000001</v>
      </c>
      <c r="L17">
        <f t="shared" ref="L17:L29" si="4">((R17-H17/2)*K17-J17)/(R17+H17/2)</f>
        <v>312.10204552275979</v>
      </c>
      <c r="M17">
        <f t="shared" ref="M17:M29" si="5">L17*(BM17+BN17)/1000</f>
        <v>31.886139602101537</v>
      </c>
      <c r="N17">
        <f t="shared" ref="N17:N29" si="6">(BF17 - IF(AS17&gt;1, J17*AZ17*100/(AU17), 0))*(BM17+BN17)/1000</f>
        <v>38.757251610824461</v>
      </c>
      <c r="O17">
        <f t="shared" ref="O17:O29" si="7">2/((1/Q17-1/P17)+SIGN(Q17)*SQRT((1/Q17-1/P17)*(1/Q17-1/P17) + 4*BA17/((BA17+1)*(BA17+1))*(2*1/Q17*1/P17-1/P17*1/P17)))</f>
        <v>0.85734648490461862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2.4281843740754936</v>
      </c>
      <c r="Q17">
        <f t="shared" ref="Q17:Q29" si="9">H17*(1000-(1000*0.61365*EXP(17.502*U17/(240.97+U17))/(BM17+BN17)+BH17)/2)/(1000*0.61365*EXP(17.502*U17/(240.97+U17))/(BM17+BN17)-BH17)</f>
        <v>0.72786180710734694</v>
      </c>
      <c r="R17">
        <f t="shared" ref="R17:R29" si="10">1/((BA17+1)/(O17/1.6)+1/(P17/1.37)) + BA17/((BA17+1)/(O17/1.6) + BA17/(P17/1.37))</f>
        <v>0.46499895982819373</v>
      </c>
      <c r="S17">
        <f t="shared" ref="S17:S29" si="11">(AV17*AY17)</f>
        <v>219.05555999999999</v>
      </c>
      <c r="T17">
        <f t="shared" ref="T17:T29" si="12">(BO17+(S17+2*0.95*0.0000000567*(((BO17+$B$7)+273)^4-(BO17+273)^4)-44100*H17)/(1.84*29.3*P17+8*0.95*0.0000000567*(BO17+273)^3))</f>
        <v>27.367316103703857</v>
      </c>
      <c r="U17">
        <f t="shared" ref="U17:U29" si="13">($C$7*BP17+$D$7*BQ17+$E$7*T17)</f>
        <v>26.14549666666667</v>
      </c>
      <c r="V17">
        <f t="shared" ref="V17:V29" si="14">0.61365*EXP(17.502*U17/(240.97+U17))</f>
        <v>3.4034186289856048</v>
      </c>
      <c r="W17">
        <f t="shared" ref="W17:W29" si="15">(X17/Y17*100)</f>
        <v>79.96937942359537</v>
      </c>
      <c r="X17">
        <f t="shared" ref="X17:X29" si="16">BH17*(BM17+BN17)/1000</f>
        <v>2.8696789268235139</v>
      </c>
      <c r="Y17">
        <f t="shared" ref="Y17:Y29" si="17">0.61365*EXP(17.502*BO17/(240.97+BO17))</f>
        <v>3.5884721721084163</v>
      </c>
      <c r="Z17">
        <f t="shared" ref="Z17:Z29" si="18">(V17-BH17*(BM17+BN17)/1000)</f>
        <v>0.53373970216209088</v>
      </c>
      <c r="AA17">
        <f t="shared" ref="AA17:AA29" si="19">(-H17*44100)</f>
        <v>-173.00304738782839</v>
      </c>
      <c r="AB17">
        <f t="shared" ref="AB17:AB29" si="20">2*29.3*P17*0.92*(BO17-U17)</f>
        <v>117.65424939359157</v>
      </c>
      <c r="AC17">
        <f t="shared" ref="AC17:AC29" si="21">2*0.95*0.0000000567*(((BO17+$B$7)+273)^4-(U17+273)^4)</f>
        <v>10.414568353907201</v>
      </c>
      <c r="AD17">
        <f t="shared" ref="AD17:AD29" si="22">S17+AC17+AA17+AB17</f>
        <v>174.12133035967037</v>
      </c>
      <c r="AE17">
        <f t="shared" ref="AE17:AE29" si="23">BL17*AS17*(BG17-BF17*(1000-AS17*BI17)/(1000-AS17*BH17))/(100*AZ17)</f>
        <v>29.917011562494938</v>
      </c>
      <c r="AF17">
        <f t="shared" ref="AF17:AF29" si="24">1000*BL17*AS17*(BH17-BI17)/(100*AZ17*(1000-AS17*BH17))</f>
        <v>3.9229715960958815</v>
      </c>
      <c r="AG17">
        <f t="shared" ref="AG17:AG29" si="25">(AH17 - AI17 - BM17*1000/(8.314*(BO17+273.15)) * AK17/BL17 * AJ17) * BL17/(100*AZ17) * (1000 - BI17)/1000</f>
        <v>29.964423416555867</v>
      </c>
      <c r="AH17">
        <v>458.94940347910779</v>
      </c>
      <c r="AI17">
        <v>390.22424848484849</v>
      </c>
      <c r="AJ17">
        <v>-3.73378333059185E-3</v>
      </c>
      <c r="AK17">
        <v>84.005116882163591</v>
      </c>
      <c r="AL17">
        <f t="shared" ref="AL17:AL29" si="26">(AN17 - AM17 + BM17*1000/(8.314*(BO17+273.15)) * AP17/BL17 * AO17) * BL17/(100*AZ17) * 1000/(1000 - AN17)</f>
        <v>3.9253369085653262</v>
      </c>
      <c r="AM17">
        <v>19.510515260317721</v>
      </c>
      <c r="AN17">
        <v>28.09384631578947</v>
      </c>
      <c r="AO17">
        <v>1.824584870098284E-6</v>
      </c>
      <c r="AP17">
        <v>90.514184209069057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53978.78221486519</v>
      </c>
      <c r="AV17">
        <f t="shared" ref="AV17:AV29" si="30">$B$11*BU17+$C$11*BV17</f>
        <v>1152.924</v>
      </c>
      <c r="AW17">
        <f t="shared" ref="AW17:AW29" si="31">AV17*AX17</f>
        <v>922.33920000000001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1.21</v>
      </c>
      <c r="BB17" t="s">
        <v>339</v>
      </c>
      <c r="BC17">
        <v>2</v>
      </c>
      <c r="BD17" t="b">
        <v>0</v>
      </c>
      <c r="BE17">
        <v>1755514153.849999</v>
      </c>
      <c r="BF17">
        <v>379.35660000000001</v>
      </c>
      <c r="BG17">
        <v>450.0139333333334</v>
      </c>
      <c r="BH17">
        <v>28.08846333333333</v>
      </c>
      <c r="BI17">
        <v>19.51024</v>
      </c>
      <c r="BJ17">
        <v>376.5657333333333</v>
      </c>
      <c r="BK17">
        <v>27.838023333333339</v>
      </c>
      <c r="BL17">
        <v>400.02493333333342</v>
      </c>
      <c r="BM17">
        <v>102.0657666666667</v>
      </c>
      <c r="BN17">
        <v>9.9983476666666668E-2</v>
      </c>
      <c r="BO17">
        <v>27.044249999999991</v>
      </c>
      <c r="BP17">
        <v>26.14549666666667</v>
      </c>
      <c r="BQ17">
        <v>999.9000000000002</v>
      </c>
      <c r="BR17">
        <v>0</v>
      </c>
      <c r="BS17">
        <v>0</v>
      </c>
      <c r="BT17">
        <v>10003.33333333333</v>
      </c>
      <c r="BU17">
        <v>1152.924</v>
      </c>
      <c r="BV17">
        <v>12.9422</v>
      </c>
      <c r="BW17">
        <v>-70.657393333333346</v>
      </c>
      <c r="BX17">
        <v>390.32009999999991</v>
      </c>
      <c r="BY17">
        <v>458.96853333333343</v>
      </c>
      <c r="BZ17">
        <v>8.5782186666666664</v>
      </c>
      <c r="CA17">
        <v>450.0139333333334</v>
      </c>
      <c r="CB17">
        <v>19.51024</v>
      </c>
      <c r="CC17">
        <v>2.8668666666666671</v>
      </c>
      <c r="CD17">
        <v>1.9913256666666661</v>
      </c>
      <c r="CE17">
        <v>23.274243333333331</v>
      </c>
      <c r="CF17">
        <v>17.375526666666669</v>
      </c>
      <c r="CG17">
        <v>1755513942</v>
      </c>
      <c r="CH17" t="s">
        <v>340</v>
      </c>
      <c r="CI17">
        <v>1755513929.5</v>
      </c>
      <c r="CJ17">
        <v>1755513942</v>
      </c>
      <c r="CK17">
        <v>2</v>
      </c>
      <c r="CL17">
        <v>-0.57599999999999996</v>
      </c>
      <c r="CM17">
        <v>2.7E-2</v>
      </c>
      <c r="CN17">
        <v>3.411</v>
      </c>
      <c r="CO17">
        <v>0.25</v>
      </c>
      <c r="CP17">
        <v>450</v>
      </c>
      <c r="CQ17">
        <v>20</v>
      </c>
      <c r="CR17">
        <v>0.02</v>
      </c>
      <c r="CS17">
        <v>0.01</v>
      </c>
      <c r="CT17">
        <v>-70.601052500000009</v>
      </c>
      <c r="CU17">
        <v>-0.97082138836773768</v>
      </c>
      <c r="CV17">
        <v>9.7664092653083109E-2</v>
      </c>
      <c r="CW17">
        <v>0</v>
      </c>
      <c r="CX17">
        <v>0</v>
      </c>
      <c r="CY17">
        <v>0</v>
      </c>
      <c r="CZ17">
        <v>0</v>
      </c>
      <c r="DA17">
        <v>-1</v>
      </c>
      <c r="DB17">
        <v>8.5747499999999999</v>
      </c>
      <c r="DC17">
        <v>5.5044878048751883E-2</v>
      </c>
      <c r="DD17">
        <v>5.3833530443396921E-3</v>
      </c>
      <c r="DE17">
        <v>1</v>
      </c>
      <c r="DF17">
        <v>1</v>
      </c>
      <c r="DG17">
        <v>2</v>
      </c>
      <c r="DH17" t="s">
        <v>341</v>
      </c>
      <c r="DI17">
        <v>3.0244800000000001</v>
      </c>
      <c r="DJ17">
        <v>2.6911800000000001</v>
      </c>
      <c r="DK17">
        <v>8.9728299999999997E-2</v>
      </c>
      <c r="DL17">
        <v>0.103186</v>
      </c>
      <c r="DM17">
        <v>0.13439100000000001</v>
      </c>
      <c r="DN17">
        <v>0.105189</v>
      </c>
      <c r="DO17">
        <v>25357.599999999999</v>
      </c>
      <c r="DP17">
        <v>16200.3</v>
      </c>
      <c r="DQ17">
        <v>26432.799999999999</v>
      </c>
      <c r="DR17">
        <v>16405.599999999999</v>
      </c>
      <c r="DS17">
        <v>32528.5</v>
      </c>
      <c r="DT17">
        <v>19153</v>
      </c>
      <c r="DU17">
        <v>38505.4</v>
      </c>
      <c r="DV17">
        <v>21715.8</v>
      </c>
      <c r="DW17">
        <v>1.7967599999999999</v>
      </c>
      <c r="DX17">
        <v>2.1887799999999999</v>
      </c>
      <c r="DY17">
        <v>7.1138099999999996E-2</v>
      </c>
      <c r="DZ17">
        <v>0</v>
      </c>
      <c r="EA17">
        <v>24.972999999999999</v>
      </c>
      <c r="EB17">
        <v>999.9</v>
      </c>
      <c r="EC17">
        <v>59.1</v>
      </c>
      <c r="ED17">
        <v>32.6</v>
      </c>
      <c r="EE17">
        <v>28.601600000000001</v>
      </c>
      <c r="EF17">
        <v>62.551000000000002</v>
      </c>
      <c r="EG17">
        <v>35.372599999999998</v>
      </c>
      <c r="EH17">
        <v>1</v>
      </c>
      <c r="EI17">
        <v>5.6085400000000001E-2</v>
      </c>
      <c r="EJ17">
        <v>4.16558E-2</v>
      </c>
      <c r="EK17">
        <v>20.341899999999999</v>
      </c>
      <c r="EL17">
        <v>5.2495200000000004</v>
      </c>
      <c r="EM17">
        <v>11.962</v>
      </c>
      <c r="EN17">
        <v>4.9897200000000002</v>
      </c>
      <c r="EO17">
        <v>3.2911199999999998</v>
      </c>
      <c r="EP17">
        <v>9999</v>
      </c>
      <c r="EQ17">
        <v>9999</v>
      </c>
      <c r="ER17">
        <v>9999</v>
      </c>
      <c r="ES17">
        <v>999.9</v>
      </c>
      <c r="ET17">
        <v>4.9726600000000003</v>
      </c>
      <c r="EU17">
        <v>1.87182</v>
      </c>
      <c r="EV17">
        <v>1.8721000000000001</v>
      </c>
      <c r="EW17">
        <v>1.87714</v>
      </c>
      <c r="EX17">
        <v>1.87127</v>
      </c>
      <c r="EY17">
        <v>1.8720699999999999</v>
      </c>
      <c r="EZ17">
        <v>1.8716699999999999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2.79</v>
      </c>
      <c r="FP17">
        <v>0.25040000000000001</v>
      </c>
      <c r="FQ17">
        <v>-0.17731252693312621</v>
      </c>
      <c r="FR17">
        <v>7.0338458001993282E-3</v>
      </c>
      <c r="FS17">
        <v>2.3387658340725169E-6</v>
      </c>
      <c r="FT17">
        <v>-2.2874075696057401E-10</v>
      </c>
      <c r="FU17">
        <v>0.25043499999999602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3.9</v>
      </c>
      <c r="GD17">
        <v>3.7</v>
      </c>
      <c r="GE17">
        <v>1.1047400000000001</v>
      </c>
      <c r="GF17">
        <v>2.63794</v>
      </c>
      <c r="GG17">
        <v>1.79932</v>
      </c>
      <c r="GH17">
        <v>2.3742700000000001</v>
      </c>
      <c r="GI17">
        <v>1.5979000000000001</v>
      </c>
      <c r="GJ17">
        <v>2.3999000000000001</v>
      </c>
      <c r="GK17">
        <v>35.661299999999997</v>
      </c>
      <c r="GL17">
        <v>24.157499999999999</v>
      </c>
      <c r="GM17">
        <v>18</v>
      </c>
      <c r="GN17">
        <v>365.19299999999998</v>
      </c>
      <c r="GO17">
        <v>673.19899999999996</v>
      </c>
      <c r="GP17">
        <v>25.829899999999999</v>
      </c>
      <c r="GQ17">
        <v>27.8065</v>
      </c>
      <c r="GR17">
        <v>30.0001</v>
      </c>
      <c r="GS17">
        <v>27.7302</v>
      </c>
      <c r="GT17">
        <v>27.767800000000001</v>
      </c>
      <c r="GU17">
        <v>22.065300000000001</v>
      </c>
      <c r="GV17">
        <v>38.109699999999997</v>
      </c>
      <c r="GW17">
        <v>0</v>
      </c>
      <c r="GX17">
        <v>25.83</v>
      </c>
      <c r="GY17">
        <v>450</v>
      </c>
      <c r="GZ17">
        <v>19.5</v>
      </c>
      <c r="HA17">
        <v>100.441</v>
      </c>
      <c r="HB17">
        <v>67.815700000000007</v>
      </c>
    </row>
    <row r="18" spans="1:210" x14ac:dyDescent="0.3">
      <c r="A18">
        <v>2</v>
      </c>
      <c r="B18">
        <v>1755514342.0999999</v>
      </c>
      <c r="C18">
        <v>180.5</v>
      </c>
      <c r="D18" t="s">
        <v>345</v>
      </c>
      <c r="E18" t="s">
        <v>346</v>
      </c>
      <c r="F18">
        <v>15</v>
      </c>
      <c r="G18">
        <v>1755514334.349999</v>
      </c>
      <c r="H18">
        <f t="shared" si="0"/>
        <v>4.0139564826704843E-3</v>
      </c>
      <c r="I18">
        <f t="shared" si="1"/>
        <v>4.0139564826704843</v>
      </c>
      <c r="J18">
        <f t="shared" si="2"/>
        <v>17.791191192789206</v>
      </c>
      <c r="K18">
        <f t="shared" si="3"/>
        <v>257.62236666666672</v>
      </c>
      <c r="L18">
        <f t="shared" si="4"/>
        <v>219.17044689423747</v>
      </c>
      <c r="M18">
        <f t="shared" si="5"/>
        <v>22.390477439064338</v>
      </c>
      <c r="N18">
        <f t="shared" si="6"/>
        <v>26.318729876167549</v>
      </c>
      <c r="O18">
        <f t="shared" si="7"/>
        <v>0.90564347758430808</v>
      </c>
      <c r="P18">
        <f t="shared" si="8"/>
        <v>2.4284081656254073</v>
      </c>
      <c r="Q18">
        <f t="shared" si="9"/>
        <v>0.762396988799667</v>
      </c>
      <c r="R18">
        <f t="shared" si="10"/>
        <v>0.48757263892643621</v>
      </c>
      <c r="S18">
        <f t="shared" si="11"/>
        <v>218.93624</v>
      </c>
      <c r="T18">
        <f t="shared" si="12"/>
        <v>27.353372653313905</v>
      </c>
      <c r="U18">
        <f t="shared" si="13"/>
        <v>26.158999999999999</v>
      </c>
      <c r="V18">
        <f t="shared" si="14"/>
        <v>3.4061360705703043</v>
      </c>
      <c r="W18">
        <f t="shared" si="15"/>
        <v>80.320563712716492</v>
      </c>
      <c r="X18">
        <f t="shared" si="16"/>
        <v>2.8848323224283052</v>
      </c>
      <c r="Y18">
        <f t="shared" si="17"/>
        <v>3.5916485008079859</v>
      </c>
      <c r="Z18">
        <f t="shared" si="18"/>
        <v>0.52130374814199909</v>
      </c>
      <c r="AA18">
        <f t="shared" si="19"/>
        <v>-177.01548088576837</v>
      </c>
      <c r="AB18">
        <f t="shared" si="20"/>
        <v>117.87020143180681</v>
      </c>
      <c r="AC18">
        <f t="shared" si="21"/>
        <v>10.434215218929561</v>
      </c>
      <c r="AD18">
        <f t="shared" si="22"/>
        <v>170.22517576496799</v>
      </c>
      <c r="AE18">
        <f t="shared" si="23"/>
        <v>17.791191192789206</v>
      </c>
      <c r="AF18">
        <f t="shared" si="24"/>
        <v>4.0139564826704843</v>
      </c>
      <c r="AG18">
        <f t="shared" si="25"/>
        <v>17.723185036499519</v>
      </c>
      <c r="AH18">
        <v>305.95824174713209</v>
      </c>
      <c r="AI18">
        <v>265.2251333333333</v>
      </c>
      <c r="AJ18">
        <v>7.4944687829158786E-3</v>
      </c>
      <c r="AK18">
        <v>84.005116882163591</v>
      </c>
      <c r="AL18">
        <f t="shared" si="26"/>
        <v>4.0153294001878468</v>
      </c>
      <c r="AM18">
        <v>19.46304233193413</v>
      </c>
      <c r="AN18">
        <v>28.24237939849624</v>
      </c>
      <c r="AO18">
        <v>1.9789028231320719E-6</v>
      </c>
      <c r="AP18">
        <v>90.514184209069057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53983.458532519435</v>
      </c>
      <c r="AV18">
        <f t="shared" si="30"/>
        <v>1152.296</v>
      </c>
      <c r="AW18">
        <f t="shared" si="31"/>
        <v>921.83680000000004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339</v>
      </c>
      <c r="BC18">
        <v>2</v>
      </c>
      <c r="BD18" t="b">
        <v>0</v>
      </c>
      <c r="BE18">
        <v>1755514334.349999</v>
      </c>
      <c r="BF18">
        <v>257.62236666666672</v>
      </c>
      <c r="BG18">
        <v>299.97933333333327</v>
      </c>
      <c r="BH18">
        <v>28.238343333333329</v>
      </c>
      <c r="BI18">
        <v>19.46195333333333</v>
      </c>
      <c r="BJ18">
        <v>255.85079999999999</v>
      </c>
      <c r="BK18">
        <v>27.987909999999999</v>
      </c>
      <c r="BL18">
        <v>399.99909999999988</v>
      </c>
      <c r="BM18">
        <v>102.0601666666667</v>
      </c>
      <c r="BN18">
        <v>9.9945503333333324E-2</v>
      </c>
      <c r="BO18">
        <v>27.05932000000001</v>
      </c>
      <c r="BP18">
        <v>26.158999999999999</v>
      </c>
      <c r="BQ18">
        <v>999.9000000000002</v>
      </c>
      <c r="BR18">
        <v>0</v>
      </c>
      <c r="BS18">
        <v>0</v>
      </c>
      <c r="BT18">
        <v>10005.33333333333</v>
      </c>
      <c r="BU18">
        <v>1152.296</v>
      </c>
      <c r="BV18">
        <v>12.9422</v>
      </c>
      <c r="BW18">
        <v>-42.356993333333342</v>
      </c>
      <c r="BX18">
        <v>265.10853333333341</v>
      </c>
      <c r="BY18">
        <v>305.93336666666659</v>
      </c>
      <c r="BZ18">
        <v>8.7763840000000002</v>
      </c>
      <c r="CA18">
        <v>299.97933333333327</v>
      </c>
      <c r="CB18">
        <v>19.46195333333333</v>
      </c>
      <c r="CC18">
        <v>2.8820106666666669</v>
      </c>
      <c r="CD18">
        <v>1.9862913333333341</v>
      </c>
      <c r="CE18">
        <v>23.361499999999999</v>
      </c>
      <c r="CF18">
        <v>17.335486666666672</v>
      </c>
      <c r="CG18">
        <v>1755513942</v>
      </c>
      <c r="CH18" t="s">
        <v>340</v>
      </c>
      <c r="CI18">
        <v>1755513929.5</v>
      </c>
      <c r="CJ18">
        <v>1755513942</v>
      </c>
      <c r="CK18">
        <v>2</v>
      </c>
      <c r="CL18">
        <v>-0.57599999999999996</v>
      </c>
      <c r="CM18">
        <v>2.7E-2</v>
      </c>
      <c r="CN18">
        <v>3.411</v>
      </c>
      <c r="CO18">
        <v>0.25</v>
      </c>
      <c r="CP18">
        <v>450</v>
      </c>
      <c r="CQ18">
        <v>20</v>
      </c>
      <c r="CR18">
        <v>0.02</v>
      </c>
      <c r="CS18">
        <v>0.01</v>
      </c>
      <c r="CT18">
        <v>-42.40782195121951</v>
      </c>
      <c r="CU18">
        <v>1.0611491289197941</v>
      </c>
      <c r="CV18">
        <v>0.1052761884739717</v>
      </c>
      <c r="CW18">
        <v>0</v>
      </c>
      <c r="CX18">
        <v>0</v>
      </c>
      <c r="CY18">
        <v>0</v>
      </c>
      <c r="CZ18">
        <v>0</v>
      </c>
      <c r="DA18">
        <v>-1</v>
      </c>
      <c r="DB18">
        <v>8.7734870731707311</v>
      </c>
      <c r="DC18">
        <v>5.295993031358958E-2</v>
      </c>
      <c r="DD18">
        <v>5.4487873987335549E-3</v>
      </c>
      <c r="DE18">
        <v>1</v>
      </c>
      <c r="DF18">
        <v>1</v>
      </c>
      <c r="DG18">
        <v>2</v>
      </c>
      <c r="DH18" t="s">
        <v>341</v>
      </c>
      <c r="DI18">
        <v>3.0244</v>
      </c>
      <c r="DJ18">
        <v>2.6911999999999998</v>
      </c>
      <c r="DK18">
        <v>6.5690999999999999E-2</v>
      </c>
      <c r="DL18">
        <v>7.5260300000000002E-2</v>
      </c>
      <c r="DM18">
        <v>0.13487399999999999</v>
      </c>
      <c r="DN18">
        <v>0.105004</v>
      </c>
      <c r="DO18">
        <v>26027</v>
      </c>
      <c r="DP18">
        <v>16704.900000000001</v>
      </c>
      <c r="DQ18">
        <v>26432.7</v>
      </c>
      <c r="DR18">
        <v>16405.8</v>
      </c>
      <c r="DS18">
        <v>32509.5</v>
      </c>
      <c r="DT18">
        <v>19157.3</v>
      </c>
      <c r="DU18">
        <v>38505.599999999999</v>
      </c>
      <c r="DV18">
        <v>21716.6</v>
      </c>
      <c r="DW18">
        <v>1.7967200000000001</v>
      </c>
      <c r="DX18">
        <v>2.1882199999999998</v>
      </c>
      <c r="DY18">
        <v>7.1704400000000001E-2</v>
      </c>
      <c r="DZ18">
        <v>0</v>
      </c>
      <c r="EA18">
        <v>24.9877</v>
      </c>
      <c r="EB18">
        <v>999.9</v>
      </c>
      <c r="EC18">
        <v>59</v>
      </c>
      <c r="ED18">
        <v>32.6</v>
      </c>
      <c r="EE18">
        <v>28.5566</v>
      </c>
      <c r="EF18">
        <v>62.601100000000002</v>
      </c>
      <c r="EG18">
        <v>35.661099999999998</v>
      </c>
      <c r="EH18">
        <v>1</v>
      </c>
      <c r="EI18">
        <v>5.6906499999999999E-2</v>
      </c>
      <c r="EJ18">
        <v>4.5782099999999999E-2</v>
      </c>
      <c r="EK18">
        <v>20.342099999999999</v>
      </c>
      <c r="EL18">
        <v>5.2526299999999999</v>
      </c>
      <c r="EM18">
        <v>11.962</v>
      </c>
      <c r="EN18">
        <v>4.9896399999999996</v>
      </c>
      <c r="EO18">
        <v>3.29108</v>
      </c>
      <c r="EP18">
        <v>9999</v>
      </c>
      <c r="EQ18">
        <v>9999</v>
      </c>
      <c r="ER18">
        <v>9999</v>
      </c>
      <c r="ES18">
        <v>999.9</v>
      </c>
      <c r="ET18">
        <v>4.9726800000000004</v>
      </c>
      <c r="EU18">
        <v>1.87181</v>
      </c>
      <c r="EV18">
        <v>1.8721000000000001</v>
      </c>
      <c r="EW18">
        <v>1.87714</v>
      </c>
      <c r="EX18">
        <v>1.8713</v>
      </c>
      <c r="EY18">
        <v>1.8720399999999999</v>
      </c>
      <c r="EZ18">
        <v>1.87165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1.772</v>
      </c>
      <c r="FP18">
        <v>0.2505</v>
      </c>
      <c r="FQ18">
        <v>-0.17731252693312621</v>
      </c>
      <c r="FR18">
        <v>7.0338458001993282E-3</v>
      </c>
      <c r="FS18">
        <v>2.3387658340725169E-6</v>
      </c>
      <c r="FT18">
        <v>-2.2874075696057401E-10</v>
      </c>
      <c r="FU18">
        <v>0.25043499999999602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6.9</v>
      </c>
      <c r="GD18">
        <v>6.7</v>
      </c>
      <c r="GE18">
        <v>0.80200199999999999</v>
      </c>
      <c r="GF18">
        <v>2.6293899999999999</v>
      </c>
      <c r="GG18">
        <v>1.7981</v>
      </c>
      <c r="GH18">
        <v>2.3742700000000001</v>
      </c>
      <c r="GI18">
        <v>1.5979000000000001</v>
      </c>
      <c r="GJ18">
        <v>2.5585900000000001</v>
      </c>
      <c r="GK18">
        <v>35.661299999999997</v>
      </c>
      <c r="GL18">
        <v>24.1663</v>
      </c>
      <c r="GM18">
        <v>18</v>
      </c>
      <c r="GN18">
        <v>365.26400000000001</v>
      </c>
      <c r="GO18">
        <v>672.86</v>
      </c>
      <c r="GP18">
        <v>25.830100000000002</v>
      </c>
      <c r="GQ18">
        <v>27.8184</v>
      </c>
      <c r="GR18">
        <v>30.0001</v>
      </c>
      <c r="GS18">
        <v>27.744199999999999</v>
      </c>
      <c r="GT18">
        <v>27.779599999999999</v>
      </c>
      <c r="GU18">
        <v>16.001799999999999</v>
      </c>
      <c r="GV18">
        <v>38.109699999999997</v>
      </c>
      <c r="GW18">
        <v>0</v>
      </c>
      <c r="GX18">
        <v>25.83</v>
      </c>
      <c r="GY18">
        <v>300</v>
      </c>
      <c r="GZ18">
        <v>19.5</v>
      </c>
      <c r="HA18">
        <v>100.441</v>
      </c>
      <c r="HB18">
        <v>67.817400000000006</v>
      </c>
    </row>
    <row r="19" spans="1:210" x14ac:dyDescent="0.3">
      <c r="A19">
        <v>3</v>
      </c>
      <c r="B19">
        <v>1755514522.5999999</v>
      </c>
      <c r="C19">
        <v>361</v>
      </c>
      <c r="D19" t="s">
        <v>347</v>
      </c>
      <c r="E19" t="s">
        <v>348</v>
      </c>
      <c r="F19">
        <v>15</v>
      </c>
      <c r="G19">
        <v>1755514514.849999</v>
      </c>
      <c r="H19">
        <f t="shared" si="0"/>
        <v>4.0626713197591717E-3</v>
      </c>
      <c r="I19">
        <f t="shared" si="1"/>
        <v>4.062671319759172</v>
      </c>
      <c r="J19">
        <f t="shared" si="2"/>
        <v>10.470382854411728</v>
      </c>
      <c r="K19">
        <f t="shared" si="3"/>
        <v>174.84256666666661</v>
      </c>
      <c r="L19">
        <f t="shared" si="4"/>
        <v>152.99910129434548</v>
      </c>
      <c r="M19">
        <f t="shared" si="5"/>
        <v>15.631362046889947</v>
      </c>
      <c r="N19">
        <f t="shared" si="6"/>
        <v>17.863029505750209</v>
      </c>
      <c r="O19">
        <f t="shared" si="7"/>
        <v>0.95405234672169947</v>
      </c>
      <c r="P19">
        <f t="shared" si="8"/>
        <v>2.4272061868271684</v>
      </c>
      <c r="Q19">
        <f t="shared" si="9"/>
        <v>0.79635873670567758</v>
      </c>
      <c r="R19">
        <f t="shared" si="10"/>
        <v>0.50982475241527814</v>
      </c>
      <c r="S19">
        <f t="shared" si="11"/>
        <v>218.82401333333328</v>
      </c>
      <c r="T19">
        <f t="shared" si="12"/>
        <v>27.352535836490738</v>
      </c>
      <c r="U19">
        <f t="shared" si="13"/>
        <v>26.165863333333331</v>
      </c>
      <c r="V19">
        <f t="shared" si="14"/>
        <v>3.4075179895847771</v>
      </c>
      <c r="W19">
        <f t="shared" si="15"/>
        <v>80.739205140356475</v>
      </c>
      <c r="X19">
        <f t="shared" si="16"/>
        <v>2.9024054436647231</v>
      </c>
      <c r="Y19">
        <f t="shared" si="17"/>
        <v>3.5947907074626282</v>
      </c>
      <c r="Z19">
        <f t="shared" si="18"/>
        <v>0.50511254592005406</v>
      </c>
      <c r="AA19">
        <f t="shared" si="19"/>
        <v>-179.16380520137946</v>
      </c>
      <c r="AB19">
        <f t="shared" si="20"/>
        <v>118.86306589347076</v>
      </c>
      <c r="AC19">
        <f t="shared" si="21"/>
        <v>10.528464480333392</v>
      </c>
      <c r="AD19">
        <f t="shared" si="22"/>
        <v>169.05173850575795</v>
      </c>
      <c r="AE19">
        <f t="shared" si="23"/>
        <v>10.470382854411728</v>
      </c>
      <c r="AF19">
        <f t="shared" si="24"/>
        <v>4.062671319759172</v>
      </c>
      <c r="AG19">
        <f t="shared" si="25"/>
        <v>10.463976569428111</v>
      </c>
      <c r="AH19">
        <v>203.98073814328819</v>
      </c>
      <c r="AI19">
        <v>179.96818787878789</v>
      </c>
      <c r="AJ19">
        <v>-1.33520300765167E-5</v>
      </c>
      <c r="AK19">
        <v>84.005116882163591</v>
      </c>
      <c r="AL19">
        <f t="shared" si="26"/>
        <v>4.0663082875477965</v>
      </c>
      <c r="AM19">
        <v>19.52578797424864</v>
      </c>
      <c r="AN19">
        <v>28.414900150375939</v>
      </c>
      <c r="AO19">
        <v>4.0716194468868186E-6</v>
      </c>
      <c r="AP19">
        <v>90.514184209069057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53940.588370814396</v>
      </c>
      <c r="AV19">
        <f t="shared" si="30"/>
        <v>1151.7053333333331</v>
      </c>
      <c r="AW19">
        <f t="shared" si="31"/>
        <v>921.36426666666648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339</v>
      </c>
      <c r="BC19">
        <v>2</v>
      </c>
      <c r="BD19" t="b">
        <v>0</v>
      </c>
      <c r="BE19">
        <v>1755514514.849999</v>
      </c>
      <c r="BF19">
        <v>174.84256666666661</v>
      </c>
      <c r="BG19">
        <v>199.9989666666666</v>
      </c>
      <c r="BH19">
        <v>28.408619999999999</v>
      </c>
      <c r="BI19">
        <v>19.52736333333333</v>
      </c>
      <c r="BJ19">
        <v>173.7284333333333</v>
      </c>
      <c r="BK19">
        <v>28.158196666666662</v>
      </c>
      <c r="BL19">
        <v>400.00316666666657</v>
      </c>
      <c r="BM19">
        <v>102.0663666666666</v>
      </c>
      <c r="BN19">
        <v>9.9998459999999997E-2</v>
      </c>
      <c r="BO19">
        <v>27.074216666666661</v>
      </c>
      <c r="BP19">
        <v>26.165863333333331</v>
      </c>
      <c r="BQ19">
        <v>999.9000000000002</v>
      </c>
      <c r="BR19">
        <v>0</v>
      </c>
      <c r="BS19">
        <v>0</v>
      </c>
      <c r="BT19">
        <v>9996.9333333333325</v>
      </c>
      <c r="BU19">
        <v>1151.7053333333331</v>
      </c>
      <c r="BV19">
        <v>12.936083333333331</v>
      </c>
      <c r="BW19">
        <v>-25.15641333333334</v>
      </c>
      <c r="BX19">
        <v>179.95486666666659</v>
      </c>
      <c r="BY19">
        <v>203.98223333333331</v>
      </c>
      <c r="BZ19">
        <v>8.8812613333333346</v>
      </c>
      <c r="CA19">
        <v>199.9989666666666</v>
      </c>
      <c r="CB19">
        <v>19.52736333333333</v>
      </c>
      <c r="CC19">
        <v>2.8995636666666669</v>
      </c>
      <c r="CD19">
        <v>1.9930866666666669</v>
      </c>
      <c r="CE19">
        <v>23.46213333333333</v>
      </c>
      <c r="CF19">
        <v>17.38951333333333</v>
      </c>
      <c r="CG19">
        <v>1755513942</v>
      </c>
      <c r="CH19" t="s">
        <v>340</v>
      </c>
      <c r="CI19">
        <v>1755513929.5</v>
      </c>
      <c r="CJ19">
        <v>1755513942</v>
      </c>
      <c r="CK19">
        <v>2</v>
      </c>
      <c r="CL19">
        <v>-0.57599999999999996</v>
      </c>
      <c r="CM19">
        <v>2.7E-2</v>
      </c>
      <c r="CN19">
        <v>3.411</v>
      </c>
      <c r="CO19">
        <v>0.25</v>
      </c>
      <c r="CP19">
        <v>450</v>
      </c>
      <c r="CQ19">
        <v>20</v>
      </c>
      <c r="CR19">
        <v>0.02</v>
      </c>
      <c r="CS19">
        <v>0.01</v>
      </c>
      <c r="CT19">
        <v>-25.168502499999999</v>
      </c>
      <c r="CU19">
        <v>0.25715909943722459</v>
      </c>
      <c r="CV19">
        <v>2.8781361047560079E-2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8.8788634999999996</v>
      </c>
      <c r="DC19">
        <v>5.8508442776724068E-2</v>
      </c>
      <c r="DD19">
        <v>5.6944251465798441E-3</v>
      </c>
      <c r="DE19">
        <v>1</v>
      </c>
      <c r="DF19">
        <v>2</v>
      </c>
      <c r="DG19">
        <v>2</v>
      </c>
      <c r="DH19" t="s">
        <v>349</v>
      </c>
      <c r="DI19">
        <v>3.0244800000000001</v>
      </c>
      <c r="DJ19">
        <v>2.6914500000000001</v>
      </c>
      <c r="DK19">
        <v>4.6784199999999998E-2</v>
      </c>
      <c r="DL19">
        <v>5.3295200000000001E-2</v>
      </c>
      <c r="DM19">
        <v>0.13544600000000001</v>
      </c>
      <c r="DN19">
        <v>0.105255</v>
      </c>
      <c r="DO19">
        <v>26552.400000000001</v>
      </c>
      <c r="DP19">
        <v>17100.7</v>
      </c>
      <c r="DQ19">
        <v>26431.599999999999</v>
      </c>
      <c r="DR19">
        <v>16404.900000000001</v>
      </c>
      <c r="DS19">
        <v>32485.5</v>
      </c>
      <c r="DT19">
        <v>19150.599999999999</v>
      </c>
      <c r="DU19">
        <v>38503.800000000003</v>
      </c>
      <c r="DV19">
        <v>21715.599999999999</v>
      </c>
      <c r="DW19">
        <v>1.79678</v>
      </c>
      <c r="DX19">
        <v>2.1881200000000001</v>
      </c>
      <c r="DY19">
        <v>7.1287199999999995E-2</v>
      </c>
      <c r="DZ19">
        <v>0</v>
      </c>
      <c r="EA19">
        <v>25.000399999999999</v>
      </c>
      <c r="EB19">
        <v>999.9</v>
      </c>
      <c r="EC19">
        <v>58.9</v>
      </c>
      <c r="ED19">
        <v>32.6</v>
      </c>
      <c r="EE19">
        <v>28.504200000000001</v>
      </c>
      <c r="EF19">
        <v>62.781100000000002</v>
      </c>
      <c r="EG19">
        <v>35.540900000000001</v>
      </c>
      <c r="EH19">
        <v>1</v>
      </c>
      <c r="EI19">
        <v>5.7361799999999998E-2</v>
      </c>
      <c r="EJ19">
        <v>4.8910700000000001E-2</v>
      </c>
      <c r="EK19">
        <v>20.341999999999999</v>
      </c>
      <c r="EL19">
        <v>5.2503500000000001</v>
      </c>
      <c r="EM19">
        <v>11.962</v>
      </c>
      <c r="EN19">
        <v>4.9896000000000003</v>
      </c>
      <c r="EO19">
        <v>3.29108</v>
      </c>
      <c r="EP19">
        <v>9999</v>
      </c>
      <c r="EQ19">
        <v>9999</v>
      </c>
      <c r="ER19">
        <v>9999</v>
      </c>
      <c r="ES19">
        <v>999.9</v>
      </c>
      <c r="ET19">
        <v>4.9726400000000002</v>
      </c>
      <c r="EU19">
        <v>1.8717999999999999</v>
      </c>
      <c r="EV19">
        <v>1.8721000000000001</v>
      </c>
      <c r="EW19">
        <v>1.87714</v>
      </c>
      <c r="EX19">
        <v>1.8712599999999999</v>
      </c>
      <c r="EY19">
        <v>1.8720300000000001</v>
      </c>
      <c r="EZ19">
        <v>1.87165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1.1140000000000001</v>
      </c>
      <c r="FP19">
        <v>0.25040000000000001</v>
      </c>
      <c r="FQ19">
        <v>-0.17731252693312621</v>
      </c>
      <c r="FR19">
        <v>7.0338458001993282E-3</v>
      </c>
      <c r="FS19">
        <v>2.3387658340725169E-6</v>
      </c>
      <c r="FT19">
        <v>-2.2874075696057401E-10</v>
      </c>
      <c r="FU19">
        <v>0.25043499999999602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9.9</v>
      </c>
      <c r="GD19">
        <v>9.6999999999999993</v>
      </c>
      <c r="GE19">
        <v>0.58837899999999999</v>
      </c>
      <c r="GF19">
        <v>2.63184</v>
      </c>
      <c r="GG19">
        <v>1.7981</v>
      </c>
      <c r="GH19">
        <v>2.3742700000000001</v>
      </c>
      <c r="GI19">
        <v>1.5979000000000001</v>
      </c>
      <c r="GJ19">
        <v>2.4877899999999999</v>
      </c>
      <c r="GK19">
        <v>35.637999999999998</v>
      </c>
      <c r="GL19">
        <v>24.1663</v>
      </c>
      <c r="GM19">
        <v>18</v>
      </c>
      <c r="GN19">
        <v>365.34100000000001</v>
      </c>
      <c r="GO19">
        <v>672.86099999999999</v>
      </c>
      <c r="GP19">
        <v>25.83</v>
      </c>
      <c r="GQ19">
        <v>27.8231</v>
      </c>
      <c r="GR19">
        <v>30.0002</v>
      </c>
      <c r="GS19">
        <v>27.751200000000001</v>
      </c>
      <c r="GT19">
        <v>27.7867</v>
      </c>
      <c r="GU19">
        <v>11.7278</v>
      </c>
      <c r="GV19">
        <v>37.837699999999998</v>
      </c>
      <c r="GW19">
        <v>0</v>
      </c>
      <c r="GX19">
        <v>25.83</v>
      </c>
      <c r="GY19">
        <v>200</v>
      </c>
      <c r="GZ19">
        <v>19.5</v>
      </c>
      <c r="HA19">
        <v>100.43600000000001</v>
      </c>
      <c r="HB19">
        <v>67.813999999999993</v>
      </c>
    </row>
    <row r="20" spans="1:210" x14ac:dyDescent="0.3">
      <c r="A20">
        <v>4</v>
      </c>
      <c r="B20">
        <v>1755514703.0999999</v>
      </c>
      <c r="C20">
        <v>541.5</v>
      </c>
      <c r="D20" t="s">
        <v>350</v>
      </c>
      <c r="E20" t="s">
        <v>351</v>
      </c>
      <c r="F20">
        <v>15</v>
      </c>
      <c r="G20">
        <v>1755514695.349999</v>
      </c>
      <c r="H20">
        <f t="shared" si="0"/>
        <v>4.1355977073083061E-3</v>
      </c>
      <c r="I20">
        <f t="shared" si="1"/>
        <v>4.1355977073083059</v>
      </c>
      <c r="J20">
        <f t="shared" si="2"/>
        <v>5.1158564003104381</v>
      </c>
      <c r="K20">
        <f t="shared" si="3"/>
        <v>112.4495666666667</v>
      </c>
      <c r="L20">
        <f t="shared" si="4"/>
        <v>101.94788618801508</v>
      </c>
      <c r="M20">
        <f t="shared" si="5"/>
        <v>10.415584796912961</v>
      </c>
      <c r="N20">
        <f t="shared" si="6"/>
        <v>11.488497121291692</v>
      </c>
      <c r="O20">
        <f t="shared" si="7"/>
        <v>0.99708502159141954</v>
      </c>
      <c r="P20">
        <f t="shared" si="8"/>
        <v>2.427184766753713</v>
      </c>
      <c r="Q20">
        <f t="shared" si="9"/>
        <v>0.82612611347946807</v>
      </c>
      <c r="R20">
        <f t="shared" si="10"/>
        <v>0.52936167871901352</v>
      </c>
      <c r="S20">
        <f t="shared" si="11"/>
        <v>218.69975333333329</v>
      </c>
      <c r="T20">
        <f t="shared" si="12"/>
        <v>27.339194839514377</v>
      </c>
      <c r="U20">
        <f t="shared" si="13"/>
        <v>26.174623333333329</v>
      </c>
      <c r="V20">
        <f t="shared" si="14"/>
        <v>3.4092825100825368</v>
      </c>
      <c r="W20">
        <f t="shared" si="15"/>
        <v>81.004406823041123</v>
      </c>
      <c r="X20">
        <f t="shared" si="16"/>
        <v>2.9136657357990496</v>
      </c>
      <c r="Y20">
        <f t="shared" si="17"/>
        <v>3.5969225009746983</v>
      </c>
      <c r="Z20">
        <f t="shared" si="18"/>
        <v>0.49561677428348716</v>
      </c>
      <c r="AA20">
        <f t="shared" si="19"/>
        <v>-182.37985889229631</v>
      </c>
      <c r="AB20">
        <f t="shared" si="20"/>
        <v>119.03736180404552</v>
      </c>
      <c r="AC20">
        <f t="shared" si="21"/>
        <v>10.544991699329245</v>
      </c>
      <c r="AD20">
        <f t="shared" si="22"/>
        <v>165.90224794441173</v>
      </c>
      <c r="AE20">
        <f t="shared" si="23"/>
        <v>5.1158564003104381</v>
      </c>
      <c r="AF20">
        <f t="shared" si="24"/>
        <v>4.1355977073083059</v>
      </c>
      <c r="AG20">
        <f t="shared" si="25"/>
        <v>5.114651958115112</v>
      </c>
      <c r="AH20">
        <v>127.4958669655451</v>
      </c>
      <c r="AI20">
        <v>115.7594363636363</v>
      </c>
      <c r="AJ20">
        <v>-2.9287675895319459E-5</v>
      </c>
      <c r="AK20">
        <v>84.005116882163591</v>
      </c>
      <c r="AL20">
        <f t="shared" si="26"/>
        <v>4.1382800572529366</v>
      </c>
      <c r="AM20">
        <v>19.478808035477879</v>
      </c>
      <c r="AN20">
        <v>28.524389624060131</v>
      </c>
      <c r="AO20">
        <v>3.0379215958502621E-6</v>
      </c>
      <c r="AP20">
        <v>90.514184209069057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53938.042134766663</v>
      </c>
      <c r="AV20">
        <f t="shared" si="30"/>
        <v>1151.0513333333331</v>
      </c>
      <c r="AW20">
        <f t="shared" si="31"/>
        <v>920.84106666666651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339</v>
      </c>
      <c r="BC20">
        <v>2</v>
      </c>
      <c r="BD20" t="b">
        <v>0</v>
      </c>
      <c r="BE20">
        <v>1755514695.349999</v>
      </c>
      <c r="BF20">
        <v>112.4495666666667</v>
      </c>
      <c r="BG20">
        <v>125.0067</v>
      </c>
      <c r="BH20">
        <v>28.518999999999998</v>
      </c>
      <c r="BI20">
        <v>19.479203333333331</v>
      </c>
      <c r="BJ20">
        <v>111.8115333333333</v>
      </c>
      <c r="BK20">
        <v>28.268556666666669</v>
      </c>
      <c r="BL20">
        <v>399.99673333333328</v>
      </c>
      <c r="BM20">
        <v>102.0658</v>
      </c>
      <c r="BN20">
        <v>9.9974950000000007E-2</v>
      </c>
      <c r="BO20">
        <v>27.08431666666667</v>
      </c>
      <c r="BP20">
        <v>26.174623333333329</v>
      </c>
      <c r="BQ20">
        <v>999.9000000000002</v>
      </c>
      <c r="BR20">
        <v>0</v>
      </c>
      <c r="BS20">
        <v>0</v>
      </c>
      <c r="BT20">
        <v>9996.85</v>
      </c>
      <c r="BU20">
        <v>1151.0513333333331</v>
      </c>
      <c r="BV20">
        <v>12.908343333333329</v>
      </c>
      <c r="BW20">
        <v>-12.557133333333329</v>
      </c>
      <c r="BX20">
        <v>115.75069999999999</v>
      </c>
      <c r="BY20">
        <v>127.4901333333333</v>
      </c>
      <c r="BZ20">
        <v>9.0397850000000002</v>
      </c>
      <c r="CA20">
        <v>125.0067</v>
      </c>
      <c r="CB20">
        <v>19.479203333333331</v>
      </c>
      <c r="CC20">
        <v>2.9108136666666669</v>
      </c>
      <c r="CD20">
        <v>1.9881613333333339</v>
      </c>
      <c r="CE20">
        <v>23.526346666666669</v>
      </c>
      <c r="CF20">
        <v>17.35035666666667</v>
      </c>
      <c r="CG20">
        <v>1755513942</v>
      </c>
      <c r="CH20" t="s">
        <v>340</v>
      </c>
      <c r="CI20">
        <v>1755513929.5</v>
      </c>
      <c r="CJ20">
        <v>1755513942</v>
      </c>
      <c r="CK20">
        <v>2</v>
      </c>
      <c r="CL20">
        <v>-0.57599999999999996</v>
      </c>
      <c r="CM20">
        <v>2.7E-2</v>
      </c>
      <c r="CN20">
        <v>3.411</v>
      </c>
      <c r="CO20">
        <v>0.25</v>
      </c>
      <c r="CP20">
        <v>450</v>
      </c>
      <c r="CQ20">
        <v>20</v>
      </c>
      <c r="CR20">
        <v>0.02</v>
      </c>
      <c r="CS20">
        <v>0.01</v>
      </c>
      <c r="CT20">
        <v>-12.56257073170732</v>
      </c>
      <c r="CU20">
        <v>0.1587031358884744</v>
      </c>
      <c r="CV20">
        <v>2.1172833997001921E-2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9.0379334146341463</v>
      </c>
      <c r="DC20">
        <v>4.5809059233465968E-2</v>
      </c>
      <c r="DD20">
        <v>4.6606262584293814E-3</v>
      </c>
      <c r="DE20">
        <v>1</v>
      </c>
      <c r="DF20">
        <v>2</v>
      </c>
      <c r="DG20">
        <v>2</v>
      </c>
      <c r="DH20" t="s">
        <v>349</v>
      </c>
      <c r="DI20">
        <v>3.0244599999999999</v>
      </c>
      <c r="DJ20">
        <v>2.6910599999999998</v>
      </c>
      <c r="DK20">
        <v>3.1007900000000001E-2</v>
      </c>
      <c r="DL20">
        <v>3.4610599999999998E-2</v>
      </c>
      <c r="DM20">
        <v>0.13580300000000001</v>
      </c>
      <c r="DN20">
        <v>0.10507</v>
      </c>
      <c r="DO20">
        <v>26991.4</v>
      </c>
      <c r="DP20">
        <v>17438.400000000001</v>
      </c>
      <c r="DQ20">
        <v>26431.3</v>
      </c>
      <c r="DR20">
        <v>16405.099999999999</v>
      </c>
      <c r="DS20">
        <v>32470.799999999999</v>
      </c>
      <c r="DT20">
        <v>19154.599999999999</v>
      </c>
      <c r="DU20">
        <v>38503.1</v>
      </c>
      <c r="DV20">
        <v>21715.8</v>
      </c>
      <c r="DW20">
        <v>1.79714</v>
      </c>
      <c r="DX20">
        <v>2.1877399999999998</v>
      </c>
      <c r="DY20">
        <v>7.1317000000000005E-2</v>
      </c>
      <c r="DZ20">
        <v>0</v>
      </c>
      <c r="EA20">
        <v>25.007400000000001</v>
      </c>
      <c r="EB20">
        <v>999.9</v>
      </c>
      <c r="EC20">
        <v>58.8</v>
      </c>
      <c r="ED20">
        <v>32.6</v>
      </c>
      <c r="EE20">
        <v>28.456700000000001</v>
      </c>
      <c r="EF20">
        <v>62.951099999999997</v>
      </c>
      <c r="EG20">
        <v>35.665100000000002</v>
      </c>
      <c r="EH20">
        <v>1</v>
      </c>
      <c r="EI20">
        <v>5.72154E-2</v>
      </c>
      <c r="EJ20">
        <v>5.6409599999999997E-2</v>
      </c>
      <c r="EK20">
        <v>20.342300000000002</v>
      </c>
      <c r="EL20">
        <v>5.2497600000000002</v>
      </c>
      <c r="EM20">
        <v>11.962</v>
      </c>
      <c r="EN20">
        <v>4.9897200000000002</v>
      </c>
      <c r="EO20">
        <v>3.2911000000000001</v>
      </c>
      <c r="EP20">
        <v>9999</v>
      </c>
      <c r="EQ20">
        <v>9999</v>
      </c>
      <c r="ER20">
        <v>9999</v>
      </c>
      <c r="ES20">
        <v>999.9</v>
      </c>
      <c r="ET20">
        <v>4.9726600000000003</v>
      </c>
      <c r="EU20">
        <v>1.8717999999999999</v>
      </c>
      <c r="EV20">
        <v>1.8721000000000001</v>
      </c>
      <c r="EW20">
        <v>1.87714</v>
      </c>
      <c r="EX20">
        <v>1.87127</v>
      </c>
      <c r="EY20">
        <v>1.87202</v>
      </c>
      <c r="EZ20">
        <v>1.8716600000000001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0.63900000000000001</v>
      </c>
      <c r="FP20">
        <v>0.2505</v>
      </c>
      <c r="FQ20">
        <v>-0.17731252693312621</v>
      </c>
      <c r="FR20">
        <v>7.0338458001993282E-3</v>
      </c>
      <c r="FS20">
        <v>2.3387658340725169E-6</v>
      </c>
      <c r="FT20">
        <v>-2.2874075696057401E-10</v>
      </c>
      <c r="FU20">
        <v>0.25043499999999602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12.9</v>
      </c>
      <c r="GD20">
        <v>12.7</v>
      </c>
      <c r="GE20">
        <v>0.42236299999999999</v>
      </c>
      <c r="GF20">
        <v>2.6452599999999999</v>
      </c>
      <c r="GG20">
        <v>1.7981</v>
      </c>
      <c r="GH20">
        <v>2.3742700000000001</v>
      </c>
      <c r="GI20">
        <v>1.5979000000000001</v>
      </c>
      <c r="GJ20">
        <v>2.5585900000000001</v>
      </c>
      <c r="GK20">
        <v>35.637999999999998</v>
      </c>
      <c r="GL20">
        <v>24.1663</v>
      </c>
      <c r="GM20">
        <v>18</v>
      </c>
      <c r="GN20">
        <v>365.541</v>
      </c>
      <c r="GO20">
        <v>672.55899999999997</v>
      </c>
      <c r="GP20">
        <v>25.83</v>
      </c>
      <c r="GQ20">
        <v>27.825500000000002</v>
      </c>
      <c r="GR20">
        <v>30</v>
      </c>
      <c r="GS20">
        <v>27.753499999999999</v>
      </c>
      <c r="GT20">
        <v>27.789000000000001</v>
      </c>
      <c r="GU20">
        <v>8.4276900000000001</v>
      </c>
      <c r="GV20">
        <v>37.837699999999998</v>
      </c>
      <c r="GW20">
        <v>0</v>
      </c>
      <c r="GX20">
        <v>25.83</v>
      </c>
      <c r="GY20">
        <v>125</v>
      </c>
      <c r="GZ20">
        <v>19.5</v>
      </c>
      <c r="HA20">
        <v>100.435</v>
      </c>
      <c r="HB20">
        <v>67.814700000000002</v>
      </c>
    </row>
    <row r="21" spans="1:210" x14ac:dyDescent="0.3">
      <c r="A21">
        <v>5</v>
      </c>
      <c r="B21">
        <v>1755514883.5999999</v>
      </c>
      <c r="C21">
        <v>722</v>
      </c>
      <c r="D21" t="s">
        <v>352</v>
      </c>
      <c r="E21" t="s">
        <v>353</v>
      </c>
      <c r="F21">
        <v>15</v>
      </c>
      <c r="G21">
        <v>1755514875.849999</v>
      </c>
      <c r="H21">
        <f t="shared" si="0"/>
        <v>4.1850449771541056E-3</v>
      </c>
      <c r="I21">
        <f t="shared" si="1"/>
        <v>4.1850449771541056</v>
      </c>
      <c r="J21">
        <f t="shared" si="2"/>
        <v>1.643870409483263</v>
      </c>
      <c r="K21">
        <f t="shared" si="3"/>
        <v>70.62715</v>
      </c>
      <c r="L21">
        <f t="shared" si="4"/>
        <v>67.096895021023172</v>
      </c>
      <c r="M21">
        <f t="shared" si="5"/>
        <v>6.8550033967628954</v>
      </c>
      <c r="N21">
        <f t="shared" si="6"/>
        <v>7.2156744809426145</v>
      </c>
      <c r="O21">
        <f t="shared" si="7"/>
        <v>1.0369977767219583</v>
      </c>
      <c r="P21">
        <f t="shared" si="8"/>
        <v>2.4280085631231731</v>
      </c>
      <c r="Q21">
        <f t="shared" si="9"/>
        <v>0.85339745800054756</v>
      </c>
      <c r="R21">
        <f t="shared" si="10"/>
        <v>0.54728655080532618</v>
      </c>
      <c r="S21">
        <f t="shared" si="11"/>
        <v>218.6613733333333</v>
      </c>
      <c r="T21">
        <f t="shared" si="12"/>
        <v>27.327894028680216</v>
      </c>
      <c r="U21">
        <f t="shared" si="13"/>
        <v>26.174330000000001</v>
      </c>
      <c r="V21">
        <f t="shared" si="14"/>
        <v>3.4092234112499424</v>
      </c>
      <c r="W21">
        <f t="shared" si="15"/>
        <v>81.263555702594914</v>
      </c>
      <c r="X21">
        <f t="shared" si="16"/>
        <v>2.9237329446551268</v>
      </c>
      <c r="Y21">
        <f t="shared" si="17"/>
        <v>3.5978402856937333</v>
      </c>
      <c r="Z21">
        <f t="shared" si="18"/>
        <v>0.48549046659481565</v>
      </c>
      <c r="AA21">
        <f t="shared" si="19"/>
        <v>-184.56048349249605</v>
      </c>
      <c r="AB21">
        <f t="shared" si="20"/>
        <v>119.68513398930922</v>
      </c>
      <c r="AC21">
        <f t="shared" si="21"/>
        <v>10.598993013216713</v>
      </c>
      <c r="AD21">
        <f t="shared" si="22"/>
        <v>164.38501684336319</v>
      </c>
      <c r="AE21">
        <f t="shared" si="23"/>
        <v>1.643870409483263</v>
      </c>
      <c r="AF21">
        <f t="shared" si="24"/>
        <v>4.1850449771541056</v>
      </c>
      <c r="AG21">
        <f t="shared" si="25"/>
        <v>1.6358384706925357</v>
      </c>
      <c r="AH21">
        <v>76.479470668493875</v>
      </c>
      <c r="AI21">
        <v>72.72572606060605</v>
      </c>
      <c r="AJ21">
        <v>6.5760374126137751E-5</v>
      </c>
      <c r="AK21">
        <v>84.005116882163591</v>
      </c>
      <c r="AL21">
        <f t="shared" si="26"/>
        <v>4.1801769312156791</v>
      </c>
      <c r="AM21">
        <v>19.488980179017929</v>
      </c>
      <c r="AN21">
        <v>28.623827669172901</v>
      </c>
      <c r="AO21">
        <v>-4.9952256816479456E-7</v>
      </c>
      <c r="AP21">
        <v>90.514184209069057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53964.893733051031</v>
      </c>
      <c r="AV21">
        <f t="shared" si="30"/>
        <v>1150.8493333333331</v>
      </c>
      <c r="AW21">
        <f t="shared" si="31"/>
        <v>920.67946666666649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339</v>
      </c>
      <c r="BC21">
        <v>2</v>
      </c>
      <c r="BD21" t="b">
        <v>0</v>
      </c>
      <c r="BE21">
        <v>1755514875.849999</v>
      </c>
      <c r="BF21">
        <v>70.62715</v>
      </c>
      <c r="BG21">
        <v>74.990269999999995</v>
      </c>
      <c r="BH21">
        <v>28.617550000000001</v>
      </c>
      <c r="BI21">
        <v>19.472010000000001</v>
      </c>
      <c r="BJ21">
        <v>70.298536666666664</v>
      </c>
      <c r="BK21">
        <v>28.367123333333328</v>
      </c>
      <c r="BL21">
        <v>400.0585333333334</v>
      </c>
      <c r="BM21">
        <v>102.06570000000001</v>
      </c>
      <c r="BN21">
        <v>0.10003202999999999</v>
      </c>
      <c r="BO21">
        <v>27.088663333333329</v>
      </c>
      <c r="BP21">
        <v>26.174330000000001</v>
      </c>
      <c r="BQ21">
        <v>999.9000000000002</v>
      </c>
      <c r="BR21">
        <v>0</v>
      </c>
      <c r="BS21">
        <v>0</v>
      </c>
      <c r="BT21">
        <v>10002.200000000001</v>
      </c>
      <c r="BU21">
        <v>1150.8493333333331</v>
      </c>
      <c r="BV21">
        <v>12.90727666666667</v>
      </c>
      <c r="BW21">
        <v>-4.363102333333333</v>
      </c>
      <c r="BX21">
        <v>72.707893333333317</v>
      </c>
      <c r="BY21">
        <v>76.479476666666656</v>
      </c>
      <c r="BZ21">
        <v>9.145544666666666</v>
      </c>
      <c r="CA21">
        <v>74.990269999999995</v>
      </c>
      <c r="CB21">
        <v>19.472010000000001</v>
      </c>
      <c r="CC21">
        <v>2.9208676666666671</v>
      </c>
      <c r="CD21">
        <v>1.9874216666666671</v>
      </c>
      <c r="CE21">
        <v>23.58356666666667</v>
      </c>
      <c r="CF21">
        <v>17.344486666666668</v>
      </c>
      <c r="CG21">
        <v>1755513942</v>
      </c>
      <c r="CH21" t="s">
        <v>340</v>
      </c>
      <c r="CI21">
        <v>1755513929.5</v>
      </c>
      <c r="CJ21">
        <v>1755513942</v>
      </c>
      <c r="CK21">
        <v>2</v>
      </c>
      <c r="CL21">
        <v>-0.57599999999999996</v>
      </c>
      <c r="CM21">
        <v>2.7E-2</v>
      </c>
      <c r="CN21">
        <v>3.411</v>
      </c>
      <c r="CO21">
        <v>0.25</v>
      </c>
      <c r="CP21">
        <v>450</v>
      </c>
      <c r="CQ21">
        <v>20</v>
      </c>
      <c r="CR21">
        <v>0.02</v>
      </c>
      <c r="CS21">
        <v>0.01</v>
      </c>
      <c r="CT21">
        <v>-4.3728873170731708</v>
      </c>
      <c r="CU21">
        <v>0.18127672473866241</v>
      </c>
      <c r="CV21">
        <v>1.9948961709565411E-2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9.1543748780487793</v>
      </c>
      <c r="DC21">
        <v>-0.1909340069686333</v>
      </c>
      <c r="DD21">
        <v>2.0689408403989779E-2</v>
      </c>
      <c r="DE21">
        <v>0</v>
      </c>
      <c r="DF21">
        <v>1</v>
      </c>
      <c r="DG21">
        <v>2</v>
      </c>
      <c r="DH21" t="s">
        <v>341</v>
      </c>
      <c r="DI21">
        <v>3.0244499999999999</v>
      </c>
      <c r="DJ21">
        <v>2.6913299999999998</v>
      </c>
      <c r="DK21">
        <v>1.9749599999999999E-2</v>
      </c>
      <c r="DL21">
        <v>2.1125499999999998E-2</v>
      </c>
      <c r="DM21">
        <v>0.13613800000000001</v>
      </c>
      <c r="DN21">
        <v>0.105116</v>
      </c>
      <c r="DO21">
        <v>27304.2</v>
      </c>
      <c r="DP21">
        <v>17682.900000000001</v>
      </c>
      <c r="DQ21">
        <v>26430.5</v>
      </c>
      <c r="DR21">
        <v>16406</v>
      </c>
      <c r="DS21">
        <v>32457.1</v>
      </c>
      <c r="DT21">
        <v>19154.2</v>
      </c>
      <c r="DU21">
        <v>38502.5</v>
      </c>
      <c r="DV21">
        <v>21716.7</v>
      </c>
      <c r="DW21">
        <v>1.7970600000000001</v>
      </c>
      <c r="DX21">
        <v>2.1879400000000002</v>
      </c>
      <c r="DY21">
        <v>7.1167900000000006E-2</v>
      </c>
      <c r="DZ21">
        <v>0</v>
      </c>
      <c r="EA21">
        <v>25.010899999999999</v>
      </c>
      <c r="EB21">
        <v>999.9</v>
      </c>
      <c r="EC21">
        <v>58.7</v>
      </c>
      <c r="ED21">
        <v>32.6</v>
      </c>
      <c r="EE21">
        <v>28.409300000000002</v>
      </c>
      <c r="EF21">
        <v>62.4711</v>
      </c>
      <c r="EG21">
        <v>35.5809</v>
      </c>
      <c r="EH21">
        <v>1</v>
      </c>
      <c r="EI21">
        <v>5.7111799999999997E-2</v>
      </c>
      <c r="EJ21">
        <v>5.4793000000000001E-2</v>
      </c>
      <c r="EK21">
        <v>20.342300000000002</v>
      </c>
      <c r="EL21">
        <v>5.2509499999999996</v>
      </c>
      <c r="EM21">
        <v>11.962</v>
      </c>
      <c r="EN21">
        <v>4.9897200000000002</v>
      </c>
      <c r="EO21">
        <v>3.2912400000000002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1.8717999999999999</v>
      </c>
      <c r="EV21">
        <v>1.8721000000000001</v>
      </c>
      <c r="EW21">
        <v>1.87714</v>
      </c>
      <c r="EX21">
        <v>1.87127</v>
      </c>
      <c r="EY21">
        <v>1.8720600000000001</v>
      </c>
      <c r="EZ21">
        <v>1.87164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0.32900000000000001</v>
      </c>
      <c r="FP21">
        <v>0.25040000000000001</v>
      </c>
      <c r="FQ21">
        <v>-0.17731252693312621</v>
      </c>
      <c r="FR21">
        <v>7.0338458001993282E-3</v>
      </c>
      <c r="FS21">
        <v>2.3387658340725169E-6</v>
      </c>
      <c r="FT21">
        <v>-2.2874075696057401E-10</v>
      </c>
      <c r="FU21">
        <v>0.25043499999999602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15.9</v>
      </c>
      <c r="GD21">
        <v>15.7</v>
      </c>
      <c r="GE21">
        <v>0.31127899999999997</v>
      </c>
      <c r="GF21">
        <v>2.65869</v>
      </c>
      <c r="GG21">
        <v>1.7981</v>
      </c>
      <c r="GH21">
        <v>2.3742700000000001</v>
      </c>
      <c r="GI21">
        <v>1.5979000000000001</v>
      </c>
      <c r="GJ21">
        <v>2.5585900000000001</v>
      </c>
      <c r="GK21">
        <v>35.637999999999998</v>
      </c>
      <c r="GL21">
        <v>24.1663</v>
      </c>
      <c r="GM21">
        <v>18</v>
      </c>
      <c r="GN21">
        <v>365.49900000000002</v>
      </c>
      <c r="GO21">
        <v>672.75199999999995</v>
      </c>
      <c r="GP21">
        <v>25.83</v>
      </c>
      <c r="GQ21">
        <v>27.8231</v>
      </c>
      <c r="GR21">
        <v>30.0001</v>
      </c>
      <c r="GS21">
        <v>27.753499999999999</v>
      </c>
      <c r="GT21">
        <v>27.790500000000002</v>
      </c>
      <c r="GU21">
        <v>6.2042799999999998</v>
      </c>
      <c r="GV21">
        <v>37.563899999999997</v>
      </c>
      <c r="GW21">
        <v>0</v>
      </c>
      <c r="GX21">
        <v>25.83</v>
      </c>
      <c r="GY21">
        <v>75</v>
      </c>
      <c r="GZ21">
        <v>19.5</v>
      </c>
      <c r="HA21">
        <v>100.43300000000001</v>
      </c>
      <c r="HB21">
        <v>67.817999999999998</v>
      </c>
    </row>
    <row r="22" spans="1:210" x14ac:dyDescent="0.3">
      <c r="A22">
        <v>6</v>
      </c>
      <c r="B22">
        <v>1755515064.0999999</v>
      </c>
      <c r="C22">
        <v>902.5</v>
      </c>
      <c r="D22" t="s">
        <v>354</v>
      </c>
      <c r="E22" t="s">
        <v>355</v>
      </c>
      <c r="F22">
        <v>15</v>
      </c>
      <c r="G22">
        <v>1755515056.349999</v>
      </c>
      <c r="H22">
        <f t="shared" si="0"/>
        <v>4.193286460722063E-3</v>
      </c>
      <c r="I22">
        <f t="shared" si="1"/>
        <v>4.1932864607220628</v>
      </c>
      <c r="J22">
        <f t="shared" si="2"/>
        <v>28.331883822123622</v>
      </c>
      <c r="K22">
        <f t="shared" si="3"/>
        <v>382.6527999999999</v>
      </c>
      <c r="L22">
        <f t="shared" si="4"/>
        <v>329.30640933594515</v>
      </c>
      <c r="M22">
        <f t="shared" si="5"/>
        <v>33.643445789292123</v>
      </c>
      <c r="N22">
        <f t="shared" si="6"/>
        <v>39.093556541705652</v>
      </c>
      <c r="O22">
        <f t="shared" si="7"/>
        <v>1.0635761775443142</v>
      </c>
      <c r="P22">
        <f t="shared" si="8"/>
        <v>2.4276726498119827</v>
      </c>
      <c r="Q22">
        <f t="shared" si="9"/>
        <v>0.87129971400499662</v>
      </c>
      <c r="R22">
        <f t="shared" si="10"/>
        <v>0.55907452983069572</v>
      </c>
      <c r="S22">
        <f t="shared" si="11"/>
        <v>218.55636666666675</v>
      </c>
      <c r="T22">
        <f t="shared" si="12"/>
        <v>27.3131831525485</v>
      </c>
      <c r="U22">
        <f t="shared" si="13"/>
        <v>26.141159999999999</v>
      </c>
      <c r="V22">
        <f t="shared" si="14"/>
        <v>3.4025463100682831</v>
      </c>
      <c r="W22">
        <f t="shared" si="15"/>
        <v>81.383773247590796</v>
      </c>
      <c r="X22">
        <f t="shared" si="16"/>
        <v>2.9260898337116825</v>
      </c>
      <c r="Y22">
        <f t="shared" si="17"/>
        <v>3.595421687821907</v>
      </c>
      <c r="Z22">
        <f t="shared" si="18"/>
        <v>0.4764564763566006</v>
      </c>
      <c r="AA22">
        <f t="shared" si="19"/>
        <v>-184.92393291784299</v>
      </c>
      <c r="AB22">
        <f t="shared" si="20"/>
        <v>122.51043163671272</v>
      </c>
      <c r="AC22">
        <f t="shared" si="21"/>
        <v>10.84827221595144</v>
      </c>
      <c r="AD22">
        <f t="shared" si="22"/>
        <v>166.99113760148794</v>
      </c>
      <c r="AE22">
        <f t="shared" si="23"/>
        <v>28.331883822123622</v>
      </c>
      <c r="AF22">
        <f t="shared" si="24"/>
        <v>4.1932864607220628</v>
      </c>
      <c r="AG22">
        <f t="shared" si="25"/>
        <v>29.270891767820462</v>
      </c>
      <c r="AH22">
        <v>458.93371266067618</v>
      </c>
      <c r="AI22">
        <v>392.96496363636351</v>
      </c>
      <c r="AJ22">
        <v>-0.13943570850075829</v>
      </c>
      <c r="AK22">
        <v>84.005116882163591</v>
      </c>
      <c r="AL22">
        <f t="shared" si="26"/>
        <v>4.192513855061029</v>
      </c>
      <c r="AM22">
        <v>19.47626788108705</v>
      </c>
      <c r="AN22">
        <v>28.63903082706765</v>
      </c>
      <c r="AO22">
        <v>2.1534522501072238E-6</v>
      </c>
      <c r="AP22">
        <v>90.514184209069057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53955.660244846556</v>
      </c>
      <c r="AV22">
        <f t="shared" si="30"/>
        <v>1150.2966666666671</v>
      </c>
      <c r="AW22">
        <f t="shared" si="31"/>
        <v>920.23733333333371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339</v>
      </c>
      <c r="BC22">
        <v>2</v>
      </c>
      <c r="BD22" t="b">
        <v>0</v>
      </c>
      <c r="BE22">
        <v>1755515056.349999</v>
      </c>
      <c r="BF22">
        <v>382.6527999999999</v>
      </c>
      <c r="BG22">
        <v>450.00823333333329</v>
      </c>
      <c r="BH22">
        <v>28.640946666666672</v>
      </c>
      <c r="BI22">
        <v>19.476493333333341</v>
      </c>
      <c r="BJ22">
        <v>379.83356666666663</v>
      </c>
      <c r="BK22">
        <v>28.39051666666667</v>
      </c>
      <c r="BL22">
        <v>400.00946666666658</v>
      </c>
      <c r="BM22">
        <v>102.06456666666659</v>
      </c>
      <c r="BN22">
        <v>9.9997506666666666E-2</v>
      </c>
      <c r="BO22">
        <v>27.077206666666669</v>
      </c>
      <c r="BP22">
        <v>26.141159999999999</v>
      </c>
      <c r="BQ22">
        <v>999.9000000000002</v>
      </c>
      <c r="BR22">
        <v>0</v>
      </c>
      <c r="BS22">
        <v>0</v>
      </c>
      <c r="BT22">
        <v>10000.13333333333</v>
      </c>
      <c r="BU22">
        <v>1150.2966666666671</v>
      </c>
      <c r="BV22">
        <v>12.89238333333333</v>
      </c>
      <c r="BW22">
        <v>-67.355376666666672</v>
      </c>
      <c r="BX22">
        <v>393.93546666666668</v>
      </c>
      <c r="BY22">
        <v>458.94676666666669</v>
      </c>
      <c r="BZ22">
        <v>9.164458999999999</v>
      </c>
      <c r="CA22">
        <v>450.00823333333329</v>
      </c>
      <c r="CB22">
        <v>19.476493333333341</v>
      </c>
      <c r="CC22">
        <v>2.9232256666666658</v>
      </c>
      <c r="CD22">
        <v>1.9878586666666671</v>
      </c>
      <c r="CE22">
        <v>23.596946666666671</v>
      </c>
      <c r="CF22">
        <v>17.34796</v>
      </c>
      <c r="CG22">
        <v>1755513942</v>
      </c>
      <c r="CH22" t="s">
        <v>340</v>
      </c>
      <c r="CI22">
        <v>1755513929.5</v>
      </c>
      <c r="CJ22">
        <v>1755513942</v>
      </c>
      <c r="CK22">
        <v>2</v>
      </c>
      <c r="CL22">
        <v>-0.57599999999999996</v>
      </c>
      <c r="CM22">
        <v>2.7E-2</v>
      </c>
      <c r="CN22">
        <v>3.411</v>
      </c>
      <c r="CO22">
        <v>0.25</v>
      </c>
      <c r="CP22">
        <v>450</v>
      </c>
      <c r="CQ22">
        <v>20</v>
      </c>
      <c r="CR22">
        <v>0.02</v>
      </c>
      <c r="CS22">
        <v>0.01</v>
      </c>
      <c r="CT22">
        <v>-66.866575609756111</v>
      </c>
      <c r="CU22">
        <v>-7.7479714285716046</v>
      </c>
      <c r="CV22">
        <v>0.7644034695651023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9.1634029268292689</v>
      </c>
      <c r="DC22">
        <v>2.0993937282227319E-2</v>
      </c>
      <c r="DD22">
        <v>2.3851576047555969E-3</v>
      </c>
      <c r="DE22">
        <v>1</v>
      </c>
      <c r="DF22">
        <v>1</v>
      </c>
      <c r="DG22">
        <v>2</v>
      </c>
      <c r="DH22" t="s">
        <v>341</v>
      </c>
      <c r="DI22">
        <v>3.0246</v>
      </c>
      <c r="DJ22">
        <v>2.6913200000000002</v>
      </c>
      <c r="DK22">
        <v>9.0159100000000006E-2</v>
      </c>
      <c r="DL22">
        <v>0.10319399999999999</v>
      </c>
      <c r="DM22">
        <v>0.13618</v>
      </c>
      <c r="DN22">
        <v>0.105058</v>
      </c>
      <c r="DO22">
        <v>25343.200000000001</v>
      </c>
      <c r="DP22">
        <v>16201.1</v>
      </c>
      <c r="DQ22">
        <v>26430.400000000001</v>
      </c>
      <c r="DR22">
        <v>16406.5</v>
      </c>
      <c r="DS22">
        <v>32457</v>
      </c>
      <c r="DT22">
        <v>19157.5</v>
      </c>
      <c r="DU22">
        <v>38502.199999999997</v>
      </c>
      <c r="DV22">
        <v>21717.7</v>
      </c>
      <c r="DW22">
        <v>1.7973600000000001</v>
      </c>
      <c r="DX22">
        <v>2.1888200000000002</v>
      </c>
      <c r="DY22">
        <v>6.9096699999999997E-2</v>
      </c>
      <c r="DZ22">
        <v>0</v>
      </c>
      <c r="EA22">
        <v>25.0046</v>
      </c>
      <c r="EB22">
        <v>999.9</v>
      </c>
      <c r="EC22">
        <v>58.6</v>
      </c>
      <c r="ED22">
        <v>32.6</v>
      </c>
      <c r="EE22">
        <v>28.360900000000001</v>
      </c>
      <c r="EF22">
        <v>62.671199999999999</v>
      </c>
      <c r="EG22">
        <v>35.3125</v>
      </c>
      <c r="EH22">
        <v>1</v>
      </c>
      <c r="EI22">
        <v>5.7463399999999998E-2</v>
      </c>
      <c r="EJ22">
        <v>4.8507599999999998E-2</v>
      </c>
      <c r="EK22">
        <v>20.342199999999998</v>
      </c>
      <c r="EL22">
        <v>5.2510700000000003</v>
      </c>
      <c r="EM22">
        <v>11.962</v>
      </c>
      <c r="EN22">
        <v>4.98956</v>
      </c>
      <c r="EO22">
        <v>3.2910400000000002</v>
      </c>
      <c r="EP22">
        <v>9999</v>
      </c>
      <c r="EQ22">
        <v>9999</v>
      </c>
      <c r="ER22">
        <v>9999</v>
      </c>
      <c r="ES22">
        <v>999.9</v>
      </c>
      <c r="ET22">
        <v>4.9726699999999999</v>
      </c>
      <c r="EU22">
        <v>1.87181</v>
      </c>
      <c r="EV22">
        <v>1.8721000000000001</v>
      </c>
      <c r="EW22">
        <v>1.87714</v>
      </c>
      <c r="EX22">
        <v>1.8712599999999999</v>
      </c>
      <c r="EY22">
        <v>1.87205</v>
      </c>
      <c r="EZ22">
        <v>1.8716600000000001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2.81</v>
      </c>
      <c r="FP22">
        <v>0.2505</v>
      </c>
      <c r="FQ22">
        <v>-0.17731252693312621</v>
      </c>
      <c r="FR22">
        <v>7.0338458001993282E-3</v>
      </c>
      <c r="FS22">
        <v>2.3387658340725169E-6</v>
      </c>
      <c r="FT22">
        <v>-2.2874075696057401E-10</v>
      </c>
      <c r="FU22">
        <v>0.25043499999999602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18.899999999999999</v>
      </c>
      <c r="GD22">
        <v>18.7</v>
      </c>
      <c r="GE22">
        <v>1.1047400000000001</v>
      </c>
      <c r="GF22">
        <v>2.65259</v>
      </c>
      <c r="GG22">
        <v>1.7981</v>
      </c>
      <c r="GH22">
        <v>2.3742700000000001</v>
      </c>
      <c r="GI22">
        <v>1.5979000000000001</v>
      </c>
      <c r="GJ22">
        <v>2.4548299999999998</v>
      </c>
      <c r="GK22">
        <v>35.637999999999998</v>
      </c>
      <c r="GL22">
        <v>24.157499999999999</v>
      </c>
      <c r="GM22">
        <v>18</v>
      </c>
      <c r="GN22">
        <v>365.66899999999998</v>
      </c>
      <c r="GO22">
        <v>673.53099999999995</v>
      </c>
      <c r="GP22">
        <v>25.83</v>
      </c>
      <c r="GQ22">
        <v>27.825500000000002</v>
      </c>
      <c r="GR22">
        <v>30.0001</v>
      </c>
      <c r="GS22">
        <v>27.7559</v>
      </c>
      <c r="GT22">
        <v>27.791399999999999</v>
      </c>
      <c r="GU22">
        <v>22.072199999999999</v>
      </c>
      <c r="GV22">
        <v>37.563899999999997</v>
      </c>
      <c r="GW22">
        <v>0</v>
      </c>
      <c r="GX22">
        <v>25.83</v>
      </c>
      <c r="GY22">
        <v>450</v>
      </c>
      <c r="GZ22">
        <v>19.5</v>
      </c>
      <c r="HA22">
        <v>100.432</v>
      </c>
      <c r="HB22">
        <v>67.820700000000002</v>
      </c>
    </row>
    <row r="23" spans="1:210" x14ac:dyDescent="0.3">
      <c r="A23">
        <v>7</v>
      </c>
      <c r="B23">
        <v>1755515244.5999999</v>
      </c>
      <c r="C23">
        <v>1083</v>
      </c>
      <c r="D23" t="s">
        <v>356</v>
      </c>
      <c r="E23" t="s">
        <v>357</v>
      </c>
      <c r="F23">
        <v>15</v>
      </c>
      <c r="G23">
        <v>1755515236.849999</v>
      </c>
      <c r="H23">
        <f t="shared" si="0"/>
        <v>4.2279102511173956E-3</v>
      </c>
      <c r="I23">
        <f t="shared" si="1"/>
        <v>4.2279102511173958</v>
      </c>
      <c r="J23">
        <f t="shared" si="2"/>
        <v>33.447362188929006</v>
      </c>
      <c r="K23">
        <f t="shared" si="3"/>
        <v>371.21823333333327</v>
      </c>
      <c r="L23">
        <f t="shared" si="4"/>
        <v>310.29685558113511</v>
      </c>
      <c r="M23">
        <f t="shared" si="5"/>
        <v>31.699976656731536</v>
      </c>
      <c r="N23">
        <f t="shared" si="6"/>
        <v>37.923714403038289</v>
      </c>
      <c r="O23">
        <f t="shared" si="7"/>
        <v>1.0944332317005969</v>
      </c>
      <c r="P23">
        <f t="shared" si="8"/>
        <v>2.4280997218868614</v>
      </c>
      <c r="Q23">
        <f t="shared" si="9"/>
        <v>0.89193559298750313</v>
      </c>
      <c r="R23">
        <f t="shared" si="10"/>
        <v>0.5726734324065168</v>
      </c>
      <c r="S23">
        <f t="shared" si="11"/>
        <v>218.50234333333324</v>
      </c>
      <c r="T23">
        <f t="shared" si="12"/>
        <v>27.297515307864423</v>
      </c>
      <c r="U23">
        <f t="shared" si="13"/>
        <v>26.130643333333332</v>
      </c>
      <c r="V23">
        <f t="shared" si="14"/>
        <v>3.4004316972721909</v>
      </c>
      <c r="W23">
        <f t="shared" si="15"/>
        <v>81.547171041538874</v>
      </c>
      <c r="X23">
        <f t="shared" si="16"/>
        <v>2.9311834196018323</v>
      </c>
      <c r="Y23">
        <f t="shared" si="17"/>
        <v>3.5944636486638295</v>
      </c>
      <c r="Z23">
        <f t="shared" si="18"/>
        <v>0.46924827767035859</v>
      </c>
      <c r="AA23">
        <f t="shared" si="19"/>
        <v>-186.45084207427715</v>
      </c>
      <c r="AB23">
        <f t="shared" si="20"/>
        <v>123.31435131834751</v>
      </c>
      <c r="AC23">
        <f t="shared" si="21"/>
        <v>10.916715917370396</v>
      </c>
      <c r="AD23">
        <f t="shared" si="22"/>
        <v>166.28256849477401</v>
      </c>
      <c r="AE23">
        <f t="shared" si="23"/>
        <v>33.447362188929006</v>
      </c>
      <c r="AF23">
        <f t="shared" si="24"/>
        <v>4.2279102511173958</v>
      </c>
      <c r="AG23">
        <f t="shared" si="25"/>
        <v>33.567855516342064</v>
      </c>
      <c r="AH23">
        <v>458.9460179603555</v>
      </c>
      <c r="AI23">
        <v>382.01833333333298</v>
      </c>
      <c r="AJ23">
        <v>-1.083447698758822E-2</v>
      </c>
      <c r="AK23">
        <v>84.005116882163591</v>
      </c>
      <c r="AL23">
        <f t="shared" si="26"/>
        <v>4.2272814521724058</v>
      </c>
      <c r="AM23">
        <v>19.452569659390221</v>
      </c>
      <c r="AN23">
        <v>28.690421203007521</v>
      </c>
      <c r="AO23">
        <v>6.9282699082865385E-7</v>
      </c>
      <c r="AP23">
        <v>90.514184209069057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53970.709111895667</v>
      </c>
      <c r="AV23">
        <f t="shared" si="30"/>
        <v>1150.0123333333329</v>
      </c>
      <c r="AW23">
        <f t="shared" si="31"/>
        <v>920.00986666666631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339</v>
      </c>
      <c r="BC23">
        <v>2</v>
      </c>
      <c r="BD23" t="b">
        <v>0</v>
      </c>
      <c r="BE23">
        <v>1755515236.849999</v>
      </c>
      <c r="BF23">
        <v>371.21823333333327</v>
      </c>
      <c r="BG23">
        <v>450.00066666666658</v>
      </c>
      <c r="BH23">
        <v>28.692039999999999</v>
      </c>
      <c r="BI23">
        <v>19.452823333333331</v>
      </c>
      <c r="BJ23">
        <v>368.49753333333331</v>
      </c>
      <c r="BK23">
        <v>28.441623333333329</v>
      </c>
      <c r="BL23">
        <v>400.02769999999992</v>
      </c>
      <c r="BM23">
        <v>102.0601666666667</v>
      </c>
      <c r="BN23">
        <v>9.9994116666666674E-2</v>
      </c>
      <c r="BO23">
        <v>27.07266666666667</v>
      </c>
      <c r="BP23">
        <v>26.130643333333332</v>
      </c>
      <c r="BQ23">
        <v>999.9000000000002</v>
      </c>
      <c r="BR23">
        <v>0</v>
      </c>
      <c r="BS23">
        <v>0</v>
      </c>
      <c r="BT23">
        <v>10003.33333333333</v>
      </c>
      <c r="BU23">
        <v>1150.0123333333329</v>
      </c>
      <c r="BV23">
        <v>12.885199999999999</v>
      </c>
      <c r="BW23">
        <v>-78.782446666666658</v>
      </c>
      <c r="BX23">
        <v>382.18386666666669</v>
      </c>
      <c r="BY23">
        <v>458.92819999999989</v>
      </c>
      <c r="BZ23">
        <v>9.2392300000000009</v>
      </c>
      <c r="CA23">
        <v>450.00066666666658</v>
      </c>
      <c r="CB23">
        <v>19.452823333333331</v>
      </c>
      <c r="CC23">
        <v>2.9283160000000001</v>
      </c>
      <c r="CD23">
        <v>1.9853586666666669</v>
      </c>
      <c r="CE23">
        <v>23.625830000000001</v>
      </c>
      <c r="CF23">
        <v>17.328040000000001</v>
      </c>
      <c r="CG23">
        <v>1755513942</v>
      </c>
      <c r="CH23" t="s">
        <v>340</v>
      </c>
      <c r="CI23">
        <v>1755513929.5</v>
      </c>
      <c r="CJ23">
        <v>1755513942</v>
      </c>
      <c r="CK23">
        <v>2</v>
      </c>
      <c r="CL23">
        <v>-0.57599999999999996</v>
      </c>
      <c r="CM23">
        <v>2.7E-2</v>
      </c>
      <c r="CN23">
        <v>3.411</v>
      </c>
      <c r="CO23">
        <v>0.25</v>
      </c>
      <c r="CP23">
        <v>450</v>
      </c>
      <c r="CQ23">
        <v>20</v>
      </c>
      <c r="CR23">
        <v>0.02</v>
      </c>
      <c r="CS23">
        <v>0.01</v>
      </c>
      <c r="CT23">
        <v>-78.706905000000006</v>
      </c>
      <c r="CU23">
        <v>-1.630586116322581</v>
      </c>
      <c r="CV23">
        <v>0.15951036792321821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9.2385692500000012</v>
      </c>
      <c r="DC23">
        <v>1.379043151968041E-2</v>
      </c>
      <c r="DD23">
        <v>1.499542242652651E-3</v>
      </c>
      <c r="DE23">
        <v>1</v>
      </c>
      <c r="DF23">
        <v>1</v>
      </c>
      <c r="DG23">
        <v>2</v>
      </c>
      <c r="DH23" t="s">
        <v>341</v>
      </c>
      <c r="DI23">
        <v>3.0243099999999998</v>
      </c>
      <c r="DJ23">
        <v>2.6911399999999999</v>
      </c>
      <c r="DK23">
        <v>8.8214899999999999E-2</v>
      </c>
      <c r="DL23">
        <v>0.103176</v>
      </c>
      <c r="DM23">
        <v>0.13634499999999999</v>
      </c>
      <c r="DN23">
        <v>0.104963</v>
      </c>
      <c r="DO23">
        <v>25397.3</v>
      </c>
      <c r="DP23">
        <v>16200.6</v>
      </c>
      <c r="DQ23">
        <v>26430.3</v>
      </c>
      <c r="DR23">
        <v>16405.7</v>
      </c>
      <c r="DS23">
        <v>32450.7</v>
      </c>
      <c r="DT23">
        <v>19158.7</v>
      </c>
      <c r="DU23">
        <v>38502.300000000003</v>
      </c>
      <c r="DV23">
        <v>21716.7</v>
      </c>
      <c r="DW23">
        <v>1.79704</v>
      </c>
      <c r="DX23">
        <v>2.1890200000000002</v>
      </c>
      <c r="DY23">
        <v>6.9975899999999994E-2</v>
      </c>
      <c r="DZ23">
        <v>0</v>
      </c>
      <c r="EA23">
        <v>24.985600000000002</v>
      </c>
      <c r="EB23">
        <v>999.9</v>
      </c>
      <c r="EC23">
        <v>58.6</v>
      </c>
      <c r="ED23">
        <v>32.6</v>
      </c>
      <c r="EE23">
        <v>28.360900000000001</v>
      </c>
      <c r="EF23">
        <v>62.7012</v>
      </c>
      <c r="EG23">
        <v>35.604999999999997</v>
      </c>
      <c r="EH23">
        <v>1</v>
      </c>
      <c r="EI23">
        <v>5.7424799999999998E-2</v>
      </c>
      <c r="EJ23">
        <v>4.0705900000000003E-2</v>
      </c>
      <c r="EK23">
        <v>20.341799999999999</v>
      </c>
      <c r="EL23">
        <v>5.2519099999999996</v>
      </c>
      <c r="EM23">
        <v>11.962</v>
      </c>
      <c r="EN23">
        <v>4.9897200000000002</v>
      </c>
      <c r="EO23">
        <v>3.2911199999999998</v>
      </c>
      <c r="EP23">
        <v>9999</v>
      </c>
      <c r="EQ23">
        <v>9999</v>
      </c>
      <c r="ER23">
        <v>9999</v>
      </c>
      <c r="ES23">
        <v>999.9</v>
      </c>
      <c r="ET23">
        <v>4.9726400000000002</v>
      </c>
      <c r="EU23">
        <v>1.87181</v>
      </c>
      <c r="EV23">
        <v>1.8721000000000001</v>
      </c>
      <c r="EW23">
        <v>1.87713</v>
      </c>
      <c r="EX23">
        <v>1.8712899999999999</v>
      </c>
      <c r="EY23">
        <v>1.8720600000000001</v>
      </c>
      <c r="EZ23">
        <v>1.8716600000000001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2.7189999999999999</v>
      </c>
      <c r="FP23">
        <v>0.25040000000000001</v>
      </c>
      <c r="FQ23">
        <v>-0.17731252693312621</v>
      </c>
      <c r="FR23">
        <v>7.0338458001993282E-3</v>
      </c>
      <c r="FS23">
        <v>2.3387658340725169E-6</v>
      </c>
      <c r="FT23">
        <v>-2.2874075696057401E-10</v>
      </c>
      <c r="FU23">
        <v>0.25043499999999602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21.9</v>
      </c>
      <c r="GD23">
        <v>21.7</v>
      </c>
      <c r="GE23">
        <v>1.1047400000000001</v>
      </c>
      <c r="GF23">
        <v>2.6281699999999999</v>
      </c>
      <c r="GG23">
        <v>1.7981</v>
      </c>
      <c r="GH23">
        <v>2.3742700000000001</v>
      </c>
      <c r="GI23">
        <v>1.5979000000000001</v>
      </c>
      <c r="GJ23">
        <v>2.5317400000000001</v>
      </c>
      <c r="GK23">
        <v>35.637999999999998</v>
      </c>
      <c r="GL23">
        <v>24.1663</v>
      </c>
      <c r="GM23">
        <v>18</v>
      </c>
      <c r="GN23">
        <v>365.52</v>
      </c>
      <c r="GO23">
        <v>673.73500000000001</v>
      </c>
      <c r="GP23">
        <v>25.83</v>
      </c>
      <c r="GQ23">
        <v>27.8279</v>
      </c>
      <c r="GR23">
        <v>30</v>
      </c>
      <c r="GS23">
        <v>27.758199999999999</v>
      </c>
      <c r="GT23">
        <v>27.793800000000001</v>
      </c>
      <c r="GU23">
        <v>22.0733</v>
      </c>
      <c r="GV23">
        <v>37.563899999999997</v>
      </c>
      <c r="GW23">
        <v>0</v>
      </c>
      <c r="GX23">
        <v>25.83</v>
      </c>
      <c r="GY23">
        <v>450</v>
      </c>
      <c r="GZ23">
        <v>19.5</v>
      </c>
      <c r="HA23">
        <v>100.432</v>
      </c>
      <c r="HB23">
        <v>67.817400000000006</v>
      </c>
    </row>
    <row r="24" spans="1:210" x14ac:dyDescent="0.3">
      <c r="A24">
        <v>8</v>
      </c>
      <c r="B24">
        <v>1755515425.0999999</v>
      </c>
      <c r="C24">
        <v>1263.5</v>
      </c>
      <c r="D24" t="s">
        <v>358</v>
      </c>
      <c r="E24" t="s">
        <v>359</v>
      </c>
      <c r="F24">
        <v>15</v>
      </c>
      <c r="G24">
        <v>1755515417.349999</v>
      </c>
      <c r="H24">
        <f t="shared" si="0"/>
        <v>4.2525671308720498E-3</v>
      </c>
      <c r="I24">
        <f t="shared" si="1"/>
        <v>4.2525671308720501</v>
      </c>
      <c r="J24">
        <f t="shared" si="2"/>
        <v>34.72381470944282</v>
      </c>
      <c r="K24">
        <f t="shared" si="3"/>
        <v>368.35419999999999</v>
      </c>
      <c r="L24">
        <f t="shared" si="4"/>
        <v>306.87881899632958</v>
      </c>
      <c r="M24">
        <f t="shared" si="5"/>
        <v>31.350112518058566</v>
      </c>
      <c r="N24">
        <f t="shared" si="6"/>
        <v>37.630311711534475</v>
      </c>
      <c r="O24">
        <f t="shared" si="7"/>
        <v>1.1300425508622309</v>
      </c>
      <c r="P24">
        <f t="shared" si="8"/>
        <v>2.4281183778120847</v>
      </c>
      <c r="Q24">
        <f t="shared" si="9"/>
        <v>0.91545405952044812</v>
      </c>
      <c r="R24">
        <f t="shared" si="10"/>
        <v>0.58819564824519777</v>
      </c>
      <c r="S24">
        <f t="shared" si="11"/>
        <v>218.47384333333326</v>
      </c>
      <c r="T24">
        <f t="shared" si="12"/>
        <v>27.284489957853502</v>
      </c>
      <c r="U24">
        <f t="shared" si="13"/>
        <v>26.127770000000002</v>
      </c>
      <c r="V24">
        <f t="shared" si="14"/>
        <v>3.3998541485281204</v>
      </c>
      <c r="W24">
        <f t="shared" si="15"/>
        <v>81.818081963431993</v>
      </c>
      <c r="X24">
        <f t="shared" si="16"/>
        <v>2.9400242125882992</v>
      </c>
      <c r="Y24">
        <f t="shared" si="17"/>
        <v>3.5933673120109582</v>
      </c>
      <c r="Z24">
        <f t="shared" si="18"/>
        <v>0.45982993593982124</v>
      </c>
      <c r="AA24">
        <f t="shared" si="19"/>
        <v>-187.5382104714574</v>
      </c>
      <c r="AB24">
        <f t="shared" si="20"/>
        <v>123.01116349013462</v>
      </c>
      <c r="AC24">
        <f t="shared" si="21"/>
        <v>10.889351662117795</v>
      </c>
      <c r="AD24">
        <f t="shared" si="22"/>
        <v>164.8361480141283</v>
      </c>
      <c r="AE24">
        <f t="shared" si="23"/>
        <v>34.72381470944282</v>
      </c>
      <c r="AF24">
        <f t="shared" si="24"/>
        <v>4.2525671308720501</v>
      </c>
      <c r="AG24">
        <f t="shared" si="25"/>
        <v>34.741874804215186</v>
      </c>
      <c r="AH24">
        <v>458.92186137698877</v>
      </c>
      <c r="AI24">
        <v>379.2086787878788</v>
      </c>
      <c r="AJ24">
        <v>-3.0362944168422248E-4</v>
      </c>
      <c r="AK24">
        <v>84.005116882163591</v>
      </c>
      <c r="AL24">
        <f t="shared" si="26"/>
        <v>4.2551528052259693</v>
      </c>
      <c r="AM24">
        <v>19.485945485381819</v>
      </c>
      <c r="AN24">
        <v>28.783628571428562</v>
      </c>
      <c r="AO24">
        <v>1.9123362421192871E-6</v>
      </c>
      <c r="AP24">
        <v>90.514184209069057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53972.222771906352</v>
      </c>
      <c r="AV24">
        <f t="shared" si="30"/>
        <v>1149.862333333333</v>
      </c>
      <c r="AW24">
        <f t="shared" si="31"/>
        <v>919.88986666666642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339</v>
      </c>
      <c r="BC24">
        <v>2</v>
      </c>
      <c r="BD24" t="b">
        <v>0</v>
      </c>
      <c r="BE24">
        <v>1755515417.349999</v>
      </c>
      <c r="BF24">
        <v>368.35419999999999</v>
      </c>
      <c r="BG24">
        <v>450.00013333333328</v>
      </c>
      <c r="BH24">
        <v>28.779199999999999</v>
      </c>
      <c r="BI24">
        <v>19.487106666666669</v>
      </c>
      <c r="BJ24">
        <v>365.65803333333338</v>
      </c>
      <c r="BK24">
        <v>28.528780000000001</v>
      </c>
      <c r="BL24">
        <v>400.0351</v>
      </c>
      <c r="BM24">
        <v>102.05800000000001</v>
      </c>
      <c r="BN24">
        <v>9.9954793333333319E-2</v>
      </c>
      <c r="BO24">
        <v>27.067470000000011</v>
      </c>
      <c r="BP24">
        <v>26.127770000000002</v>
      </c>
      <c r="BQ24">
        <v>999.9000000000002</v>
      </c>
      <c r="BR24">
        <v>0</v>
      </c>
      <c r="BS24">
        <v>0</v>
      </c>
      <c r="BT24">
        <v>10003.66666666667</v>
      </c>
      <c r="BU24">
        <v>1149.862333333333</v>
      </c>
      <c r="BV24">
        <v>12.885199999999999</v>
      </c>
      <c r="BW24">
        <v>-81.645963333333327</v>
      </c>
      <c r="BX24">
        <v>379.26923333333332</v>
      </c>
      <c r="BY24">
        <v>458.94356666666658</v>
      </c>
      <c r="BZ24">
        <v>9.2920963333333315</v>
      </c>
      <c r="CA24">
        <v>450.00013333333328</v>
      </c>
      <c r="CB24">
        <v>19.487106666666669</v>
      </c>
      <c r="CC24">
        <v>2.9371476666666672</v>
      </c>
      <c r="CD24">
        <v>1.9888153333333329</v>
      </c>
      <c r="CE24">
        <v>23.675830000000001</v>
      </c>
      <c r="CF24">
        <v>17.355576666666671</v>
      </c>
      <c r="CG24">
        <v>1755513942</v>
      </c>
      <c r="CH24" t="s">
        <v>340</v>
      </c>
      <c r="CI24">
        <v>1755513929.5</v>
      </c>
      <c r="CJ24">
        <v>1755513942</v>
      </c>
      <c r="CK24">
        <v>2</v>
      </c>
      <c r="CL24">
        <v>-0.57599999999999996</v>
      </c>
      <c r="CM24">
        <v>2.7E-2</v>
      </c>
      <c r="CN24">
        <v>3.411</v>
      </c>
      <c r="CO24">
        <v>0.25</v>
      </c>
      <c r="CP24">
        <v>450</v>
      </c>
      <c r="CQ24">
        <v>20</v>
      </c>
      <c r="CR24">
        <v>0.02</v>
      </c>
      <c r="CS24">
        <v>0.01</v>
      </c>
      <c r="CT24">
        <v>-81.615934146341459</v>
      </c>
      <c r="CU24">
        <v>-0.60288083623675215</v>
      </c>
      <c r="CV24">
        <v>6.747490810865317E-2</v>
      </c>
      <c r="CW24">
        <v>0</v>
      </c>
      <c r="CX24">
        <v>0</v>
      </c>
      <c r="CY24">
        <v>0</v>
      </c>
      <c r="CZ24">
        <v>0</v>
      </c>
      <c r="DA24">
        <v>-1</v>
      </c>
      <c r="DB24">
        <v>9.2902263414634163</v>
      </c>
      <c r="DC24">
        <v>4.210369337979427E-2</v>
      </c>
      <c r="DD24">
        <v>4.2136594119007919E-3</v>
      </c>
      <c r="DE24">
        <v>1</v>
      </c>
      <c r="DF24">
        <v>1</v>
      </c>
      <c r="DG24">
        <v>2</v>
      </c>
      <c r="DH24" t="s">
        <v>341</v>
      </c>
      <c r="DI24">
        <v>3.0244200000000001</v>
      </c>
      <c r="DJ24">
        <v>2.69116</v>
      </c>
      <c r="DK24">
        <v>8.7701600000000005E-2</v>
      </c>
      <c r="DL24">
        <v>0.103173</v>
      </c>
      <c r="DM24">
        <v>0.13664499999999999</v>
      </c>
      <c r="DN24">
        <v>0.10509</v>
      </c>
      <c r="DO24">
        <v>25411.599999999999</v>
      </c>
      <c r="DP24">
        <v>16201.4</v>
      </c>
      <c r="DQ24">
        <v>26430.400000000001</v>
      </c>
      <c r="DR24">
        <v>16406.400000000001</v>
      </c>
      <c r="DS24">
        <v>32439.1</v>
      </c>
      <c r="DT24">
        <v>19157.099999999999</v>
      </c>
      <c r="DU24">
        <v>38502.300000000003</v>
      </c>
      <c r="DV24">
        <v>21717.9</v>
      </c>
      <c r="DW24">
        <v>1.79708</v>
      </c>
      <c r="DX24">
        <v>2.1891400000000001</v>
      </c>
      <c r="DY24">
        <v>6.9111599999999995E-2</v>
      </c>
      <c r="DZ24">
        <v>0</v>
      </c>
      <c r="EA24">
        <v>24.9863</v>
      </c>
      <c r="EB24">
        <v>999.9</v>
      </c>
      <c r="EC24">
        <v>58.5</v>
      </c>
      <c r="ED24">
        <v>32.6</v>
      </c>
      <c r="EE24">
        <v>28.3157</v>
      </c>
      <c r="EF24">
        <v>62.601199999999999</v>
      </c>
      <c r="EG24">
        <v>35.396599999999999</v>
      </c>
      <c r="EH24">
        <v>1</v>
      </c>
      <c r="EI24">
        <v>5.7457300000000003E-2</v>
      </c>
      <c r="EJ24">
        <v>4.9050099999999999E-2</v>
      </c>
      <c r="EK24">
        <v>20.342099999999999</v>
      </c>
      <c r="EL24">
        <v>5.2513100000000001</v>
      </c>
      <c r="EM24">
        <v>11.962</v>
      </c>
      <c r="EN24">
        <v>4.9896799999999999</v>
      </c>
      <c r="EO24">
        <v>3.2911600000000001</v>
      </c>
      <c r="EP24">
        <v>9999</v>
      </c>
      <c r="EQ24">
        <v>9999</v>
      </c>
      <c r="ER24">
        <v>9999</v>
      </c>
      <c r="ES24">
        <v>999.9</v>
      </c>
      <c r="ET24">
        <v>4.9726600000000003</v>
      </c>
      <c r="EU24">
        <v>1.87181</v>
      </c>
      <c r="EV24">
        <v>1.8721000000000001</v>
      </c>
      <c r="EW24">
        <v>1.87713</v>
      </c>
      <c r="EX24">
        <v>1.8712899999999999</v>
      </c>
      <c r="EY24">
        <v>1.87205</v>
      </c>
      <c r="EZ24">
        <v>1.87165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2.6960000000000002</v>
      </c>
      <c r="FP24">
        <v>0.25040000000000001</v>
      </c>
      <c r="FQ24">
        <v>-0.17731252693312621</v>
      </c>
      <c r="FR24">
        <v>7.0338458001993282E-3</v>
      </c>
      <c r="FS24">
        <v>2.3387658340725169E-6</v>
      </c>
      <c r="FT24">
        <v>-2.2874075696057401E-10</v>
      </c>
      <c r="FU24">
        <v>0.25043499999999602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24.9</v>
      </c>
      <c r="GD24">
        <v>24.7</v>
      </c>
      <c r="GE24">
        <v>1.1047400000000001</v>
      </c>
      <c r="GF24">
        <v>2.63672</v>
      </c>
      <c r="GG24">
        <v>1.7981</v>
      </c>
      <c r="GH24">
        <v>2.3742700000000001</v>
      </c>
      <c r="GI24">
        <v>1.5979000000000001</v>
      </c>
      <c r="GJ24">
        <v>2.5671400000000002</v>
      </c>
      <c r="GK24">
        <v>35.614800000000002</v>
      </c>
      <c r="GL24">
        <v>24.1663</v>
      </c>
      <c r="GM24">
        <v>18</v>
      </c>
      <c r="GN24">
        <v>365.541</v>
      </c>
      <c r="GO24">
        <v>673.84</v>
      </c>
      <c r="GP24">
        <v>25.830100000000002</v>
      </c>
      <c r="GQ24">
        <v>27.8279</v>
      </c>
      <c r="GR24">
        <v>30.0001</v>
      </c>
      <c r="GS24">
        <v>27.758199999999999</v>
      </c>
      <c r="GT24">
        <v>27.793800000000001</v>
      </c>
      <c r="GU24">
        <v>22.071000000000002</v>
      </c>
      <c r="GV24">
        <v>37.284700000000001</v>
      </c>
      <c r="GW24">
        <v>0</v>
      </c>
      <c r="GX24">
        <v>25.83</v>
      </c>
      <c r="GY24">
        <v>450</v>
      </c>
      <c r="GZ24">
        <v>19.5</v>
      </c>
      <c r="HA24">
        <v>100.432</v>
      </c>
      <c r="HB24">
        <v>67.820999999999998</v>
      </c>
    </row>
    <row r="25" spans="1:210" x14ac:dyDescent="0.3">
      <c r="A25">
        <v>9</v>
      </c>
      <c r="B25">
        <v>1755515605.5999999</v>
      </c>
      <c r="C25">
        <v>1444</v>
      </c>
      <c r="D25" t="s">
        <v>360</v>
      </c>
      <c r="E25" t="s">
        <v>361</v>
      </c>
      <c r="F25">
        <v>15</v>
      </c>
      <c r="G25">
        <v>1755515597.849999</v>
      </c>
      <c r="H25">
        <f t="shared" si="0"/>
        <v>4.2781919538316714E-3</v>
      </c>
      <c r="I25">
        <f t="shared" si="1"/>
        <v>4.2781919538316711</v>
      </c>
      <c r="J25">
        <f t="shared" si="2"/>
        <v>41.937613975856124</v>
      </c>
      <c r="K25">
        <f t="shared" si="3"/>
        <v>500.8300333333334</v>
      </c>
      <c r="L25">
        <f t="shared" si="4"/>
        <v>427.79335372696875</v>
      </c>
      <c r="M25">
        <f t="shared" si="5"/>
        <v>43.701120671773779</v>
      </c>
      <c r="N25">
        <f t="shared" si="6"/>
        <v>51.162164002943719</v>
      </c>
      <c r="O25">
        <f t="shared" si="7"/>
        <v>1.1607008711518989</v>
      </c>
      <c r="P25">
        <f t="shared" si="8"/>
        <v>2.4273584805865007</v>
      </c>
      <c r="Q25">
        <f t="shared" si="9"/>
        <v>0.93542105899762407</v>
      </c>
      <c r="R25">
        <f t="shared" si="10"/>
        <v>0.60139684284551054</v>
      </c>
      <c r="S25">
        <f t="shared" si="11"/>
        <v>218.43445</v>
      </c>
      <c r="T25">
        <f t="shared" si="12"/>
        <v>27.270423741911905</v>
      </c>
      <c r="U25">
        <f t="shared" si="13"/>
        <v>26.110896666666669</v>
      </c>
      <c r="V25">
        <f t="shared" si="14"/>
        <v>3.3964642855576748</v>
      </c>
      <c r="W25">
        <f t="shared" si="15"/>
        <v>81.950353650958547</v>
      </c>
      <c r="X25">
        <f t="shared" si="16"/>
        <v>2.9437534267191534</v>
      </c>
      <c r="Y25">
        <f t="shared" si="17"/>
        <v>3.5921180270400472</v>
      </c>
      <c r="Z25">
        <f t="shared" si="18"/>
        <v>0.45271085883852136</v>
      </c>
      <c r="AA25">
        <f t="shared" si="19"/>
        <v>-188.66826516397671</v>
      </c>
      <c r="AB25">
        <f t="shared" si="20"/>
        <v>124.40562432287298</v>
      </c>
      <c r="AC25">
        <f t="shared" si="21"/>
        <v>11.014984851938722</v>
      </c>
      <c r="AD25">
        <f t="shared" si="22"/>
        <v>165.186794010835</v>
      </c>
      <c r="AE25">
        <f t="shared" si="23"/>
        <v>41.937613975856124</v>
      </c>
      <c r="AF25">
        <f t="shared" si="24"/>
        <v>4.2781919538316711</v>
      </c>
      <c r="AG25">
        <f t="shared" si="25"/>
        <v>42.139933448856702</v>
      </c>
      <c r="AH25">
        <v>611.89728841235319</v>
      </c>
      <c r="AI25">
        <v>515.50286666666636</v>
      </c>
      <c r="AJ25">
        <v>-3.4103056854168597E-2</v>
      </c>
      <c r="AK25">
        <v>84.005116882163591</v>
      </c>
      <c r="AL25">
        <f t="shared" si="26"/>
        <v>4.2794154214513176</v>
      </c>
      <c r="AM25">
        <v>19.468166173387981</v>
      </c>
      <c r="AN25">
        <v>28.818386766917271</v>
      </c>
      <c r="AO25">
        <v>-8.4743680657484794E-7</v>
      </c>
      <c r="AP25">
        <v>90.514184209069057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53947.722536077061</v>
      </c>
      <c r="AV25">
        <f t="shared" si="30"/>
        <v>1149.655</v>
      </c>
      <c r="AW25">
        <f t="shared" si="31"/>
        <v>919.72400000000005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339</v>
      </c>
      <c r="BC25">
        <v>2</v>
      </c>
      <c r="BD25" t="b">
        <v>0</v>
      </c>
      <c r="BE25">
        <v>1755515597.849999</v>
      </c>
      <c r="BF25">
        <v>500.8300333333334</v>
      </c>
      <c r="BG25">
        <v>600.00013333333345</v>
      </c>
      <c r="BH25">
        <v>28.816610000000001</v>
      </c>
      <c r="BI25">
        <v>19.469053333333331</v>
      </c>
      <c r="BJ25">
        <v>496.96230000000003</v>
      </c>
      <c r="BK25">
        <v>28.566166666666671</v>
      </c>
      <c r="BL25">
        <v>400.04230000000013</v>
      </c>
      <c r="BM25">
        <v>102.05466666666661</v>
      </c>
      <c r="BN25">
        <v>0.10007765333333329</v>
      </c>
      <c r="BO25">
        <v>27.061546666666661</v>
      </c>
      <c r="BP25">
        <v>26.110896666666669</v>
      </c>
      <c r="BQ25">
        <v>999.9000000000002</v>
      </c>
      <c r="BR25">
        <v>0</v>
      </c>
      <c r="BS25">
        <v>0</v>
      </c>
      <c r="BT25">
        <v>9999.0666666666675</v>
      </c>
      <c r="BU25">
        <v>1149.655</v>
      </c>
      <c r="BV25">
        <v>12.889723333333331</v>
      </c>
      <c r="BW25">
        <v>-99.170136666666664</v>
      </c>
      <c r="BX25">
        <v>515.69046666666668</v>
      </c>
      <c r="BY25">
        <v>611.91356666666661</v>
      </c>
      <c r="BZ25">
        <v>9.347548333333334</v>
      </c>
      <c r="CA25">
        <v>600.00013333333345</v>
      </c>
      <c r="CB25">
        <v>19.469053333333331</v>
      </c>
      <c r="CC25">
        <v>2.9408709999999991</v>
      </c>
      <c r="CD25">
        <v>1.98691</v>
      </c>
      <c r="CE25">
        <v>23.696876666666672</v>
      </c>
      <c r="CF25">
        <v>17.340406666666659</v>
      </c>
      <c r="CG25">
        <v>1755513942</v>
      </c>
      <c r="CH25" t="s">
        <v>340</v>
      </c>
      <c r="CI25">
        <v>1755513929.5</v>
      </c>
      <c r="CJ25">
        <v>1755513942</v>
      </c>
      <c r="CK25">
        <v>2</v>
      </c>
      <c r="CL25">
        <v>-0.57599999999999996</v>
      </c>
      <c r="CM25">
        <v>2.7E-2</v>
      </c>
      <c r="CN25">
        <v>3.411</v>
      </c>
      <c r="CO25">
        <v>0.25</v>
      </c>
      <c r="CP25">
        <v>450</v>
      </c>
      <c r="CQ25">
        <v>20</v>
      </c>
      <c r="CR25">
        <v>0.02</v>
      </c>
      <c r="CS25">
        <v>0.01</v>
      </c>
      <c r="CT25">
        <v>-99.09631499999999</v>
      </c>
      <c r="CU25">
        <v>-1.1428345215756099</v>
      </c>
      <c r="CV25">
        <v>0.1255563967904442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9.34631875</v>
      </c>
      <c r="DC25">
        <v>2.2271482176365921E-2</v>
      </c>
      <c r="DD25">
        <v>2.308755278824477E-3</v>
      </c>
      <c r="DE25">
        <v>1</v>
      </c>
      <c r="DF25">
        <v>1</v>
      </c>
      <c r="DG25">
        <v>2</v>
      </c>
      <c r="DH25" t="s">
        <v>341</v>
      </c>
      <c r="DI25">
        <v>3.02461</v>
      </c>
      <c r="DJ25">
        <v>2.69143</v>
      </c>
      <c r="DK25">
        <v>0.110427</v>
      </c>
      <c r="DL25">
        <v>0.12689300000000001</v>
      </c>
      <c r="DM25">
        <v>0.13675399999999999</v>
      </c>
      <c r="DN25">
        <v>0.105028</v>
      </c>
      <c r="DO25">
        <v>24778.5</v>
      </c>
      <c r="DP25">
        <v>15772.8</v>
      </c>
      <c r="DQ25">
        <v>26430.2</v>
      </c>
      <c r="DR25">
        <v>16406.400000000001</v>
      </c>
      <c r="DS25">
        <v>32435.200000000001</v>
      </c>
      <c r="DT25">
        <v>19158.900000000001</v>
      </c>
      <c r="DU25">
        <v>38502</v>
      </c>
      <c r="DV25">
        <v>21718.1</v>
      </c>
      <c r="DW25">
        <v>1.79752</v>
      </c>
      <c r="DX25">
        <v>2.18912</v>
      </c>
      <c r="DY25">
        <v>6.8515499999999993E-2</v>
      </c>
      <c r="DZ25">
        <v>0</v>
      </c>
      <c r="EA25">
        <v>24.985600000000002</v>
      </c>
      <c r="EB25">
        <v>999.9</v>
      </c>
      <c r="EC25">
        <v>58.4</v>
      </c>
      <c r="ED25">
        <v>32.6</v>
      </c>
      <c r="EE25">
        <v>28.265699999999999</v>
      </c>
      <c r="EF25">
        <v>62.571300000000001</v>
      </c>
      <c r="EG25">
        <v>35.392600000000002</v>
      </c>
      <c r="EH25">
        <v>1</v>
      </c>
      <c r="EI25">
        <v>5.7479700000000002E-2</v>
      </c>
      <c r="EJ25">
        <v>5.1895400000000001E-2</v>
      </c>
      <c r="EK25">
        <v>20.341999999999999</v>
      </c>
      <c r="EL25">
        <v>5.2474800000000004</v>
      </c>
      <c r="EM25">
        <v>11.962</v>
      </c>
      <c r="EN25">
        <v>4.9897200000000002</v>
      </c>
      <c r="EO25">
        <v>3.2913399999999999</v>
      </c>
      <c r="EP25">
        <v>9999</v>
      </c>
      <c r="EQ25">
        <v>9999</v>
      </c>
      <c r="ER25">
        <v>9999</v>
      </c>
      <c r="ES25">
        <v>999.9</v>
      </c>
      <c r="ET25">
        <v>4.9726600000000003</v>
      </c>
      <c r="EU25">
        <v>1.8718300000000001</v>
      </c>
      <c r="EV25">
        <v>1.8721000000000001</v>
      </c>
      <c r="EW25">
        <v>1.87714</v>
      </c>
      <c r="EX25">
        <v>1.8712899999999999</v>
      </c>
      <c r="EY25">
        <v>1.87209</v>
      </c>
      <c r="EZ25">
        <v>1.87168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3.8660000000000001</v>
      </c>
      <c r="FP25">
        <v>0.25040000000000001</v>
      </c>
      <c r="FQ25">
        <v>-0.17731252693312621</v>
      </c>
      <c r="FR25">
        <v>7.0338458001993282E-3</v>
      </c>
      <c r="FS25">
        <v>2.3387658340725169E-6</v>
      </c>
      <c r="FT25">
        <v>-2.2874075696057401E-10</v>
      </c>
      <c r="FU25">
        <v>0.25043499999999602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27.9</v>
      </c>
      <c r="GD25">
        <v>27.7</v>
      </c>
      <c r="GE25">
        <v>1.3915999999999999</v>
      </c>
      <c r="GF25">
        <v>2.6415999999999999</v>
      </c>
      <c r="GG25">
        <v>1.79932</v>
      </c>
      <c r="GH25">
        <v>2.3742700000000001</v>
      </c>
      <c r="GI25">
        <v>1.5979000000000001</v>
      </c>
      <c r="GJ25">
        <v>2.5122100000000001</v>
      </c>
      <c r="GK25">
        <v>35.614800000000002</v>
      </c>
      <c r="GL25">
        <v>24.1663</v>
      </c>
      <c r="GM25">
        <v>18</v>
      </c>
      <c r="GN25">
        <v>365.767</v>
      </c>
      <c r="GO25">
        <v>673.85199999999998</v>
      </c>
      <c r="GP25">
        <v>25.83</v>
      </c>
      <c r="GQ25">
        <v>27.829699999999999</v>
      </c>
      <c r="GR25">
        <v>30.0001</v>
      </c>
      <c r="GS25">
        <v>27.758199999999999</v>
      </c>
      <c r="GT25">
        <v>27.796099999999999</v>
      </c>
      <c r="GU25">
        <v>27.8185</v>
      </c>
      <c r="GV25">
        <v>37.284700000000001</v>
      </c>
      <c r="GW25">
        <v>0</v>
      </c>
      <c r="GX25">
        <v>25.83</v>
      </c>
      <c r="GY25">
        <v>600</v>
      </c>
      <c r="GZ25">
        <v>19.5</v>
      </c>
      <c r="HA25">
        <v>100.431</v>
      </c>
      <c r="HB25">
        <v>67.821200000000005</v>
      </c>
    </row>
    <row r="26" spans="1:210" x14ac:dyDescent="0.3">
      <c r="A26">
        <v>10</v>
      </c>
      <c r="B26">
        <v>1755515786.5</v>
      </c>
      <c r="C26">
        <v>1624.900000095367</v>
      </c>
      <c r="D26" t="s">
        <v>362</v>
      </c>
      <c r="E26" t="s">
        <v>363</v>
      </c>
      <c r="F26">
        <v>15</v>
      </c>
      <c r="G26">
        <v>1755515778.75</v>
      </c>
      <c r="H26">
        <f t="shared" si="0"/>
        <v>4.2972298136066175E-3</v>
      </c>
      <c r="I26">
        <f t="shared" si="1"/>
        <v>4.2972298136066174</v>
      </c>
      <c r="J26">
        <f t="shared" si="2"/>
        <v>47.669637740134291</v>
      </c>
      <c r="K26">
        <f t="shared" si="3"/>
        <v>785.14806666666664</v>
      </c>
      <c r="L26">
        <f t="shared" si="4"/>
        <v>701.73525998146783</v>
      </c>
      <c r="M26">
        <f t="shared" si="5"/>
        <v>71.685468495010127</v>
      </c>
      <c r="N26">
        <f t="shared" si="6"/>
        <v>80.206468459968562</v>
      </c>
      <c r="O26">
        <f t="shared" si="7"/>
        <v>1.1803625056973019</v>
      </c>
      <c r="P26">
        <f t="shared" si="8"/>
        <v>2.4266889484529415</v>
      </c>
      <c r="Q26">
        <f t="shared" si="9"/>
        <v>0.94810226506789463</v>
      </c>
      <c r="R26">
        <f t="shared" si="10"/>
        <v>0.60979098344467242</v>
      </c>
      <c r="S26">
        <f t="shared" si="11"/>
        <v>218.40126333333328</v>
      </c>
      <c r="T26">
        <f t="shared" si="12"/>
        <v>27.258105120986066</v>
      </c>
      <c r="U26">
        <f t="shared" si="13"/>
        <v>26.105920000000001</v>
      </c>
      <c r="V26">
        <f t="shared" si="14"/>
        <v>3.3954650340540686</v>
      </c>
      <c r="W26">
        <f t="shared" si="15"/>
        <v>82.066013431684468</v>
      </c>
      <c r="X26">
        <f t="shared" si="16"/>
        <v>2.9468271972132096</v>
      </c>
      <c r="Y26">
        <f t="shared" si="17"/>
        <v>3.590800958872316</v>
      </c>
      <c r="Z26">
        <f t="shared" si="18"/>
        <v>0.44863783684085901</v>
      </c>
      <c r="AA26">
        <f t="shared" si="19"/>
        <v>-189.50783478005184</v>
      </c>
      <c r="AB26">
        <f t="shared" si="20"/>
        <v>124.20515871369979</v>
      </c>
      <c r="AC26">
        <f t="shared" si="21"/>
        <v>10.999651412337883</v>
      </c>
      <c r="AD26">
        <f t="shared" si="22"/>
        <v>164.09823867931914</v>
      </c>
      <c r="AE26">
        <f t="shared" si="23"/>
        <v>47.669637740134291</v>
      </c>
      <c r="AF26">
        <f t="shared" si="24"/>
        <v>4.2972298136066174</v>
      </c>
      <c r="AG26">
        <f t="shared" si="25"/>
        <v>47.717001795334397</v>
      </c>
      <c r="AH26">
        <v>917.92999888592465</v>
      </c>
      <c r="AI26">
        <v>808.42646060606046</v>
      </c>
      <c r="AJ26">
        <v>2.7779597783136932E-4</v>
      </c>
      <c r="AK26">
        <v>84.005116882163591</v>
      </c>
      <c r="AL26">
        <f t="shared" si="26"/>
        <v>4.2970142377198091</v>
      </c>
      <c r="AM26">
        <v>19.456315686017469</v>
      </c>
      <c r="AN26">
        <v>28.84635924812028</v>
      </c>
      <c r="AO26">
        <v>-8.1800411211243466E-7</v>
      </c>
      <c r="AP26">
        <v>90.514184209069057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53926.384059035576</v>
      </c>
      <c r="AV26">
        <f t="shared" si="30"/>
        <v>1149.480333333333</v>
      </c>
      <c r="AW26">
        <f t="shared" si="31"/>
        <v>919.58426666666639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339</v>
      </c>
      <c r="BC26">
        <v>2</v>
      </c>
      <c r="BD26" t="b">
        <v>0</v>
      </c>
      <c r="BE26">
        <v>1755515778.75</v>
      </c>
      <c r="BF26">
        <v>785.14806666666664</v>
      </c>
      <c r="BG26">
        <v>900.00409999999999</v>
      </c>
      <c r="BH26">
        <v>28.846746666666672</v>
      </c>
      <c r="BI26">
        <v>19.45624333333334</v>
      </c>
      <c r="BJ26">
        <v>778.53960000000006</v>
      </c>
      <c r="BK26">
        <v>28.59631666666666</v>
      </c>
      <c r="BL26">
        <v>399.97236666666657</v>
      </c>
      <c r="BM26">
        <v>102.05459999999999</v>
      </c>
      <c r="BN26">
        <v>9.9976779999999973E-2</v>
      </c>
      <c r="BO26">
        <v>27.055299999999999</v>
      </c>
      <c r="BP26">
        <v>26.105920000000001</v>
      </c>
      <c r="BQ26">
        <v>999.9000000000002</v>
      </c>
      <c r="BR26">
        <v>0</v>
      </c>
      <c r="BS26">
        <v>0</v>
      </c>
      <c r="BT26">
        <v>9994.7333333333336</v>
      </c>
      <c r="BU26">
        <v>1149.480333333333</v>
      </c>
      <c r="BV26">
        <v>12.89815666666667</v>
      </c>
      <c r="BW26">
        <v>-114.85599999999999</v>
      </c>
      <c r="BX26">
        <v>808.46986666666669</v>
      </c>
      <c r="BY26">
        <v>917.86219999999992</v>
      </c>
      <c r="BZ26">
        <v>9.3905156666666656</v>
      </c>
      <c r="CA26">
        <v>900.00409999999999</v>
      </c>
      <c r="CB26">
        <v>19.45624333333334</v>
      </c>
      <c r="CC26">
        <v>2.943944000000001</v>
      </c>
      <c r="CD26">
        <v>1.985598</v>
      </c>
      <c r="CE26">
        <v>23.714216666666669</v>
      </c>
      <c r="CF26">
        <v>17.329953333333329</v>
      </c>
      <c r="CG26">
        <v>1755513942</v>
      </c>
      <c r="CH26" t="s">
        <v>340</v>
      </c>
      <c r="CI26">
        <v>1755513929.5</v>
      </c>
      <c r="CJ26">
        <v>1755513942</v>
      </c>
      <c r="CK26">
        <v>2</v>
      </c>
      <c r="CL26">
        <v>-0.57599999999999996</v>
      </c>
      <c r="CM26">
        <v>2.7E-2</v>
      </c>
      <c r="CN26">
        <v>3.411</v>
      </c>
      <c r="CO26">
        <v>0.25</v>
      </c>
      <c r="CP26">
        <v>450</v>
      </c>
      <c r="CQ26">
        <v>20</v>
      </c>
      <c r="CR26">
        <v>0.02</v>
      </c>
      <c r="CS26">
        <v>0.01</v>
      </c>
      <c r="CT26">
        <v>-114.835325</v>
      </c>
      <c r="CU26">
        <v>-0.53348217636018558</v>
      </c>
      <c r="CV26">
        <v>7.4222431750784842E-2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9.3900664999999996</v>
      </c>
      <c r="DC26">
        <v>4.3305816135100891E-3</v>
      </c>
      <c r="DD26">
        <v>1.185777276726002E-3</v>
      </c>
      <c r="DE26">
        <v>1</v>
      </c>
      <c r="DF26">
        <v>1</v>
      </c>
      <c r="DG26">
        <v>2</v>
      </c>
      <c r="DH26" t="s">
        <v>341</v>
      </c>
      <c r="DI26">
        <v>3.02441</v>
      </c>
      <c r="DJ26">
        <v>2.6912400000000001</v>
      </c>
      <c r="DK26">
        <v>0.15070600000000001</v>
      </c>
      <c r="DL26">
        <v>0.16652800000000001</v>
      </c>
      <c r="DM26">
        <v>0.136847</v>
      </c>
      <c r="DN26">
        <v>0.104975</v>
      </c>
      <c r="DO26">
        <v>23656.9</v>
      </c>
      <c r="DP26">
        <v>15056.4</v>
      </c>
      <c r="DQ26">
        <v>26430.5</v>
      </c>
      <c r="DR26">
        <v>16405.900000000001</v>
      </c>
      <c r="DS26">
        <v>32432.2</v>
      </c>
      <c r="DT26">
        <v>19160.3</v>
      </c>
      <c r="DU26">
        <v>38501.599999999999</v>
      </c>
      <c r="DV26">
        <v>21717.8</v>
      </c>
      <c r="DW26">
        <v>1.7978799999999999</v>
      </c>
      <c r="DX26">
        <v>2.1898599999999999</v>
      </c>
      <c r="DY26">
        <v>6.9111599999999995E-2</v>
      </c>
      <c r="DZ26">
        <v>0</v>
      </c>
      <c r="EA26">
        <v>24.968800000000002</v>
      </c>
      <c r="EB26">
        <v>999.9</v>
      </c>
      <c r="EC26">
        <v>58.4</v>
      </c>
      <c r="ED26">
        <v>32.6</v>
      </c>
      <c r="EE26">
        <v>28.267199999999999</v>
      </c>
      <c r="EF26">
        <v>62.6813</v>
      </c>
      <c r="EG26">
        <v>35.328499999999998</v>
      </c>
      <c r="EH26">
        <v>1</v>
      </c>
      <c r="EI26">
        <v>5.7542700000000002E-2</v>
      </c>
      <c r="EJ26">
        <v>4.6653600000000003E-2</v>
      </c>
      <c r="EK26">
        <v>20.342199999999998</v>
      </c>
      <c r="EL26">
        <v>5.2480799999999999</v>
      </c>
      <c r="EM26">
        <v>11.962</v>
      </c>
      <c r="EN26">
        <v>4.9896799999999999</v>
      </c>
      <c r="EO26">
        <v>3.2911600000000001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1.87181</v>
      </c>
      <c r="EV26">
        <v>1.8721000000000001</v>
      </c>
      <c r="EW26">
        <v>1.87714</v>
      </c>
      <c r="EX26">
        <v>1.87127</v>
      </c>
      <c r="EY26">
        <v>1.8720600000000001</v>
      </c>
      <c r="EZ26">
        <v>1.87168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6.6079999999999997</v>
      </c>
      <c r="FP26">
        <v>0.25040000000000001</v>
      </c>
      <c r="FQ26">
        <v>-0.17731252693312621</v>
      </c>
      <c r="FR26">
        <v>7.0338458001993282E-3</v>
      </c>
      <c r="FS26">
        <v>2.3387658340725169E-6</v>
      </c>
      <c r="FT26">
        <v>-2.2874075696057401E-10</v>
      </c>
      <c r="FU26">
        <v>0.25043499999999602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30.9</v>
      </c>
      <c r="GD26">
        <v>30.7</v>
      </c>
      <c r="GE26">
        <v>1.9348099999999999</v>
      </c>
      <c r="GF26">
        <v>2.6159699999999999</v>
      </c>
      <c r="GG26">
        <v>1.7981</v>
      </c>
      <c r="GH26">
        <v>2.3754900000000001</v>
      </c>
      <c r="GI26">
        <v>1.5979000000000001</v>
      </c>
      <c r="GJ26">
        <v>2.5610400000000002</v>
      </c>
      <c r="GK26">
        <v>35.614800000000002</v>
      </c>
      <c r="GL26">
        <v>24.1663</v>
      </c>
      <c r="GM26">
        <v>18</v>
      </c>
      <c r="GN26">
        <v>365.96699999999998</v>
      </c>
      <c r="GO26">
        <v>674.49900000000002</v>
      </c>
      <c r="GP26">
        <v>25.829899999999999</v>
      </c>
      <c r="GQ26">
        <v>27.830200000000001</v>
      </c>
      <c r="GR26">
        <v>30.0001</v>
      </c>
      <c r="GS26">
        <v>27.7606</v>
      </c>
      <c r="GT26">
        <v>27.796099999999999</v>
      </c>
      <c r="GU26">
        <v>38.697099999999999</v>
      </c>
      <c r="GV26">
        <v>37.284700000000001</v>
      </c>
      <c r="GW26">
        <v>0</v>
      </c>
      <c r="GX26">
        <v>25.83</v>
      </c>
      <c r="GY26">
        <v>900</v>
      </c>
      <c r="GZ26">
        <v>19.5</v>
      </c>
      <c r="HA26">
        <v>100.431</v>
      </c>
      <c r="HB26">
        <v>67.819800000000001</v>
      </c>
    </row>
    <row r="27" spans="1:210" x14ac:dyDescent="0.3">
      <c r="A27">
        <v>11</v>
      </c>
      <c r="B27">
        <v>1755515967</v>
      </c>
      <c r="C27">
        <v>1805.400000095367</v>
      </c>
      <c r="D27" t="s">
        <v>364</v>
      </c>
      <c r="E27" t="s">
        <v>365</v>
      </c>
      <c r="F27">
        <v>15</v>
      </c>
      <c r="G27">
        <v>1755515959.25</v>
      </c>
      <c r="H27">
        <f t="shared" si="0"/>
        <v>4.3167288957039942E-3</v>
      </c>
      <c r="I27">
        <f t="shared" si="1"/>
        <v>4.316728895703994</v>
      </c>
      <c r="J27">
        <f t="shared" si="2"/>
        <v>49.178324511730857</v>
      </c>
      <c r="K27">
        <f t="shared" si="3"/>
        <v>1078.896666666667</v>
      </c>
      <c r="L27">
        <f t="shared" si="4"/>
        <v>992.35452791850162</v>
      </c>
      <c r="M27">
        <f t="shared" si="5"/>
        <v>101.37004408528907</v>
      </c>
      <c r="N27">
        <f t="shared" si="6"/>
        <v>110.21041330145815</v>
      </c>
      <c r="O27">
        <f t="shared" si="7"/>
        <v>1.2041035284548798</v>
      </c>
      <c r="P27">
        <f t="shared" si="8"/>
        <v>2.4271184542964739</v>
      </c>
      <c r="Q27">
        <f t="shared" si="9"/>
        <v>0.96339851914500141</v>
      </c>
      <c r="R27">
        <f t="shared" si="10"/>
        <v>0.61991580319976403</v>
      </c>
      <c r="S27">
        <f t="shared" si="11"/>
        <v>218.35933666666654</v>
      </c>
      <c r="T27">
        <f t="shared" si="12"/>
        <v>27.255589187268377</v>
      </c>
      <c r="U27">
        <f t="shared" si="13"/>
        <v>26.099203333333339</v>
      </c>
      <c r="V27">
        <f t="shared" si="14"/>
        <v>3.3941168197330742</v>
      </c>
      <c r="W27">
        <f t="shared" si="15"/>
        <v>82.153087339449058</v>
      </c>
      <c r="X27">
        <f t="shared" si="16"/>
        <v>2.9506201047319736</v>
      </c>
      <c r="Y27">
        <f t="shared" si="17"/>
        <v>3.5916119531092976</v>
      </c>
      <c r="Z27">
        <f t="shared" si="18"/>
        <v>0.44349671500110066</v>
      </c>
      <c r="AA27">
        <f t="shared" si="19"/>
        <v>-190.36774430054615</v>
      </c>
      <c r="AB27">
        <f t="shared" si="20"/>
        <v>125.60936282447057</v>
      </c>
      <c r="AC27">
        <f t="shared" si="21"/>
        <v>11.121880492627762</v>
      </c>
      <c r="AD27">
        <f t="shared" si="22"/>
        <v>164.7228356832187</v>
      </c>
      <c r="AE27">
        <f t="shared" si="23"/>
        <v>49.178324511730857</v>
      </c>
      <c r="AF27">
        <f t="shared" si="24"/>
        <v>4.316728895703994</v>
      </c>
      <c r="AG27">
        <f t="shared" si="25"/>
        <v>49.281870841780737</v>
      </c>
      <c r="AH27">
        <v>1223.800938232881</v>
      </c>
      <c r="AI27">
        <v>1110.892545454544</v>
      </c>
      <c r="AJ27">
        <v>-2.1043337138155881E-2</v>
      </c>
      <c r="AK27">
        <v>84.005116882163591</v>
      </c>
      <c r="AL27">
        <f t="shared" si="26"/>
        <v>4.3163305178165405</v>
      </c>
      <c r="AM27">
        <v>19.45290094384475</v>
      </c>
      <c r="AN27">
        <v>28.88455909774434</v>
      </c>
      <c r="AO27">
        <v>-6.0182843104275209E-7</v>
      </c>
      <c r="AP27">
        <v>90.514184209069057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53940.023589223616</v>
      </c>
      <c r="AV27">
        <f t="shared" si="30"/>
        <v>1149.2596666666659</v>
      </c>
      <c r="AW27">
        <f t="shared" si="31"/>
        <v>919.40773333333277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339</v>
      </c>
      <c r="BC27">
        <v>2</v>
      </c>
      <c r="BD27" t="b">
        <v>0</v>
      </c>
      <c r="BE27">
        <v>1755515959.25</v>
      </c>
      <c r="BF27">
        <v>1078.896666666667</v>
      </c>
      <c r="BG27">
        <v>1200.0323333333331</v>
      </c>
      <c r="BH27">
        <v>28.884876666666671</v>
      </c>
      <c r="BI27">
        <v>19.45235666666667</v>
      </c>
      <c r="BJ27">
        <v>1069.1593333333331</v>
      </c>
      <c r="BK27">
        <v>28.634446666666669</v>
      </c>
      <c r="BL27">
        <v>399.98183333333338</v>
      </c>
      <c r="BM27">
        <v>102.05103333333339</v>
      </c>
      <c r="BN27">
        <v>0.1000036533333333</v>
      </c>
      <c r="BO27">
        <v>27.05914666666667</v>
      </c>
      <c r="BP27">
        <v>26.099203333333339</v>
      </c>
      <c r="BQ27">
        <v>999.9000000000002</v>
      </c>
      <c r="BR27">
        <v>0</v>
      </c>
      <c r="BS27">
        <v>0</v>
      </c>
      <c r="BT27">
        <v>9997.8666666666668</v>
      </c>
      <c r="BU27">
        <v>1149.2596666666659</v>
      </c>
      <c r="BV27">
        <v>12.88858333333333</v>
      </c>
      <c r="BW27">
        <v>-121.13646666666671</v>
      </c>
      <c r="BX27">
        <v>1110.9880000000001</v>
      </c>
      <c r="BY27">
        <v>1223.838666666667</v>
      </c>
      <c r="BZ27">
        <v>9.4325089999999996</v>
      </c>
      <c r="CA27">
        <v>1200.0323333333331</v>
      </c>
      <c r="CB27">
        <v>19.45235666666667</v>
      </c>
      <c r="CC27">
        <v>2.9477310000000001</v>
      </c>
      <c r="CD27">
        <v>1.985133</v>
      </c>
      <c r="CE27">
        <v>23.735569999999999</v>
      </c>
      <c r="CF27">
        <v>17.326256666666669</v>
      </c>
      <c r="CG27">
        <v>1755513942</v>
      </c>
      <c r="CH27" t="s">
        <v>340</v>
      </c>
      <c r="CI27">
        <v>1755513929.5</v>
      </c>
      <c r="CJ27">
        <v>1755513942</v>
      </c>
      <c r="CK27">
        <v>2</v>
      </c>
      <c r="CL27">
        <v>-0.57599999999999996</v>
      </c>
      <c r="CM27">
        <v>2.7E-2</v>
      </c>
      <c r="CN27">
        <v>3.411</v>
      </c>
      <c r="CO27">
        <v>0.25</v>
      </c>
      <c r="CP27">
        <v>450</v>
      </c>
      <c r="CQ27">
        <v>20</v>
      </c>
      <c r="CR27">
        <v>0.02</v>
      </c>
      <c r="CS27">
        <v>0.01</v>
      </c>
      <c r="CT27">
        <v>-121.06134146341461</v>
      </c>
      <c r="CU27">
        <v>-0.7229895470386466</v>
      </c>
      <c r="CV27">
        <v>0.1243499408644039</v>
      </c>
      <c r="CW27">
        <v>0</v>
      </c>
      <c r="CX27">
        <v>0</v>
      </c>
      <c r="CY27">
        <v>0</v>
      </c>
      <c r="CZ27">
        <v>0</v>
      </c>
      <c r="DA27">
        <v>-1</v>
      </c>
      <c r="DB27">
        <v>9.4314963414634132</v>
      </c>
      <c r="DC27">
        <v>8.7489198606449693E-3</v>
      </c>
      <c r="DD27">
        <v>2.3427217401337558E-3</v>
      </c>
      <c r="DE27">
        <v>1</v>
      </c>
      <c r="DF27">
        <v>1</v>
      </c>
      <c r="DG27">
        <v>2</v>
      </c>
      <c r="DH27" t="s">
        <v>341</v>
      </c>
      <c r="DI27">
        <v>3.02467</v>
      </c>
      <c r="DJ27">
        <v>2.6914400000000001</v>
      </c>
      <c r="DK27">
        <v>0.18488499999999999</v>
      </c>
      <c r="DL27">
        <v>0.199709</v>
      </c>
      <c r="DM27">
        <v>0.13697000000000001</v>
      </c>
      <c r="DN27">
        <v>0.104953</v>
      </c>
      <c r="DO27">
        <v>22704.400000000001</v>
      </c>
      <c r="DP27">
        <v>14457.2</v>
      </c>
      <c r="DQ27">
        <v>26430</v>
      </c>
      <c r="DR27">
        <v>16406.2</v>
      </c>
      <c r="DS27">
        <v>32428</v>
      </c>
      <c r="DT27">
        <v>19161.8</v>
      </c>
      <c r="DU27">
        <v>38501.1</v>
      </c>
      <c r="DV27">
        <v>21718.3</v>
      </c>
      <c r="DW27">
        <v>1.7983199999999999</v>
      </c>
      <c r="DX27">
        <v>2.1904400000000002</v>
      </c>
      <c r="DY27">
        <v>6.8157899999999993E-2</v>
      </c>
      <c r="DZ27">
        <v>0</v>
      </c>
      <c r="EA27">
        <v>24.9772</v>
      </c>
      <c r="EB27">
        <v>999.9</v>
      </c>
      <c r="EC27">
        <v>58.3</v>
      </c>
      <c r="ED27">
        <v>32.6</v>
      </c>
      <c r="EE27">
        <v>28.220700000000001</v>
      </c>
      <c r="EF27">
        <v>62.461300000000001</v>
      </c>
      <c r="EG27">
        <v>35.4848</v>
      </c>
      <c r="EH27">
        <v>1</v>
      </c>
      <c r="EI27">
        <v>5.7782500000000001E-2</v>
      </c>
      <c r="EJ27">
        <v>4.4673200000000003E-2</v>
      </c>
      <c r="EK27">
        <v>20.342600000000001</v>
      </c>
      <c r="EL27">
        <v>5.2483199999999997</v>
      </c>
      <c r="EM27">
        <v>11.962</v>
      </c>
      <c r="EN27">
        <v>4.9897600000000004</v>
      </c>
      <c r="EO27">
        <v>3.2912400000000002</v>
      </c>
      <c r="EP27">
        <v>9999</v>
      </c>
      <c r="EQ27">
        <v>9999</v>
      </c>
      <c r="ER27">
        <v>9999</v>
      </c>
      <c r="ES27">
        <v>999.9</v>
      </c>
      <c r="ET27">
        <v>4.9726499999999998</v>
      </c>
      <c r="EU27">
        <v>1.87181</v>
      </c>
      <c r="EV27">
        <v>1.8721000000000001</v>
      </c>
      <c r="EW27">
        <v>1.87714</v>
      </c>
      <c r="EX27">
        <v>1.8712800000000001</v>
      </c>
      <c r="EY27">
        <v>1.87208</v>
      </c>
      <c r="EZ27">
        <v>1.8716900000000001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9.74</v>
      </c>
      <c r="FP27">
        <v>0.2505</v>
      </c>
      <c r="FQ27">
        <v>-0.17731252693312621</v>
      </c>
      <c r="FR27">
        <v>7.0338458001993282E-3</v>
      </c>
      <c r="FS27">
        <v>2.3387658340725169E-6</v>
      </c>
      <c r="FT27">
        <v>-2.2874075696057401E-10</v>
      </c>
      <c r="FU27">
        <v>0.25043499999999602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34</v>
      </c>
      <c r="GD27">
        <v>33.799999999999997</v>
      </c>
      <c r="GE27">
        <v>2.4499499999999999</v>
      </c>
      <c r="GF27">
        <v>2.63062</v>
      </c>
      <c r="GG27">
        <v>1.79932</v>
      </c>
      <c r="GH27">
        <v>2.3754900000000001</v>
      </c>
      <c r="GI27">
        <v>1.5979000000000001</v>
      </c>
      <c r="GJ27">
        <v>2.3877000000000002</v>
      </c>
      <c r="GK27">
        <v>35.637999999999998</v>
      </c>
      <c r="GL27">
        <v>24.157499999999999</v>
      </c>
      <c r="GM27">
        <v>18</v>
      </c>
      <c r="GN27">
        <v>366.19299999999998</v>
      </c>
      <c r="GO27">
        <v>675.03499999999997</v>
      </c>
      <c r="GP27">
        <v>25.830100000000002</v>
      </c>
      <c r="GQ27">
        <v>27.830200000000001</v>
      </c>
      <c r="GR27">
        <v>30.0001</v>
      </c>
      <c r="GS27">
        <v>27.7606</v>
      </c>
      <c r="GT27">
        <v>27.798500000000001</v>
      </c>
      <c r="GU27">
        <v>48.987499999999997</v>
      </c>
      <c r="GV27">
        <v>37.284700000000001</v>
      </c>
      <c r="GW27">
        <v>0</v>
      </c>
      <c r="GX27">
        <v>25.83</v>
      </c>
      <c r="GY27">
        <v>1200</v>
      </c>
      <c r="GZ27">
        <v>19.5</v>
      </c>
      <c r="HA27">
        <v>100.43</v>
      </c>
      <c r="HB27">
        <v>67.821299999999994</v>
      </c>
    </row>
    <row r="28" spans="1:210" x14ac:dyDescent="0.3">
      <c r="A28">
        <v>12</v>
      </c>
      <c r="B28">
        <v>1755516147.5</v>
      </c>
      <c r="C28">
        <v>1985.900000095367</v>
      </c>
      <c r="D28" t="s">
        <v>366</v>
      </c>
      <c r="E28" t="s">
        <v>367</v>
      </c>
      <c r="F28">
        <v>15</v>
      </c>
      <c r="G28">
        <v>1755516139.75</v>
      </c>
      <c r="H28">
        <f t="shared" si="0"/>
        <v>4.3255322230849932E-3</v>
      </c>
      <c r="I28">
        <f t="shared" si="1"/>
        <v>4.3255322230849931</v>
      </c>
      <c r="J28">
        <f t="shared" si="2"/>
        <v>49.317342110879103</v>
      </c>
      <c r="K28">
        <f t="shared" si="3"/>
        <v>1474.6763333333331</v>
      </c>
      <c r="L28">
        <f t="shared" si="4"/>
        <v>1385.8576757750088</v>
      </c>
      <c r="M28">
        <f t="shared" si="5"/>
        <v>141.55961583297153</v>
      </c>
      <c r="N28">
        <f t="shared" si="6"/>
        <v>150.63207346158435</v>
      </c>
      <c r="O28">
        <f t="shared" si="7"/>
        <v>1.2159004550529044</v>
      </c>
      <c r="P28">
        <f t="shared" si="8"/>
        <v>2.4271689164311718</v>
      </c>
      <c r="Q28">
        <f t="shared" si="9"/>
        <v>0.97094238116211606</v>
      </c>
      <c r="R28">
        <f t="shared" si="10"/>
        <v>0.62491383739104389</v>
      </c>
      <c r="S28">
        <f t="shared" si="11"/>
        <v>218.6363566666667</v>
      </c>
      <c r="T28">
        <f t="shared" si="12"/>
        <v>27.248162741024803</v>
      </c>
      <c r="U28">
        <f t="shared" si="13"/>
        <v>26.099193333333329</v>
      </c>
      <c r="V28">
        <f t="shared" si="14"/>
        <v>3.3941148128146978</v>
      </c>
      <c r="W28">
        <f t="shared" si="15"/>
        <v>82.256863084127446</v>
      </c>
      <c r="X28">
        <f t="shared" si="16"/>
        <v>2.9531953060853682</v>
      </c>
      <c r="Y28">
        <f t="shared" si="17"/>
        <v>3.5902114369046809</v>
      </c>
      <c r="Z28">
        <f t="shared" si="18"/>
        <v>0.44091950672932967</v>
      </c>
      <c r="AA28">
        <f t="shared" si="19"/>
        <v>-190.75597103804819</v>
      </c>
      <c r="AB28">
        <f t="shared" si="20"/>
        <v>124.74397927786666</v>
      </c>
      <c r="AC28">
        <f t="shared" si="21"/>
        <v>11.044658518220936</v>
      </c>
      <c r="AD28">
        <f t="shared" si="22"/>
        <v>163.6690234247061</v>
      </c>
      <c r="AE28">
        <f t="shared" si="23"/>
        <v>49.317342110879103</v>
      </c>
      <c r="AF28">
        <f t="shared" si="24"/>
        <v>4.3255322230849931</v>
      </c>
      <c r="AG28">
        <f t="shared" si="25"/>
        <v>49.474126166693949</v>
      </c>
      <c r="AH28">
        <v>1631.7242154524549</v>
      </c>
      <c r="AI28">
        <v>1518.4525454545451</v>
      </c>
      <c r="AJ28">
        <v>-2.9602289197830121E-2</v>
      </c>
      <c r="AK28">
        <v>84.005116882163591</v>
      </c>
      <c r="AL28">
        <f t="shared" si="26"/>
        <v>4.3256836579775708</v>
      </c>
      <c r="AM28">
        <v>19.461896154473251</v>
      </c>
      <c r="AN28">
        <v>28.91325714285713</v>
      </c>
      <c r="AO28">
        <v>3.5730723827003082E-7</v>
      </c>
      <c r="AP28">
        <v>90.514184209069057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53942.79915646078</v>
      </c>
      <c r="AV28">
        <f t="shared" si="30"/>
        <v>1150.7176666666669</v>
      </c>
      <c r="AW28">
        <f t="shared" si="31"/>
        <v>920.57413333333352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339</v>
      </c>
      <c r="BC28">
        <v>2</v>
      </c>
      <c r="BD28" t="b">
        <v>0</v>
      </c>
      <c r="BE28">
        <v>1755516139.75</v>
      </c>
      <c r="BF28">
        <v>1474.6763333333331</v>
      </c>
      <c r="BG28">
        <v>1599.9923333333329</v>
      </c>
      <c r="BH28">
        <v>28.91155333333333</v>
      </c>
      <c r="BI28">
        <v>19.460503333333339</v>
      </c>
      <c r="BJ28">
        <v>1460.307333333333</v>
      </c>
      <c r="BK28">
        <v>28.661106666666669</v>
      </c>
      <c r="BL28">
        <v>400.00073333333341</v>
      </c>
      <c r="BM28">
        <v>102.0458666666667</v>
      </c>
      <c r="BN28">
        <v>9.9987346666666657E-2</v>
      </c>
      <c r="BO28">
        <v>27.05250333333333</v>
      </c>
      <c r="BP28">
        <v>26.099193333333329</v>
      </c>
      <c r="BQ28">
        <v>999.9000000000002</v>
      </c>
      <c r="BR28">
        <v>0</v>
      </c>
      <c r="BS28">
        <v>0</v>
      </c>
      <c r="BT28">
        <v>9998.7000000000007</v>
      </c>
      <c r="BU28">
        <v>1150.7176666666669</v>
      </c>
      <c r="BV28">
        <v>12.885199999999999</v>
      </c>
      <c r="BW28">
        <v>-125.3152333333333</v>
      </c>
      <c r="BX28">
        <v>1518.5820000000001</v>
      </c>
      <c r="BY28">
        <v>1631.746666666666</v>
      </c>
      <c r="BZ28">
        <v>9.4510526666666657</v>
      </c>
      <c r="CA28">
        <v>1599.9923333333329</v>
      </c>
      <c r="CB28">
        <v>19.460503333333339</v>
      </c>
      <c r="CC28">
        <v>2.950305666666666</v>
      </c>
      <c r="CD28">
        <v>1.9858640000000001</v>
      </c>
      <c r="CE28">
        <v>23.75006333333334</v>
      </c>
      <c r="CF28">
        <v>17.332070000000002</v>
      </c>
      <c r="CG28">
        <v>1755513942</v>
      </c>
      <c r="CH28" t="s">
        <v>340</v>
      </c>
      <c r="CI28">
        <v>1755513929.5</v>
      </c>
      <c r="CJ28">
        <v>1755513942</v>
      </c>
      <c r="CK28">
        <v>2</v>
      </c>
      <c r="CL28">
        <v>-0.57599999999999996</v>
      </c>
      <c r="CM28">
        <v>2.7E-2</v>
      </c>
      <c r="CN28">
        <v>3.411</v>
      </c>
      <c r="CO28">
        <v>0.25</v>
      </c>
      <c r="CP28">
        <v>450</v>
      </c>
      <c r="CQ28">
        <v>20</v>
      </c>
      <c r="CR28">
        <v>0.02</v>
      </c>
      <c r="CS28">
        <v>0.01</v>
      </c>
      <c r="CT28">
        <v>-125.2744390243902</v>
      </c>
      <c r="CU28">
        <v>-0.59372822299668371</v>
      </c>
      <c r="CV28">
        <v>9.4719366958911783E-2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9.4504826829268289</v>
      </c>
      <c r="DC28">
        <v>1.4493867595820151E-2</v>
      </c>
      <c r="DD28">
        <v>1.7407329888554509E-3</v>
      </c>
      <c r="DE28">
        <v>1</v>
      </c>
      <c r="DF28">
        <v>1</v>
      </c>
      <c r="DG28">
        <v>2</v>
      </c>
      <c r="DH28" t="s">
        <v>341</v>
      </c>
      <c r="DI28">
        <v>3.0245600000000001</v>
      </c>
      <c r="DJ28">
        <v>2.6912400000000001</v>
      </c>
      <c r="DK28">
        <v>0.223773</v>
      </c>
      <c r="DL28">
        <v>0.237487</v>
      </c>
      <c r="DM28">
        <v>0.13706099999999999</v>
      </c>
      <c r="DN28">
        <v>0.104989</v>
      </c>
      <c r="DO28">
        <v>21621.200000000001</v>
      </c>
      <c r="DP28">
        <v>13774.9</v>
      </c>
      <c r="DQ28">
        <v>26430.1</v>
      </c>
      <c r="DR28">
        <v>16406.5</v>
      </c>
      <c r="DS28">
        <v>32425.200000000001</v>
      </c>
      <c r="DT28">
        <v>19162.5</v>
      </c>
      <c r="DU28">
        <v>38500.9</v>
      </c>
      <c r="DV28">
        <v>21719.4</v>
      </c>
      <c r="DW28">
        <v>1.7982</v>
      </c>
      <c r="DX28">
        <v>2.1917</v>
      </c>
      <c r="DY28">
        <v>6.8783800000000006E-2</v>
      </c>
      <c r="DZ28">
        <v>0</v>
      </c>
      <c r="EA28">
        <v>24.9709</v>
      </c>
      <c r="EB28">
        <v>999.9</v>
      </c>
      <c r="EC28">
        <v>58.3</v>
      </c>
      <c r="ED28">
        <v>32.6</v>
      </c>
      <c r="EE28">
        <v>28.218599999999999</v>
      </c>
      <c r="EF28">
        <v>62.4313</v>
      </c>
      <c r="EG28">
        <v>35.408700000000003</v>
      </c>
      <c r="EH28">
        <v>1</v>
      </c>
      <c r="EI28">
        <v>5.7443099999999997E-2</v>
      </c>
      <c r="EJ28">
        <v>4.8089300000000001E-2</v>
      </c>
      <c r="EK28">
        <v>20.342099999999999</v>
      </c>
      <c r="EL28">
        <v>5.25143</v>
      </c>
      <c r="EM28">
        <v>11.962</v>
      </c>
      <c r="EN28">
        <v>4.9896000000000003</v>
      </c>
      <c r="EO28">
        <v>3.2913199999999998</v>
      </c>
      <c r="EP28">
        <v>9999</v>
      </c>
      <c r="EQ28">
        <v>9999</v>
      </c>
      <c r="ER28">
        <v>9999</v>
      </c>
      <c r="ES28">
        <v>999.9</v>
      </c>
      <c r="ET28">
        <v>4.9726699999999999</v>
      </c>
      <c r="EU28">
        <v>1.87181</v>
      </c>
      <c r="EV28">
        <v>1.8721000000000001</v>
      </c>
      <c r="EW28">
        <v>1.87714</v>
      </c>
      <c r="EX28">
        <v>1.8712899999999999</v>
      </c>
      <c r="EY28">
        <v>1.8720600000000001</v>
      </c>
      <c r="EZ28">
        <v>1.87168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14.37</v>
      </c>
      <c r="FP28">
        <v>0.25040000000000001</v>
      </c>
      <c r="FQ28">
        <v>-0.17731252693312621</v>
      </c>
      <c r="FR28">
        <v>7.0338458001993282E-3</v>
      </c>
      <c r="FS28">
        <v>2.3387658340725169E-6</v>
      </c>
      <c r="FT28">
        <v>-2.2874075696057401E-10</v>
      </c>
      <c r="FU28">
        <v>0.25043499999999602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37</v>
      </c>
      <c r="GD28">
        <v>36.799999999999997</v>
      </c>
      <c r="GE28">
        <v>3.10059</v>
      </c>
      <c r="GF28">
        <v>2.6122999999999998</v>
      </c>
      <c r="GG28">
        <v>1.7981</v>
      </c>
      <c r="GH28">
        <v>2.3742700000000001</v>
      </c>
      <c r="GI28">
        <v>1.5979000000000001</v>
      </c>
      <c r="GJ28">
        <v>2.50854</v>
      </c>
      <c r="GK28">
        <v>35.637999999999998</v>
      </c>
      <c r="GL28">
        <v>24.1663</v>
      </c>
      <c r="GM28">
        <v>18</v>
      </c>
      <c r="GN28">
        <v>366.11700000000002</v>
      </c>
      <c r="GO28">
        <v>676.10900000000004</v>
      </c>
      <c r="GP28">
        <v>25.830200000000001</v>
      </c>
      <c r="GQ28">
        <v>27.830200000000001</v>
      </c>
      <c r="GR28">
        <v>30.0001</v>
      </c>
      <c r="GS28">
        <v>27.758199999999999</v>
      </c>
      <c r="GT28">
        <v>27.796099999999999</v>
      </c>
      <c r="GU28">
        <v>61.985599999999998</v>
      </c>
      <c r="GV28">
        <v>37.284700000000001</v>
      </c>
      <c r="GW28">
        <v>0</v>
      </c>
      <c r="GX28">
        <v>25.83</v>
      </c>
      <c r="GY28">
        <v>1600</v>
      </c>
      <c r="GZ28">
        <v>19.5</v>
      </c>
      <c r="HA28">
        <v>100.43</v>
      </c>
      <c r="HB28">
        <v>67.823800000000006</v>
      </c>
    </row>
    <row r="29" spans="1:210" x14ac:dyDescent="0.3">
      <c r="A29">
        <v>13</v>
      </c>
      <c r="B29">
        <v>1755516328</v>
      </c>
      <c r="C29">
        <v>2166.400000095367</v>
      </c>
      <c r="D29" t="s">
        <v>368</v>
      </c>
      <c r="E29" t="s">
        <v>369</v>
      </c>
      <c r="F29">
        <v>15</v>
      </c>
      <c r="G29">
        <v>1755516320.25</v>
      </c>
      <c r="H29">
        <f t="shared" si="0"/>
        <v>4.3539855362180078E-3</v>
      </c>
      <c r="I29">
        <f t="shared" si="1"/>
        <v>4.3539855362180075</v>
      </c>
      <c r="J29">
        <f t="shared" si="2"/>
        <v>34.64879060875046</v>
      </c>
      <c r="K29">
        <f t="shared" si="3"/>
        <v>368.42436666666669</v>
      </c>
      <c r="L29">
        <f t="shared" si="4"/>
        <v>311.5182501711227</v>
      </c>
      <c r="M29">
        <f t="shared" si="5"/>
        <v>31.820550023867245</v>
      </c>
      <c r="N29">
        <f t="shared" si="6"/>
        <v>37.633319983944311</v>
      </c>
      <c r="O29">
        <f t="shared" si="7"/>
        <v>1.2395558095392385</v>
      </c>
      <c r="P29">
        <f t="shared" si="8"/>
        <v>2.42734604593231</v>
      </c>
      <c r="Q29">
        <f t="shared" si="9"/>
        <v>0.98598790363213118</v>
      </c>
      <c r="R29">
        <f t="shared" si="10"/>
        <v>0.63488818062579488</v>
      </c>
      <c r="S29">
        <f t="shared" si="11"/>
        <v>218.78816666666674</v>
      </c>
      <c r="T29">
        <f t="shared" si="12"/>
        <v>27.254304164024621</v>
      </c>
      <c r="U29">
        <f t="shared" si="13"/>
        <v>26.11389333333333</v>
      </c>
      <c r="V29">
        <f t="shared" si="14"/>
        <v>3.3970661020647319</v>
      </c>
      <c r="W29">
        <f t="shared" si="15"/>
        <v>82.38018405915534</v>
      </c>
      <c r="X29">
        <f t="shared" si="16"/>
        <v>2.9600366728116327</v>
      </c>
      <c r="Y29">
        <f t="shared" si="17"/>
        <v>3.5931416111987535</v>
      </c>
      <c r="Z29">
        <f t="shared" si="18"/>
        <v>0.43702942925309918</v>
      </c>
      <c r="AA29">
        <f t="shared" si="19"/>
        <v>-192.01076214721414</v>
      </c>
      <c r="AB29">
        <f t="shared" si="20"/>
        <v>124.64795614749251</v>
      </c>
      <c r="AC29">
        <f t="shared" si="21"/>
        <v>11.036931558857539</v>
      </c>
      <c r="AD29">
        <f t="shared" si="22"/>
        <v>162.46229222580263</v>
      </c>
      <c r="AE29">
        <f t="shared" si="23"/>
        <v>34.64879060875046</v>
      </c>
      <c r="AF29">
        <f t="shared" si="24"/>
        <v>4.3539855362180075</v>
      </c>
      <c r="AG29">
        <f t="shared" si="25"/>
        <v>34.689591722453287</v>
      </c>
      <c r="AH29">
        <v>458.91576348903487</v>
      </c>
      <c r="AI29">
        <v>379.32918787878759</v>
      </c>
      <c r="AJ29">
        <v>-1.515624895014246E-3</v>
      </c>
      <c r="AK29">
        <v>84.005116882163591</v>
      </c>
      <c r="AL29">
        <f t="shared" si="26"/>
        <v>4.3555017007911339</v>
      </c>
      <c r="AM29">
        <v>19.466793259878521</v>
      </c>
      <c r="AN29">
        <v>28.982456992481179</v>
      </c>
      <c r="AO29">
        <v>1.223142955202409E-6</v>
      </c>
      <c r="AP29">
        <v>90.514184209069057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53946.260772008216</v>
      </c>
      <c r="AV29">
        <f t="shared" si="30"/>
        <v>1151.5166666666671</v>
      </c>
      <c r="AW29">
        <f t="shared" si="31"/>
        <v>921.21333333333371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339</v>
      </c>
      <c r="BC29">
        <v>2</v>
      </c>
      <c r="BD29" t="b">
        <v>0</v>
      </c>
      <c r="BE29">
        <v>1755516320.25</v>
      </c>
      <c r="BF29">
        <v>368.42436666666669</v>
      </c>
      <c r="BG29">
        <v>449.99186666666668</v>
      </c>
      <c r="BH29">
        <v>28.97829999999999</v>
      </c>
      <c r="BI29">
        <v>19.465896666666669</v>
      </c>
      <c r="BJ29">
        <v>365.72756666666669</v>
      </c>
      <c r="BK29">
        <v>28.727883333333331</v>
      </c>
      <c r="BL29">
        <v>400.0075333333333</v>
      </c>
      <c r="BM29">
        <v>102.0467</v>
      </c>
      <c r="BN29">
        <v>9.9963980000000022E-2</v>
      </c>
      <c r="BO29">
        <v>27.066400000000002</v>
      </c>
      <c r="BP29">
        <v>26.11389333333333</v>
      </c>
      <c r="BQ29">
        <v>999.9000000000002</v>
      </c>
      <c r="BR29">
        <v>0</v>
      </c>
      <c r="BS29">
        <v>0</v>
      </c>
      <c r="BT29">
        <v>9999.7666666666664</v>
      </c>
      <c r="BU29">
        <v>1151.5166666666671</v>
      </c>
      <c r="BV29">
        <v>12.936500000000001</v>
      </c>
      <c r="BW29">
        <v>-81.567543333333333</v>
      </c>
      <c r="BX29">
        <v>379.41933333333333</v>
      </c>
      <c r="BY29">
        <v>458.9253666666666</v>
      </c>
      <c r="BZ29">
        <v>9.5124110000000019</v>
      </c>
      <c r="CA29">
        <v>449.99186666666668</v>
      </c>
      <c r="CB29">
        <v>19.465896666666669</v>
      </c>
      <c r="CC29">
        <v>2.9571433333333341</v>
      </c>
      <c r="CD29">
        <v>1.9864333333333331</v>
      </c>
      <c r="CE29">
        <v>23.788536666666669</v>
      </c>
      <c r="CF29">
        <v>17.336600000000001</v>
      </c>
      <c r="CG29">
        <v>1755513942</v>
      </c>
      <c r="CH29" t="s">
        <v>340</v>
      </c>
      <c r="CI29">
        <v>1755513929.5</v>
      </c>
      <c r="CJ29">
        <v>1755513942</v>
      </c>
      <c r="CK29">
        <v>2</v>
      </c>
      <c r="CL29">
        <v>-0.57599999999999996</v>
      </c>
      <c r="CM29">
        <v>2.7E-2</v>
      </c>
      <c r="CN29">
        <v>3.411</v>
      </c>
      <c r="CO29">
        <v>0.25</v>
      </c>
      <c r="CP29">
        <v>450</v>
      </c>
      <c r="CQ29">
        <v>20</v>
      </c>
      <c r="CR29">
        <v>0.02</v>
      </c>
      <c r="CS29">
        <v>0.01</v>
      </c>
      <c r="CT29">
        <v>-81.532934999999995</v>
      </c>
      <c r="CU29">
        <v>-0.6933343339585657</v>
      </c>
      <c r="CV29">
        <v>6.8997222951362208E-2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9.5114437500000015</v>
      </c>
      <c r="DC29">
        <v>2.5307954971847301E-2</v>
      </c>
      <c r="DD29">
        <v>2.931749211221856E-3</v>
      </c>
      <c r="DE29">
        <v>1</v>
      </c>
      <c r="DF29">
        <v>1</v>
      </c>
      <c r="DG29">
        <v>2</v>
      </c>
      <c r="DH29" t="s">
        <v>341</v>
      </c>
      <c r="DI29">
        <v>3.0245199999999999</v>
      </c>
      <c r="DJ29">
        <v>2.6912400000000001</v>
      </c>
      <c r="DK29">
        <v>8.77053E-2</v>
      </c>
      <c r="DL29">
        <v>0.10317</v>
      </c>
      <c r="DM29">
        <v>0.13728399999999999</v>
      </c>
      <c r="DN29">
        <v>0.105003</v>
      </c>
      <c r="DO29">
        <v>25411</v>
      </c>
      <c r="DP29">
        <v>16201.8</v>
      </c>
      <c r="DQ29">
        <v>26429.9</v>
      </c>
      <c r="DR29">
        <v>16406.8</v>
      </c>
      <c r="DS29">
        <v>32414</v>
      </c>
      <c r="DT29">
        <v>19160.099999999999</v>
      </c>
      <c r="DU29">
        <v>38501.800000000003</v>
      </c>
      <c r="DV29">
        <v>21719.3</v>
      </c>
      <c r="DW29">
        <v>1.79776</v>
      </c>
      <c r="DX29">
        <v>2.1888200000000002</v>
      </c>
      <c r="DY29">
        <v>6.9612300000000002E-2</v>
      </c>
      <c r="DZ29">
        <v>0</v>
      </c>
      <c r="EA29">
        <v>24.975100000000001</v>
      </c>
      <c r="EB29">
        <v>999.9</v>
      </c>
      <c r="EC29">
        <v>58.4</v>
      </c>
      <c r="ED29">
        <v>32.6</v>
      </c>
      <c r="EE29">
        <v>28.268999999999998</v>
      </c>
      <c r="EF29">
        <v>62.601300000000002</v>
      </c>
      <c r="EG29">
        <v>35.332500000000003</v>
      </c>
      <c r="EH29">
        <v>1</v>
      </c>
      <c r="EI29">
        <v>5.7089399999999998E-2</v>
      </c>
      <c r="EJ29">
        <v>5.31482E-2</v>
      </c>
      <c r="EK29">
        <v>20.342500000000001</v>
      </c>
      <c r="EL29">
        <v>5.2508299999999997</v>
      </c>
      <c r="EM29">
        <v>11.962</v>
      </c>
      <c r="EN29">
        <v>4.9896000000000003</v>
      </c>
      <c r="EO29">
        <v>3.2912400000000002</v>
      </c>
      <c r="EP29">
        <v>9999</v>
      </c>
      <c r="EQ29">
        <v>9999</v>
      </c>
      <c r="ER29">
        <v>9999</v>
      </c>
      <c r="ES29">
        <v>999.9</v>
      </c>
      <c r="ET29">
        <v>4.9727100000000002</v>
      </c>
      <c r="EU29">
        <v>1.87181</v>
      </c>
      <c r="EV29">
        <v>1.8721000000000001</v>
      </c>
      <c r="EW29">
        <v>1.87714</v>
      </c>
      <c r="EX29">
        <v>1.8713</v>
      </c>
      <c r="EY29">
        <v>1.8720699999999999</v>
      </c>
      <c r="EZ29">
        <v>1.87168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2.6960000000000002</v>
      </c>
      <c r="FP29">
        <v>0.25040000000000001</v>
      </c>
      <c r="FQ29">
        <v>-0.17731252693312621</v>
      </c>
      <c r="FR29">
        <v>7.0338458001993282E-3</v>
      </c>
      <c r="FS29">
        <v>2.3387658340725169E-6</v>
      </c>
      <c r="FT29">
        <v>-2.2874075696057401E-10</v>
      </c>
      <c r="FU29">
        <v>0.25043499999999602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40</v>
      </c>
      <c r="GD29">
        <v>39.799999999999997</v>
      </c>
      <c r="GE29">
        <v>1.1035200000000001</v>
      </c>
      <c r="GF29">
        <v>2.6196299999999999</v>
      </c>
      <c r="GG29">
        <v>1.7981</v>
      </c>
      <c r="GH29">
        <v>2.3742700000000001</v>
      </c>
      <c r="GI29">
        <v>1.5979000000000001</v>
      </c>
      <c r="GJ29">
        <v>2.5732400000000002</v>
      </c>
      <c r="GK29">
        <v>35.661299999999997</v>
      </c>
      <c r="GL29">
        <v>24.1663</v>
      </c>
      <c r="GM29">
        <v>18</v>
      </c>
      <c r="GN29">
        <v>365.89</v>
      </c>
      <c r="GO29">
        <v>673.56100000000004</v>
      </c>
      <c r="GP29">
        <v>25.83</v>
      </c>
      <c r="GQ29">
        <v>27.8279</v>
      </c>
      <c r="GR29">
        <v>30</v>
      </c>
      <c r="GS29">
        <v>27.758199999999999</v>
      </c>
      <c r="GT29">
        <v>27.793800000000001</v>
      </c>
      <c r="GU29">
        <v>22.055900000000001</v>
      </c>
      <c r="GV29">
        <v>37.284700000000001</v>
      </c>
      <c r="GW29">
        <v>0</v>
      </c>
      <c r="GX29">
        <v>25.83</v>
      </c>
      <c r="GY29">
        <v>450</v>
      </c>
      <c r="GZ29">
        <v>19.5</v>
      </c>
      <c r="HA29">
        <v>100.431</v>
      </c>
      <c r="HB29">
        <v>67.824100000000001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2025-08-18T11:26:55Z</dcterms:created>
  <dcterms:modified xsi:type="dcterms:W3CDTF">2025-12-01T11:43:55Z</dcterms:modified>
</cp:coreProperties>
</file>