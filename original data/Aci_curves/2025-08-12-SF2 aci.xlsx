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tinko_jans_wur_nl/Documents/PhD/experiments/Oefenen DUAL-PAM onder SUN_FR/final measurements/Aci_curves/"/>
    </mc:Choice>
  </mc:AlternateContent>
  <xr:revisionPtr revIDLastSave="3" documentId="11_ACE07100D033D4831DCFF0CCB520E8143002FFDB" xr6:coauthVersionLast="47" xr6:coauthVersionMax="47" xr10:uidLastSave="{DD16ED00-BB89-48F8-BD9A-0F92D77E7BC5}"/>
  <bookViews>
    <workbookView xWindow="732" yWindow="732" windowWidth="17280" windowHeight="888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29" i="1" l="1"/>
  <c r="AX29" i="1"/>
  <c r="AW29" i="1"/>
  <c r="AV29" i="1"/>
  <c r="AU29" i="1"/>
  <c r="AT29" i="1"/>
  <c r="AS29" i="1"/>
  <c r="AL29" i="1"/>
  <c r="AG29" i="1"/>
  <c r="AF29" i="1"/>
  <c r="AE29" i="1"/>
  <c r="Y29" i="1"/>
  <c r="X29" i="1"/>
  <c r="W29" i="1"/>
  <c r="S29" i="1"/>
  <c r="P29" i="1"/>
  <c r="N29" i="1"/>
  <c r="K29" i="1"/>
  <c r="J29" i="1"/>
  <c r="I29" i="1"/>
  <c r="H29" i="1" s="1"/>
  <c r="AY28" i="1"/>
  <c r="AX28" i="1"/>
  <c r="AW28" i="1"/>
  <c r="AV28" i="1"/>
  <c r="AU28" i="1"/>
  <c r="AT28" i="1"/>
  <c r="AS28" i="1"/>
  <c r="AL28" i="1"/>
  <c r="AG28" i="1"/>
  <c r="AF28" i="1"/>
  <c r="AE28" i="1"/>
  <c r="J28" i="1" s="1"/>
  <c r="Y28" i="1"/>
  <c r="X28" i="1"/>
  <c r="W28" i="1"/>
  <c r="S28" i="1"/>
  <c r="P28" i="1"/>
  <c r="N28" i="1"/>
  <c r="K28" i="1"/>
  <c r="I28" i="1"/>
  <c r="H28" i="1" s="1"/>
  <c r="AY27" i="1"/>
  <c r="AX27" i="1"/>
  <c r="AW27" i="1"/>
  <c r="AV27" i="1"/>
  <c r="AU27" i="1"/>
  <c r="AS27" i="1"/>
  <c r="AT27" i="1" s="1"/>
  <c r="AL27" i="1"/>
  <c r="AG27" i="1"/>
  <c r="AF27" i="1"/>
  <c r="I27" i="1" s="1"/>
  <c r="H27" i="1" s="1"/>
  <c r="AE27" i="1"/>
  <c r="J27" i="1" s="1"/>
  <c r="Y27" i="1"/>
  <c r="X27" i="1"/>
  <c r="W27" i="1"/>
  <c r="S27" i="1"/>
  <c r="P27" i="1"/>
  <c r="N27" i="1"/>
  <c r="K27" i="1"/>
  <c r="AY26" i="1"/>
  <c r="AX26" i="1"/>
  <c r="AW26" i="1"/>
  <c r="AV26" i="1"/>
  <c r="AU26" i="1"/>
  <c r="AT26" i="1"/>
  <c r="AS26" i="1"/>
  <c r="AE26" i="1" s="1"/>
  <c r="J26" i="1" s="1"/>
  <c r="AL26" i="1"/>
  <c r="AG26" i="1"/>
  <c r="AF26" i="1"/>
  <c r="I26" i="1" s="1"/>
  <c r="H26" i="1" s="1"/>
  <c r="Y26" i="1"/>
  <c r="X26" i="1"/>
  <c r="W26" i="1"/>
  <c r="S26" i="1"/>
  <c r="P26" i="1"/>
  <c r="K26" i="1"/>
  <c r="AY25" i="1"/>
  <c r="AX25" i="1"/>
  <c r="AW25" i="1"/>
  <c r="AV25" i="1"/>
  <c r="AU25" i="1"/>
  <c r="AT25" i="1"/>
  <c r="AS25" i="1"/>
  <c r="AL25" i="1"/>
  <c r="AG25" i="1"/>
  <c r="AF25" i="1"/>
  <c r="AE25" i="1"/>
  <c r="Y25" i="1"/>
  <c r="X25" i="1"/>
  <c r="W25" i="1"/>
  <c r="S25" i="1"/>
  <c r="P25" i="1"/>
  <c r="N25" i="1"/>
  <c r="K25" i="1"/>
  <c r="J25" i="1"/>
  <c r="I25" i="1"/>
  <c r="H25" i="1" s="1"/>
  <c r="AY24" i="1"/>
  <c r="AX24" i="1"/>
  <c r="AW24" i="1"/>
  <c r="AV24" i="1"/>
  <c r="AU24" i="1"/>
  <c r="AT24" i="1"/>
  <c r="AS24" i="1"/>
  <c r="AL24" i="1"/>
  <c r="AG24" i="1"/>
  <c r="AF24" i="1"/>
  <c r="AE24" i="1"/>
  <c r="J24" i="1" s="1"/>
  <c r="Y24" i="1"/>
  <c r="X24" i="1"/>
  <c r="W24" i="1"/>
  <c r="S24" i="1"/>
  <c r="P24" i="1"/>
  <c r="N24" i="1"/>
  <c r="K24" i="1"/>
  <c r="I24" i="1"/>
  <c r="H24" i="1" s="1"/>
  <c r="AY23" i="1"/>
  <c r="AX23" i="1"/>
  <c r="AW23" i="1"/>
  <c r="AV23" i="1"/>
  <c r="AU23" i="1"/>
  <c r="AS23" i="1"/>
  <c r="AT23" i="1" s="1"/>
  <c r="AL23" i="1"/>
  <c r="AG23" i="1"/>
  <c r="AF23" i="1"/>
  <c r="I23" i="1" s="1"/>
  <c r="H23" i="1" s="1"/>
  <c r="AE23" i="1"/>
  <c r="J23" i="1" s="1"/>
  <c r="Y23" i="1"/>
  <c r="X23" i="1"/>
  <c r="W23" i="1"/>
  <c r="S23" i="1"/>
  <c r="P23" i="1"/>
  <c r="N23" i="1"/>
  <c r="K23" i="1"/>
  <c r="AY22" i="1"/>
  <c r="AX22" i="1"/>
  <c r="AW22" i="1"/>
  <c r="AV22" i="1"/>
  <c r="AU22" i="1"/>
  <c r="AT22" i="1"/>
  <c r="AS22" i="1"/>
  <c r="AE22" i="1" s="1"/>
  <c r="J22" i="1" s="1"/>
  <c r="AL22" i="1"/>
  <c r="AG22" i="1"/>
  <c r="AF22" i="1"/>
  <c r="I22" i="1" s="1"/>
  <c r="H22" i="1" s="1"/>
  <c r="Y22" i="1"/>
  <c r="X22" i="1"/>
  <c r="W22" i="1"/>
  <c r="S22" i="1"/>
  <c r="P22" i="1"/>
  <c r="K22" i="1"/>
  <c r="AY21" i="1"/>
  <c r="AX21" i="1"/>
  <c r="AW21" i="1"/>
  <c r="AV21" i="1"/>
  <c r="AU21" i="1"/>
  <c r="AT21" i="1"/>
  <c r="AS21" i="1"/>
  <c r="AL21" i="1"/>
  <c r="AG21" i="1"/>
  <c r="AF21" i="1"/>
  <c r="AE21" i="1"/>
  <c r="Y21" i="1"/>
  <c r="X21" i="1"/>
  <c r="W21" i="1"/>
  <c r="S21" i="1"/>
  <c r="P21" i="1"/>
  <c r="N21" i="1"/>
  <c r="K21" i="1"/>
  <c r="J21" i="1"/>
  <c r="I21" i="1"/>
  <c r="H21" i="1" s="1"/>
  <c r="AY20" i="1"/>
  <c r="AX20" i="1"/>
  <c r="AW20" i="1"/>
  <c r="AV20" i="1"/>
  <c r="AU20" i="1"/>
  <c r="AT20" i="1"/>
  <c r="AS20" i="1"/>
  <c r="AL20" i="1"/>
  <c r="AG20" i="1"/>
  <c r="AF20" i="1"/>
  <c r="AE20" i="1"/>
  <c r="J20" i="1" s="1"/>
  <c r="Y20" i="1"/>
  <c r="X20" i="1"/>
  <c r="W20" i="1"/>
  <c r="S20" i="1"/>
  <c r="P20" i="1"/>
  <c r="N20" i="1"/>
  <c r="K20" i="1"/>
  <c r="I20" i="1"/>
  <c r="H20" i="1" s="1"/>
  <c r="AY19" i="1"/>
  <c r="AX19" i="1"/>
  <c r="AW19" i="1"/>
  <c r="AV19" i="1"/>
  <c r="AU19" i="1"/>
  <c r="AS19" i="1"/>
  <c r="AT19" i="1" s="1"/>
  <c r="AL19" i="1"/>
  <c r="AG19" i="1"/>
  <c r="AF19" i="1"/>
  <c r="I19" i="1" s="1"/>
  <c r="H19" i="1" s="1"/>
  <c r="AE19" i="1"/>
  <c r="J19" i="1" s="1"/>
  <c r="Y19" i="1"/>
  <c r="X19" i="1"/>
  <c r="W19" i="1"/>
  <c r="S19" i="1"/>
  <c r="P19" i="1"/>
  <c r="N19" i="1"/>
  <c r="K19" i="1"/>
  <c r="AY18" i="1"/>
  <c r="AX18" i="1"/>
  <c r="AW18" i="1"/>
  <c r="AV18" i="1"/>
  <c r="AU18" i="1"/>
  <c r="AT18" i="1"/>
  <c r="AS18" i="1"/>
  <c r="AL18" i="1"/>
  <c r="AG18" i="1"/>
  <c r="AF18" i="1"/>
  <c r="AE18" i="1"/>
  <c r="Y18" i="1"/>
  <c r="X18" i="1"/>
  <c r="W18" i="1"/>
  <c r="S18" i="1"/>
  <c r="P18" i="1"/>
  <c r="N18" i="1"/>
  <c r="K18" i="1"/>
  <c r="J18" i="1"/>
  <c r="I18" i="1"/>
  <c r="H18" i="1"/>
  <c r="AY17" i="1"/>
  <c r="AX17" i="1"/>
  <c r="AW17" i="1"/>
  <c r="AV17" i="1"/>
  <c r="AU17" i="1"/>
  <c r="AT17" i="1"/>
  <c r="AS17" i="1"/>
  <c r="AL17" i="1"/>
  <c r="AG17" i="1"/>
  <c r="AF17" i="1"/>
  <c r="AE17" i="1"/>
  <c r="Y17" i="1"/>
  <c r="X17" i="1"/>
  <c r="W17" i="1"/>
  <c r="S17" i="1"/>
  <c r="P17" i="1"/>
  <c r="N17" i="1"/>
  <c r="K17" i="1"/>
  <c r="J17" i="1"/>
  <c r="I17" i="1"/>
  <c r="H17" i="1" s="1"/>
  <c r="AA27" i="1" l="1"/>
  <c r="AA20" i="1"/>
  <c r="T20" i="1"/>
  <c r="U20" i="1" s="1"/>
  <c r="Q20" i="1"/>
  <c r="O20" i="1" s="1"/>
  <c r="R20" i="1" s="1"/>
  <c r="L20" i="1" s="1"/>
  <c r="M20" i="1" s="1"/>
  <c r="AA24" i="1"/>
  <c r="Q24" i="1"/>
  <c r="O24" i="1" s="1"/>
  <c r="R24" i="1" s="1"/>
  <c r="L24" i="1" s="1"/>
  <c r="M24" i="1" s="1"/>
  <c r="T24" i="1"/>
  <c r="U24" i="1" s="1"/>
  <c r="T19" i="1"/>
  <c r="U19" i="1" s="1"/>
  <c r="T23" i="1"/>
  <c r="U23" i="1" s="1"/>
  <c r="T27" i="1"/>
  <c r="U27" i="1" s="1"/>
  <c r="AA28" i="1"/>
  <c r="Q28" i="1"/>
  <c r="O28" i="1" s="1"/>
  <c r="R28" i="1" s="1"/>
  <c r="L28" i="1" s="1"/>
  <c r="M28" i="1" s="1"/>
  <c r="T28" i="1"/>
  <c r="U28" i="1" s="1"/>
  <c r="AA21" i="1"/>
  <c r="T21" i="1"/>
  <c r="U21" i="1" s="1"/>
  <c r="T25" i="1"/>
  <c r="U25" i="1" s="1"/>
  <c r="AA25" i="1"/>
  <c r="Q29" i="1"/>
  <c r="O29" i="1" s="1"/>
  <c r="R29" i="1" s="1"/>
  <c r="L29" i="1" s="1"/>
  <c r="M29" i="1" s="1"/>
  <c r="AA29" i="1"/>
  <c r="T29" i="1"/>
  <c r="U29" i="1" s="1"/>
  <c r="AA23" i="1"/>
  <c r="Q23" i="1"/>
  <c r="O23" i="1" s="1"/>
  <c r="R23" i="1" s="1"/>
  <c r="L23" i="1" s="1"/>
  <c r="M23" i="1" s="1"/>
  <c r="T22" i="1"/>
  <c r="U22" i="1" s="1"/>
  <c r="Q22" i="1"/>
  <c r="O22" i="1" s="1"/>
  <c r="R22" i="1" s="1"/>
  <c r="L22" i="1" s="1"/>
  <c r="M22" i="1" s="1"/>
  <c r="AA22" i="1"/>
  <c r="T26" i="1"/>
  <c r="U26" i="1" s="1"/>
  <c r="AA26" i="1"/>
  <c r="AA19" i="1"/>
  <c r="AA17" i="1"/>
  <c r="T17" i="1"/>
  <c r="U17" i="1" s="1"/>
  <c r="AA18" i="1"/>
  <c r="T18" i="1"/>
  <c r="U18" i="1" s="1"/>
  <c r="Q18" i="1" s="1"/>
  <c r="O18" i="1" s="1"/>
  <c r="R18" i="1" s="1"/>
  <c r="L18" i="1" s="1"/>
  <c r="M18" i="1" s="1"/>
  <c r="N22" i="1"/>
  <c r="N26" i="1"/>
  <c r="AB17" i="1" l="1"/>
  <c r="V17" i="1"/>
  <c r="Z17" i="1" s="1"/>
  <c r="AC17" i="1"/>
  <c r="AD17" i="1" s="1"/>
  <c r="Q17" i="1"/>
  <c r="O17" i="1" s="1"/>
  <c r="R17" i="1" s="1"/>
  <c r="L17" i="1" s="1"/>
  <c r="M17" i="1" s="1"/>
  <c r="V25" i="1"/>
  <c r="Z25" i="1" s="1"/>
  <c r="AC25" i="1"/>
  <c r="AD25" i="1" s="1"/>
  <c r="AB25" i="1"/>
  <c r="AC27" i="1"/>
  <c r="AD27" i="1" s="1"/>
  <c r="V27" i="1"/>
  <c r="Z27" i="1" s="1"/>
  <c r="AB27" i="1"/>
  <c r="V22" i="1"/>
  <c r="Z22" i="1" s="1"/>
  <c r="AC22" i="1"/>
  <c r="AB22" i="1"/>
  <c r="Q25" i="1"/>
  <c r="O25" i="1" s="1"/>
  <c r="R25" i="1" s="1"/>
  <c r="L25" i="1" s="1"/>
  <c r="M25" i="1" s="1"/>
  <c r="AC23" i="1"/>
  <c r="AB23" i="1"/>
  <c r="V23" i="1"/>
  <c r="Z23" i="1" s="1"/>
  <c r="V20" i="1"/>
  <c r="Z20" i="1" s="1"/>
  <c r="AC20" i="1"/>
  <c r="AB20" i="1"/>
  <c r="AC19" i="1"/>
  <c r="AD19" i="1" s="1"/>
  <c r="V19" i="1"/>
  <c r="Z19" i="1" s="1"/>
  <c r="AB19" i="1"/>
  <c r="V26" i="1"/>
  <c r="Z26" i="1" s="1"/>
  <c r="AC26" i="1"/>
  <c r="AB26" i="1"/>
  <c r="AB21" i="1"/>
  <c r="V21" i="1"/>
  <c r="Z21" i="1" s="1"/>
  <c r="AC21" i="1"/>
  <c r="AD21" i="1" s="1"/>
  <c r="V18" i="1"/>
  <c r="Z18" i="1" s="1"/>
  <c r="AC18" i="1"/>
  <c r="AB18" i="1"/>
  <c r="AB29" i="1"/>
  <c r="V29" i="1"/>
  <c r="Z29" i="1" s="1"/>
  <c r="AC29" i="1"/>
  <c r="AD29" i="1" s="1"/>
  <c r="Q21" i="1"/>
  <c r="O21" i="1" s="1"/>
  <c r="R21" i="1" s="1"/>
  <c r="L21" i="1" s="1"/>
  <c r="M21" i="1" s="1"/>
  <c r="Q27" i="1"/>
  <c r="O27" i="1" s="1"/>
  <c r="R27" i="1" s="1"/>
  <c r="L27" i="1" s="1"/>
  <c r="M27" i="1" s="1"/>
  <c r="Q19" i="1"/>
  <c r="O19" i="1" s="1"/>
  <c r="R19" i="1" s="1"/>
  <c r="L19" i="1" s="1"/>
  <c r="M19" i="1" s="1"/>
  <c r="Q26" i="1"/>
  <c r="O26" i="1" s="1"/>
  <c r="R26" i="1" s="1"/>
  <c r="L26" i="1" s="1"/>
  <c r="M26" i="1" s="1"/>
  <c r="AB28" i="1"/>
  <c r="V28" i="1"/>
  <c r="Z28" i="1" s="1"/>
  <c r="AC28" i="1"/>
  <c r="AC24" i="1"/>
  <c r="V24" i="1"/>
  <c r="Z24" i="1" s="1"/>
  <c r="AB24" i="1"/>
  <c r="AD18" i="1" l="1"/>
  <c r="AD23" i="1"/>
  <c r="AD22" i="1"/>
  <c r="AD24" i="1"/>
  <c r="AD20" i="1"/>
  <c r="AD28" i="1"/>
  <c r="AD26" i="1"/>
</calcChain>
</file>

<file path=xl/sharedStrings.xml><?xml version="1.0" encoding="utf-8"?>
<sst xmlns="http://schemas.openxmlformats.org/spreadsheetml/2006/main" count="818" uniqueCount="370">
  <si>
    <t>File opened</t>
  </si>
  <si>
    <t>2025-08-12 15:40:54</t>
  </si>
  <si>
    <t>Console s/n</t>
  </si>
  <si>
    <t>68C-831462</t>
  </si>
  <si>
    <t>Console ver</t>
  </si>
  <si>
    <t>Bluestem v.2.1.13</t>
  </si>
  <si>
    <t>Scripts ver</t>
  </si>
  <si>
    <t>2024.01  2.1.13, Apr 2024</t>
  </si>
  <si>
    <t>Head s/n</t>
  </si>
  <si>
    <t>68H-581462</t>
  </si>
  <si>
    <t>Head ver</t>
  </si>
  <si>
    <t>1.4.23</t>
  </si>
  <si>
    <t>Head cal</t>
  </si>
  <si>
    <t>{"oxygen": "21", "co2azero": "0.94367", "co2aspan1": "1.00228", "co2aspan2": "-0.036196", "co2aspan2a": "0.260385", "co2aspan2b": "0.258524", "co2aspanconc1": "2010", "co2aspanconc2": "301.2", "co2bzero": "0.904556", "co2bspan1": "1.00334", "co2bspan2": "-0.0382705", "co2bspan2a": "0.262281", "co2bspan2b": "0.260523", "co2bspanconc1": "2010", "co2bspanconc2": "301.2", "h2oazero": "1.02109", "h2oaspan1": "1.01571", "h2oaspan2": "0", "h2oaspan2a": "0.0738364", "h2oaspan2b": "0.0749962", "h2oaspanconc1": "12.57", "h2oaspanconc2": "0", "h2obzero": "1.01275", "h2obspan1": "1.01286", "h2obspan2": "0", "h2obspan2a": "0.0746968", "h2obspan2b": "0.0756572", "h2obspanconc1": "12.57", "h2obspanconc2": "0", "tazero": "0.26865", "tbzero": "-0.0104237", "flowmeterzero": "2.50203", "flowazero": "0.26215", "flowbzero": "0.26238", "chamberpressurezero": "2.59129", "ssa_ref": "32326.6", "ssb_ref": "28106.6"}</t>
  </si>
  <si>
    <t>Factory cal date</t>
  </si>
  <si>
    <t>25 Jun 2024</t>
  </si>
  <si>
    <t>CO2 rangematch</t>
  </si>
  <si>
    <t>Mon Aug 11 14:02</t>
  </si>
  <si>
    <t>H2O rangematch</t>
  </si>
  <si>
    <t>Thu Mar  6 15:58</t>
  </si>
  <si>
    <t>Chamber type</t>
  </si>
  <si>
    <t>6800-12</t>
  </si>
  <si>
    <t>Chamber s/n</t>
  </si>
  <si>
    <t>SLS-561173</t>
  </si>
  <si>
    <t>Chamber rev</t>
  </si>
  <si>
    <t>0</t>
  </si>
  <si>
    <t>Chamber cal</t>
  </si>
  <si>
    <t>8.02</t>
  </si>
  <si>
    <t>15:40:54</t>
  </si>
  <si>
    <t>Stability Definition:	F (FlrLS): Per=20	ΔH2O (Meas2): Slp&lt;0.1 Per=20	ΔCO2 (Meas2): Slp&lt;0.5 Per=20</t>
  </si>
  <si>
    <t>15:41:00</t>
  </si>
  <si>
    <t>Config file loaded: 18 topics from file /home/licor/configs/Tinko/configs aci curve</t>
  </si>
  <si>
    <t>15:41:01</t>
  </si>
  <si>
    <t>SysConst</t>
  </si>
  <si>
    <t>AvgTime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</si>
  <si>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</si>
  <si>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</si>
  <si>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</si>
  <si>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</si>
  <si>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</si>
  <si>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</si>
  <si>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</si>
  <si>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</si>
  <si>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</si>
  <si>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</si>
  <si>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</si>
  <si>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</si>
  <si>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</si>
  <si>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</si>
  <si>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</si>
  <si>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</si>
  <si>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</si>
  <si>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</si>
  <si>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</si>
  <si>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</si>
  <si>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</si>
  <si>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Fluorescent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</si>
  <si>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</si>
  <si>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</si>
  <si>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</si>
  <si>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</si>
  <si>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</si>
  <si>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</si>
  <si>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</si>
  <si>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</si>
  <si>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</si>
  <si>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</si>
  <si>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</si>
  <si>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</si>
  <si>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</si>
  <si>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</si>
  <si>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</si>
  <si>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</si>
  <si>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</si>
  <si>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</si>
  <si>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</si>
  <si>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</si>
  <si>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</si>
  <si>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</si>
  <si>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</si>
  <si>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</si>
  <si>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</si>
  <si>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</si>
  <si>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3.68373 163.325 348.33 594.947 859 1060.77 1292.73 1493.38</t>
  </si>
  <si>
    <t>Fs_true</t>
  </si>
  <si>
    <t>0.82554 201.409 386.044 596.004 805.73 1001.38 1201.08 1400.64</t>
  </si>
  <si>
    <t>leak_wt</t>
  </si>
  <si>
    <t>SysObs</t>
  </si>
  <si>
    <t>GasEx</t>
  </si>
  <si>
    <t>Dynamic</t>
  </si>
  <si>
    <t>Leak</t>
  </si>
  <si>
    <t>LeafQ</t>
  </si>
  <si>
    <t>Const</t>
  </si>
  <si>
    <t>Meas</t>
  </si>
  <si>
    <t>Meas2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</si>
  <si>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</si>
  <si>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</si>
  <si>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</si>
  <si>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</si>
  <si>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</si>
  <si>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</si>
  <si>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</si>
  <si>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</si>
  <si>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</si>
  <si>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</si>
  <si>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</si>
  <si>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</si>
  <si>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</si>
  <si>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</si>
  <si>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</si>
  <si>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</si>
  <si>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</si>
  <si>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</si>
  <si>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</si>
  <si>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</si>
  <si>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</si>
  <si>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</si>
  <si>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</si>
  <si>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</si>
  <si>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</si>
  <si>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</si>
  <si>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</si>
  <si>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</si>
  <si>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</si>
  <si>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</si>
  <si>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</si>
  <si>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</si>
  <si>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</si>
  <si>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</si>
  <si>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</si>
  <si>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</si>
  <si>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</si>
  <si>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</si>
  <si>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</si>
  <si>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</si>
  <si>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</si>
  <si>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</si>
  <si>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</si>
  <si>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</si>
  <si>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</si>
  <si>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</si>
  <si>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</si>
  <si>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</si>
  <si>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</si>
  <si>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</si>
  <si>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</si>
  <si>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</si>
  <si>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</si>
  <si>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</si>
  <si>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</si>
  <si>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</si>
  <si>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</si>
  <si>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</si>
  <si>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</si>
  <si>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</si>
  <si>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</si>
  <si>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</si>
  <si>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</si>
  <si>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</si>
  <si>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</si>
  <si>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</si>
  <si>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</si>
  <si>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</si>
  <si>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</si>
  <si>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</si>
  <si>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</si>
  <si>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</si>
  <si>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</si>
  <si>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</si>
  <si>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</si>
  <si>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</si>
  <si>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</si>
  <si>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</si>
  <si>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</si>
  <si>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</si>
  <si>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</si>
  <si>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</si>
  <si>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</si>
  <si>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</si>
  <si>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</si>
  <si>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</si>
  <si>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</si>
  <si>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</si>
  <si>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</si>
  <si>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</si>
  <si>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</si>
  <si>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</si>
  <si>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</si>
  <si>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</si>
  <si>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</si>
  <si>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</si>
  <si>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</si>
  <si>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</si>
  <si>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</si>
  <si>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</si>
  <si>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</si>
  <si>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</si>
  <si>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</si>
  <si>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</si>
  <si>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</si>
  <si>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</si>
  <si>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</si>
  <si>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</si>
  <si>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</si>
  <si>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</si>
  <si>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</si>
  <si>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</si>
  <si>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</si>
  <si>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</si>
  <si>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</si>
  <si>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</si>
  <si>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</si>
  <si>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</si>
  <si>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</si>
  <si>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</si>
  <si>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</si>
  <si>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</si>
  <si>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</si>
  <si>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</si>
  <si>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</si>
  <si>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</si>
  <si>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</si>
  <si>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</si>
  <si>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</si>
  <si>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</si>
  <si>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</si>
  <si>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</si>
  <si>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</si>
  <si>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</si>
  <si>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</si>
  <si>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</si>
  <si>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</si>
  <si>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</si>
  <si>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</si>
  <si>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</si>
  <si>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</si>
  <si>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</si>
  <si>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</si>
  <si>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</si>
  <si>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</si>
  <si>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</si>
  <si>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</si>
  <si>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</si>
  <si>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</si>
  <si>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</si>
  <si>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</si>
  <si>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</si>
  <si>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</si>
  <si>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</si>
  <si>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</si>
  <si>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</si>
  <si>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</si>
  <si>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</si>
  <si>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</si>
  <si>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</si>
  <si>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</si>
  <si>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</si>
  <si>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</si>
  <si>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</si>
  <si>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</si>
  <si>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</si>
  <si>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</si>
  <si>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</si>
  <si>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</si>
  <si>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</si>
  <si>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</si>
  <si>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</si>
  <si>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</si>
  <si>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</si>
  <si>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</si>
  <si>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</si>
  <si>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</si>
  <si>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</si>
  <si>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</si>
  <si>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</si>
  <si>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</si>
  <si>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</si>
  <si>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</si>
  <si>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</si>
  <si>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</si>
  <si>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</si>
  <si>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</si>
  <si>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</si>
  <si>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</si>
  <si>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</si>
  <si>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</si>
  <si>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</si>
  <si>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</si>
  <si>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</si>
  <si>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</si>
  <si>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</si>
  <si>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</si>
  <si>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</si>
  <si>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</si>
  <si>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</si>
  <si>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</si>
  <si>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</si>
  <si>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</si>
  <si>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</si>
  <si>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</si>
  <si>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</si>
  <si>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</si>
  <si>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</si>
  <si>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</si>
  <si>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</si>
  <si>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</si>
  <si>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</si>
  <si>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</si>
  <si>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</si>
  <si>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</si>
  <si>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</si>
  <si>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</si>
  <si>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</si>
  <si>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</si>
  <si>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</si>
  <si>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</si>
  <si>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</si>
  <si>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</si>
  <si>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</si>
  <si>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</si>
  <si>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</si>
  <si>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</si>
  <si>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</si>
  <si>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J/µmol</t>
  </si>
  <si>
    <t>cm²</t>
  </si>
  <si>
    <t>rpm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</si>
  <si>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</si>
  <si>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</si>
  <si>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</si>
  <si>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</si>
  <si>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</si>
  <si>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</si>
  <si>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</si>
  <si>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</si>
  <si>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</si>
  <si>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</si>
  <si>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</si>
  <si>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20250812 16:29:56</t>
  </si>
  <si>
    <t>16:29:56</t>
  </si>
  <si>
    <t>0: Broadleaf</t>
  </si>
  <si>
    <t>16:18:02</t>
  </si>
  <si>
    <t>2/2</t>
  </si>
  <si>
    <t>11111111</t>
  </si>
  <si>
    <t>oooooooo</t>
  </si>
  <si>
    <t>on</t>
  </si>
  <si>
    <t>20250812 16:32:56</t>
  </si>
  <si>
    <t>16:32:56</t>
  </si>
  <si>
    <t>20250812 16:35:57</t>
  </si>
  <si>
    <t>16:35:57</t>
  </si>
  <si>
    <t>1/2</t>
  </si>
  <si>
    <t>20250812 16:38:57</t>
  </si>
  <si>
    <t>16:38:57</t>
  </si>
  <si>
    <t>20250812 16:41:58</t>
  </si>
  <si>
    <t>16:41:58</t>
  </si>
  <si>
    <t>20250812 16:44:58</t>
  </si>
  <si>
    <t>16:44:58</t>
  </si>
  <si>
    <t>20250812 16:47:59</t>
  </si>
  <si>
    <t>16:47:59</t>
  </si>
  <si>
    <t>20250812 16:50:59</t>
  </si>
  <si>
    <t>16:50:59</t>
  </si>
  <si>
    <t>20250812 16:54:00</t>
  </si>
  <si>
    <t>16:54:00</t>
  </si>
  <si>
    <t>20250812 16:57:00</t>
  </si>
  <si>
    <t>16:57:00</t>
  </si>
  <si>
    <t>20250812 17:00:01</t>
  </si>
  <si>
    <t>17:00:01</t>
  </si>
  <si>
    <t>20250812 17:03:01</t>
  </si>
  <si>
    <t>17:03:01</t>
  </si>
  <si>
    <t>20250812 17:06:02</t>
  </si>
  <si>
    <t>17:06:02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</si>
</sst>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B29"/>
  <sheetViews>
    <sheetView tabSelected="1" topLeftCell="AS6" workbookViewId="0">
      <selection activeCell="BC16" sqref="BC16"/>
    </sheetView>
  </sheetViews>
  <sheetFormatPr defaultRowHeight="14.4" x14ac:dyDescent="0.3"/>
  <sheetData>
    <row r="2" spans="1:210" x14ac:dyDescent="0.3">
      <c r="A2" t="s">
        <v>33</v>
      </c>
      <c r="B2" t="s">
        <v>34</v>
      </c>
      <c r="C2" t="s">
        <v>35</v>
      </c>
    </row>
    <row r="3" spans="1:210" x14ac:dyDescent="0.3">
      <c r="B3">
        <v>5</v>
      </c>
      <c r="C3">
        <v>21</v>
      </c>
    </row>
    <row r="4" spans="1:210" x14ac:dyDescent="0.3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</row>
    <row r="5" spans="1:210" x14ac:dyDescent="0.3">
      <c r="B5" t="s">
        <v>21</v>
      </c>
      <c r="D5">
        <v>0.5</v>
      </c>
      <c r="E5">
        <v>0.44869569641082102</v>
      </c>
      <c r="F5">
        <v>1.9000035327750701E-3</v>
      </c>
      <c r="G5">
        <v>-4.2608878182654401E-2</v>
      </c>
      <c r="H5">
        <v>-3.4565160027444299E-3</v>
      </c>
      <c r="I5">
        <v>2</v>
      </c>
      <c r="J5">
        <v>9</v>
      </c>
      <c r="K5">
        <v>96.7</v>
      </c>
    </row>
    <row r="6" spans="1:210" x14ac:dyDescent="0.3">
      <c r="A6" t="s">
        <v>47</v>
      </c>
      <c r="B6" t="s">
        <v>48</v>
      </c>
      <c r="C6" t="s">
        <v>49</v>
      </c>
      <c r="D6" t="s">
        <v>50</v>
      </c>
      <c r="E6" t="s">
        <v>51</v>
      </c>
    </row>
    <row r="7" spans="1:210" x14ac:dyDescent="0.3">
      <c r="B7">
        <v>0</v>
      </c>
      <c r="C7">
        <v>1</v>
      </c>
      <c r="D7">
        <v>0</v>
      </c>
      <c r="E7">
        <v>0</v>
      </c>
    </row>
    <row r="8" spans="1:210" x14ac:dyDescent="0.3">
      <c r="A8" t="s">
        <v>52</v>
      </c>
      <c r="B8" t="s">
        <v>53</v>
      </c>
      <c r="C8" t="s">
        <v>55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  <c r="K8" t="s">
        <v>64</v>
      </c>
      <c r="L8" t="s">
        <v>65</v>
      </c>
      <c r="M8" t="s">
        <v>66</v>
      </c>
      <c r="N8" t="s">
        <v>67</v>
      </c>
      <c r="O8" t="s">
        <v>68</v>
      </c>
      <c r="P8" t="s">
        <v>69</v>
      </c>
      <c r="Q8" t="s">
        <v>70</v>
      </c>
    </row>
    <row r="9" spans="1:210" x14ac:dyDescent="0.3">
      <c r="B9" t="s">
        <v>54</v>
      </c>
      <c r="C9" t="s">
        <v>56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10" x14ac:dyDescent="0.3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</row>
    <row r="11" spans="1:210" x14ac:dyDescent="0.3">
      <c r="B11">
        <v>1</v>
      </c>
      <c r="C11">
        <v>0</v>
      </c>
      <c r="D11">
        <v>0</v>
      </c>
      <c r="E11">
        <v>0</v>
      </c>
      <c r="F11">
        <v>0</v>
      </c>
    </row>
    <row r="12" spans="1:210" x14ac:dyDescent="0.3">
      <c r="A12" t="s">
        <v>77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84</v>
      </c>
      <c r="H12" t="s">
        <v>86</v>
      </c>
    </row>
    <row r="13" spans="1:210" x14ac:dyDescent="0.3">
      <c r="B13">
        <v>-6276</v>
      </c>
      <c r="C13">
        <v>6.6</v>
      </c>
      <c r="D13">
        <v>1.7090000000000001E-5</v>
      </c>
      <c r="E13">
        <v>3.11</v>
      </c>
      <c r="F13" t="s">
        <v>83</v>
      </c>
      <c r="G13" t="s">
        <v>85</v>
      </c>
      <c r="H13">
        <v>1.5</v>
      </c>
    </row>
    <row r="14" spans="1:210" x14ac:dyDescent="0.3">
      <c r="A14" t="s">
        <v>87</v>
      </c>
      <c r="B14" t="s">
        <v>87</v>
      </c>
      <c r="C14" t="s">
        <v>87</v>
      </c>
      <c r="D14" t="s">
        <v>87</v>
      </c>
      <c r="E14" t="s">
        <v>87</v>
      </c>
      <c r="F14" t="s">
        <v>87</v>
      </c>
      <c r="G14" t="s">
        <v>88</v>
      </c>
      <c r="H14" t="s">
        <v>88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88</v>
      </c>
      <c r="AF14" t="s">
        <v>88</v>
      </c>
      <c r="AG14" t="s">
        <v>89</v>
      </c>
      <c r="AH14" t="s">
        <v>89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90</v>
      </c>
      <c r="AR14" t="s">
        <v>90</v>
      </c>
      <c r="AS14" t="s">
        <v>90</v>
      </c>
      <c r="AT14" t="s">
        <v>90</v>
      </c>
      <c r="AU14" t="s">
        <v>90</v>
      </c>
      <c r="AV14" t="s">
        <v>91</v>
      </c>
      <c r="AW14" t="s">
        <v>91</v>
      </c>
      <c r="AX14" t="s">
        <v>91</v>
      </c>
      <c r="AY14" t="s">
        <v>91</v>
      </c>
      <c r="AZ14" t="s">
        <v>92</v>
      </c>
      <c r="BA14" t="s">
        <v>92</v>
      </c>
      <c r="BB14" t="s">
        <v>92</v>
      </c>
      <c r="BC14" t="s">
        <v>92</v>
      </c>
      <c r="BD14" t="s">
        <v>92</v>
      </c>
      <c r="BE14" t="s">
        <v>93</v>
      </c>
      <c r="BF14" t="s">
        <v>93</v>
      </c>
      <c r="BG14" t="s">
        <v>93</v>
      </c>
      <c r="BH14" t="s">
        <v>93</v>
      </c>
      <c r="BI14" t="s">
        <v>93</v>
      </c>
      <c r="BJ14" t="s">
        <v>93</v>
      </c>
      <c r="BK14" t="s">
        <v>93</v>
      </c>
      <c r="BL14" t="s">
        <v>93</v>
      </c>
      <c r="BM14" t="s">
        <v>93</v>
      </c>
      <c r="BN14" t="s">
        <v>93</v>
      </c>
      <c r="BO14" t="s">
        <v>93</v>
      </c>
      <c r="BP14" t="s">
        <v>93</v>
      </c>
      <c r="BQ14" t="s">
        <v>93</v>
      </c>
      <c r="BR14" t="s">
        <v>93</v>
      </c>
      <c r="BS14" t="s">
        <v>93</v>
      </c>
      <c r="BT14" t="s">
        <v>93</v>
      </c>
      <c r="BU14" t="s">
        <v>93</v>
      </c>
      <c r="BV14" t="s">
        <v>93</v>
      </c>
      <c r="BW14" t="s">
        <v>94</v>
      </c>
      <c r="BX14" t="s">
        <v>94</v>
      </c>
      <c r="BY14" t="s">
        <v>94</v>
      </c>
      <c r="BZ14" t="s">
        <v>94</v>
      </c>
      <c r="CA14" t="s">
        <v>94</v>
      </c>
      <c r="CB14" t="s">
        <v>94</v>
      </c>
      <c r="CC14" t="s">
        <v>94</v>
      </c>
      <c r="CD14" t="s">
        <v>94</v>
      </c>
      <c r="CE14" t="s">
        <v>94</v>
      </c>
      <c r="CF14" t="s">
        <v>94</v>
      </c>
      <c r="CG14" t="s">
        <v>95</v>
      </c>
      <c r="CH14" t="s">
        <v>95</v>
      </c>
      <c r="CI14" t="s">
        <v>95</v>
      </c>
      <c r="CJ14" t="s">
        <v>95</v>
      </c>
      <c r="CK14" t="s">
        <v>95</v>
      </c>
      <c r="CL14" t="s">
        <v>95</v>
      </c>
      <c r="CM14" t="s">
        <v>95</v>
      </c>
      <c r="CN14" t="s">
        <v>95</v>
      </c>
      <c r="CO14" t="s">
        <v>95</v>
      </c>
      <c r="CP14" t="s">
        <v>95</v>
      </c>
      <c r="CQ14" t="s">
        <v>95</v>
      </c>
      <c r="CR14" t="s">
        <v>95</v>
      </c>
      <c r="CS14" t="s">
        <v>95</v>
      </c>
      <c r="CT14" t="s">
        <v>96</v>
      </c>
      <c r="CU14" t="s">
        <v>96</v>
      </c>
      <c r="CV14" t="s">
        <v>96</v>
      </c>
      <c r="CW14" t="s">
        <v>96</v>
      </c>
      <c r="CX14" t="s">
        <v>96</v>
      </c>
      <c r="CY14" t="s">
        <v>96</v>
      </c>
      <c r="CZ14" t="s">
        <v>96</v>
      </c>
      <c r="DA14" t="s">
        <v>96</v>
      </c>
      <c r="DB14" t="s">
        <v>96</v>
      </c>
      <c r="DC14" t="s">
        <v>96</v>
      </c>
      <c r="DD14" t="s">
        <v>96</v>
      </c>
      <c r="DE14" t="s">
        <v>96</v>
      </c>
      <c r="DF14" t="s">
        <v>96</v>
      </c>
      <c r="DG14" t="s">
        <v>96</v>
      </c>
      <c r="DH14" t="s">
        <v>96</v>
      </c>
      <c r="DI14" t="s">
        <v>97</v>
      </c>
      <c r="DJ14" t="s">
        <v>97</v>
      </c>
      <c r="DK14" t="s">
        <v>97</v>
      </c>
      <c r="DL14" t="s">
        <v>97</v>
      </c>
      <c r="DM14" t="s">
        <v>97</v>
      </c>
      <c r="DN14" t="s">
        <v>97</v>
      </c>
      <c r="DO14" t="s">
        <v>97</v>
      </c>
      <c r="DP14" t="s">
        <v>97</v>
      </c>
      <c r="DQ14" t="s">
        <v>97</v>
      </c>
      <c r="DR14" t="s">
        <v>97</v>
      </c>
      <c r="DS14" t="s">
        <v>97</v>
      </c>
      <c r="DT14" t="s">
        <v>97</v>
      </c>
      <c r="DU14" t="s">
        <v>97</v>
      </c>
      <c r="DV14" t="s">
        <v>97</v>
      </c>
      <c r="DW14" t="s">
        <v>97</v>
      </c>
      <c r="DX14" t="s">
        <v>97</v>
      </c>
      <c r="DY14" t="s">
        <v>97</v>
      </c>
      <c r="DZ14" t="s">
        <v>97</v>
      </c>
      <c r="EA14" t="s">
        <v>98</v>
      </c>
      <c r="EB14" t="s">
        <v>98</v>
      </c>
      <c r="EC14" t="s">
        <v>98</v>
      </c>
      <c r="ED14" t="s">
        <v>98</v>
      </c>
      <c r="EE14" t="s">
        <v>98</v>
      </c>
      <c r="EF14" t="s">
        <v>98</v>
      </c>
      <c r="EG14" t="s">
        <v>98</v>
      </c>
      <c r="EH14" t="s">
        <v>98</v>
      </c>
      <c r="EI14" t="s">
        <v>98</v>
      </c>
      <c r="EJ14" t="s">
        <v>98</v>
      </c>
      <c r="EK14" t="s">
        <v>98</v>
      </c>
      <c r="EL14" t="s">
        <v>98</v>
      </c>
      <c r="EM14" t="s">
        <v>98</v>
      </c>
      <c r="EN14" t="s">
        <v>98</v>
      </c>
      <c r="EO14" t="s">
        <v>98</v>
      </c>
      <c r="EP14" t="s">
        <v>98</v>
      </c>
      <c r="EQ14" t="s">
        <v>98</v>
      </c>
      <c r="ER14" t="s">
        <v>98</v>
      </c>
      <c r="ES14" t="s">
        <v>98</v>
      </c>
      <c r="ET14" t="s">
        <v>99</v>
      </c>
      <c r="EU14" t="s">
        <v>99</v>
      </c>
      <c r="EV14" t="s">
        <v>99</v>
      </c>
      <c r="EW14" t="s">
        <v>99</v>
      </c>
      <c r="EX14" t="s">
        <v>99</v>
      </c>
      <c r="EY14" t="s">
        <v>99</v>
      </c>
      <c r="EZ14" t="s">
        <v>99</v>
      </c>
      <c r="FA14" t="s">
        <v>99</v>
      </c>
      <c r="FB14" t="s">
        <v>99</v>
      </c>
      <c r="FC14" t="s">
        <v>99</v>
      </c>
      <c r="FD14" t="s">
        <v>99</v>
      </c>
      <c r="FE14" t="s">
        <v>99</v>
      </c>
      <c r="FF14" t="s">
        <v>99</v>
      </c>
      <c r="FG14" t="s">
        <v>99</v>
      </c>
      <c r="FH14" t="s">
        <v>99</v>
      </c>
      <c r="FI14" t="s">
        <v>99</v>
      </c>
      <c r="FJ14" t="s">
        <v>99</v>
      </c>
      <c r="FK14" t="s">
        <v>99</v>
      </c>
      <c r="FL14" t="s">
        <v>99</v>
      </c>
      <c r="FM14" t="s">
        <v>100</v>
      </c>
      <c r="FN14" t="s">
        <v>100</v>
      </c>
      <c r="FO14" t="s">
        <v>100</v>
      </c>
      <c r="FP14" t="s">
        <v>100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100</v>
      </c>
      <c r="GD14" t="s">
        <v>100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  <c r="GL14" t="s">
        <v>101</v>
      </c>
      <c r="GM14" t="s">
        <v>102</v>
      </c>
      <c r="GN14" t="s">
        <v>102</v>
      </c>
      <c r="GO14" t="s">
        <v>102</v>
      </c>
      <c r="GP14" t="s">
        <v>102</v>
      </c>
      <c r="GQ14" t="s">
        <v>102</v>
      </c>
      <c r="GR14" t="s">
        <v>102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</row>
    <row r="15" spans="1:210" x14ac:dyDescent="0.3">
      <c r="A15" t="s">
        <v>103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 t="s">
        <v>109</v>
      </c>
      <c r="H15" t="s">
        <v>110</v>
      </c>
      <c r="I15" t="s">
        <v>111</v>
      </c>
      <c r="J15" t="s">
        <v>112</v>
      </c>
      <c r="K15" t="s">
        <v>113</v>
      </c>
      <c r="L15" t="s">
        <v>114</v>
      </c>
      <c r="M15" t="s">
        <v>115</v>
      </c>
      <c r="N15" t="s">
        <v>116</v>
      </c>
      <c r="O15" t="s">
        <v>117</v>
      </c>
      <c r="P15" t="s">
        <v>118</v>
      </c>
      <c r="Q15" t="s">
        <v>119</v>
      </c>
      <c r="R15" t="s">
        <v>120</v>
      </c>
      <c r="S15" t="s">
        <v>121</v>
      </c>
      <c r="T15" t="s">
        <v>122</v>
      </c>
      <c r="U15" t="s">
        <v>123</v>
      </c>
      <c r="V15" t="s">
        <v>124</v>
      </c>
      <c r="W15" t="s">
        <v>125</v>
      </c>
      <c r="X15" t="s">
        <v>126</v>
      </c>
      <c r="Y15" t="s">
        <v>127</v>
      </c>
      <c r="Z15" t="s">
        <v>128</v>
      </c>
      <c r="AA15" t="s">
        <v>129</v>
      </c>
      <c r="AB15" t="s">
        <v>130</v>
      </c>
      <c r="AC15" t="s">
        <v>131</v>
      </c>
      <c r="AD15" t="s">
        <v>132</v>
      </c>
      <c r="AE15" t="s">
        <v>133</v>
      </c>
      <c r="AF15" t="s">
        <v>134</v>
      </c>
      <c r="AG15" t="s">
        <v>135</v>
      </c>
      <c r="AH15" t="s">
        <v>136</v>
      </c>
      <c r="AI15" t="s">
        <v>137</v>
      </c>
      <c r="AJ15" t="s">
        <v>138</v>
      </c>
      <c r="AK15" t="s">
        <v>139</v>
      </c>
      <c r="AL15" t="s">
        <v>140</v>
      </c>
      <c r="AM15" t="s">
        <v>141</v>
      </c>
      <c r="AN15" t="s">
        <v>142</v>
      </c>
      <c r="AO15" t="s">
        <v>143</v>
      </c>
      <c r="AP15" t="s">
        <v>144</v>
      </c>
      <c r="AQ15" t="s">
        <v>90</v>
      </c>
      <c r="AR15" t="s">
        <v>145</v>
      </c>
      <c r="AS15" t="s">
        <v>146</v>
      </c>
      <c r="AT15" t="s">
        <v>147</v>
      </c>
      <c r="AU15" t="s">
        <v>148</v>
      </c>
      <c r="AV15" t="s">
        <v>149</v>
      </c>
      <c r="AW15" t="s">
        <v>150</v>
      </c>
      <c r="AX15" t="s">
        <v>151</v>
      </c>
      <c r="AY15" t="s">
        <v>152</v>
      </c>
      <c r="AZ15" t="s">
        <v>153</v>
      </c>
      <c r="BA15" t="s">
        <v>154</v>
      </c>
      <c r="BB15" t="s">
        <v>155</v>
      </c>
      <c r="BC15" t="s">
        <v>156</v>
      </c>
      <c r="BD15" t="s">
        <v>157</v>
      </c>
      <c r="BE15" t="s">
        <v>109</v>
      </c>
      <c r="BF15" t="s">
        <v>158</v>
      </c>
      <c r="BG15" t="s">
        <v>159</v>
      </c>
      <c r="BH15" t="s">
        <v>160</v>
      </c>
      <c r="BI15" t="s">
        <v>161</v>
      </c>
      <c r="BJ15" t="s">
        <v>162</v>
      </c>
      <c r="BK15" t="s">
        <v>163</v>
      </c>
      <c r="BL15" t="s">
        <v>164</v>
      </c>
      <c r="BM15" t="s">
        <v>165</v>
      </c>
      <c r="BN15" t="s">
        <v>166</v>
      </c>
      <c r="BO15" t="s">
        <v>167</v>
      </c>
      <c r="BP15" t="s">
        <v>168</v>
      </c>
      <c r="BQ15" t="s">
        <v>169</v>
      </c>
      <c r="BR15" t="s">
        <v>170</v>
      </c>
      <c r="BS15" t="s">
        <v>171</v>
      </c>
      <c r="BT15" t="s">
        <v>172</v>
      </c>
      <c r="BU15" t="s">
        <v>173</v>
      </c>
      <c r="BV15" t="s">
        <v>174</v>
      </c>
      <c r="BW15" t="s">
        <v>175</v>
      </c>
      <c r="BX15" t="s">
        <v>176</v>
      </c>
      <c r="BY15" t="s">
        <v>177</v>
      </c>
      <c r="BZ15" t="s">
        <v>178</v>
      </c>
      <c r="CA15" t="s">
        <v>179</v>
      </c>
      <c r="CB15" t="s">
        <v>180</v>
      </c>
      <c r="CC15" t="s">
        <v>181</v>
      </c>
      <c r="CD15" t="s">
        <v>182</v>
      </c>
      <c r="CE15" t="s">
        <v>183</v>
      </c>
      <c r="CF15" t="s">
        <v>184</v>
      </c>
      <c r="CG15" t="s">
        <v>104</v>
      </c>
      <c r="CH15" t="s">
        <v>107</v>
      </c>
      <c r="CI15" t="s">
        <v>185</v>
      </c>
      <c r="CJ15" t="s">
        <v>186</v>
      </c>
      <c r="CK15" t="s">
        <v>187</v>
      </c>
      <c r="CL15" t="s">
        <v>188</v>
      </c>
      <c r="CM15" t="s">
        <v>189</v>
      </c>
      <c r="CN15" t="s">
        <v>190</v>
      </c>
      <c r="CO15" t="s">
        <v>191</v>
      </c>
      <c r="CP15" t="s">
        <v>192</v>
      </c>
      <c r="CQ15" t="s">
        <v>193</v>
      </c>
      <c r="CR15" t="s">
        <v>194</v>
      </c>
      <c r="CS15" t="s">
        <v>195</v>
      </c>
      <c r="CT15" t="s">
        <v>196</v>
      </c>
      <c r="CU15" t="s">
        <v>197</v>
      </c>
      <c r="CV15" t="s">
        <v>198</v>
      </c>
      <c r="CW15" t="s">
        <v>199</v>
      </c>
      <c r="CX15" t="s">
        <v>200</v>
      </c>
      <c r="CY15" t="s">
        <v>201</v>
      </c>
      <c r="CZ15" t="s">
        <v>202</v>
      </c>
      <c r="DA15" t="s">
        <v>203</v>
      </c>
      <c r="DB15" t="s">
        <v>204</v>
      </c>
      <c r="DC15" t="s">
        <v>205</v>
      </c>
      <c r="DD15" t="s">
        <v>206</v>
      </c>
      <c r="DE15" t="s">
        <v>207</v>
      </c>
      <c r="DF15" t="s">
        <v>208</v>
      </c>
      <c r="DG15" t="s">
        <v>209</v>
      </c>
      <c r="DH15" t="s">
        <v>210</v>
      </c>
      <c r="DI15" t="s">
        <v>211</v>
      </c>
      <c r="DJ15" t="s">
        <v>212</v>
      </c>
      <c r="DK15" t="s">
        <v>213</v>
      </c>
      <c r="DL15" t="s">
        <v>214</v>
      </c>
      <c r="DM15" t="s">
        <v>215</v>
      </c>
      <c r="DN15" t="s">
        <v>216</v>
      </c>
      <c r="DO15" t="s">
        <v>217</v>
      </c>
      <c r="DP15" t="s">
        <v>218</v>
      </c>
      <c r="DQ15" t="s">
        <v>219</v>
      </c>
      <c r="DR15" t="s">
        <v>220</v>
      </c>
      <c r="DS15" t="s">
        <v>221</v>
      </c>
      <c r="DT15" t="s">
        <v>222</v>
      </c>
      <c r="DU15" t="s">
        <v>223</v>
      </c>
      <c r="DV15" t="s">
        <v>224</v>
      </c>
      <c r="DW15" t="s">
        <v>225</v>
      </c>
      <c r="DX15" t="s">
        <v>226</v>
      </c>
      <c r="DY15" t="s">
        <v>227</v>
      </c>
      <c r="DZ15" t="s">
        <v>228</v>
      </c>
      <c r="EA15" t="s">
        <v>229</v>
      </c>
      <c r="EB15" t="s">
        <v>230</v>
      </c>
      <c r="EC15" t="s">
        <v>231</v>
      </c>
      <c r="ED15" t="s">
        <v>232</v>
      </c>
      <c r="EE15" t="s">
        <v>233</v>
      </c>
      <c r="EF15" t="s">
        <v>234</v>
      </c>
      <c r="EG15" t="s">
        <v>235</v>
      </c>
      <c r="EH15" t="s">
        <v>236</v>
      </c>
      <c r="EI15" t="s">
        <v>237</v>
      </c>
      <c r="EJ15" t="s">
        <v>238</v>
      </c>
      <c r="EK15" t="s">
        <v>239</v>
      </c>
      <c r="EL15" t="s">
        <v>240</v>
      </c>
      <c r="EM15" t="s">
        <v>241</v>
      </c>
      <c r="EN15" t="s">
        <v>242</v>
      </c>
      <c r="EO15" t="s">
        <v>243</v>
      </c>
      <c r="EP15" t="s">
        <v>244</v>
      </c>
      <c r="EQ15" t="s">
        <v>245</v>
      </c>
      <c r="ER15" t="s">
        <v>246</v>
      </c>
      <c r="ES15" t="s">
        <v>247</v>
      </c>
      <c r="ET15" t="s">
        <v>248</v>
      </c>
      <c r="EU15" t="s">
        <v>249</v>
      </c>
      <c r="EV15" t="s">
        <v>250</v>
      </c>
      <c r="EW15" t="s">
        <v>251</v>
      </c>
      <c r="EX15" t="s">
        <v>252</v>
      </c>
      <c r="EY15" t="s">
        <v>253</v>
      </c>
      <c r="EZ15" t="s">
        <v>254</v>
      </c>
      <c r="FA15" t="s">
        <v>255</v>
      </c>
      <c r="FB15" t="s">
        <v>256</v>
      </c>
      <c r="FC15" t="s">
        <v>257</v>
      </c>
      <c r="FD15" t="s">
        <v>258</v>
      </c>
      <c r="FE15" t="s">
        <v>259</v>
      </c>
      <c r="FF15" t="s">
        <v>260</v>
      </c>
      <c r="FG15" t="s">
        <v>261</v>
      </c>
      <c r="FH15" t="s">
        <v>262</v>
      </c>
      <c r="FI15" t="s">
        <v>263</v>
      </c>
      <c r="FJ15" t="s">
        <v>264</v>
      </c>
      <c r="FK15" t="s">
        <v>265</v>
      </c>
      <c r="FL15" t="s">
        <v>266</v>
      </c>
      <c r="FM15" t="s">
        <v>267</v>
      </c>
      <c r="FN15" t="s">
        <v>268</v>
      </c>
      <c r="FO15" t="s">
        <v>269</v>
      </c>
      <c r="FP15" t="s">
        <v>270</v>
      </c>
      <c r="FQ15" t="s">
        <v>271</v>
      </c>
      <c r="FR15" t="s">
        <v>272</v>
      </c>
      <c r="FS15" t="s">
        <v>273</v>
      </c>
      <c r="FT15" t="s">
        <v>274</v>
      </c>
      <c r="FU15" t="s">
        <v>275</v>
      </c>
      <c r="FV15" t="s">
        <v>276</v>
      </c>
      <c r="FW15" t="s">
        <v>277</v>
      </c>
      <c r="FX15" t="s">
        <v>278</v>
      </c>
      <c r="FY15" t="s">
        <v>279</v>
      </c>
      <c r="FZ15" t="s">
        <v>280</v>
      </c>
      <c r="GA15" t="s">
        <v>281</v>
      </c>
      <c r="GB15" t="s">
        <v>282</v>
      </c>
      <c r="GC15" t="s">
        <v>283</v>
      </c>
      <c r="GD15" t="s">
        <v>284</v>
      </c>
      <c r="GE15" t="s">
        <v>285</v>
      </c>
      <c r="GF15" t="s">
        <v>286</v>
      </c>
      <c r="GG15" t="s">
        <v>287</v>
      </c>
      <c r="GH15" t="s">
        <v>288</v>
      </c>
      <c r="GI15" t="s">
        <v>289</v>
      </c>
      <c r="GJ15" t="s">
        <v>290</v>
      </c>
      <c r="GK15" t="s">
        <v>291</v>
      </c>
      <c r="GL15" t="s">
        <v>292</v>
      </c>
      <c r="GM15" t="s">
        <v>293</v>
      </c>
      <c r="GN15" t="s">
        <v>294</v>
      </c>
      <c r="GO15" t="s">
        <v>295</v>
      </c>
      <c r="GP15" t="s">
        <v>296</v>
      </c>
      <c r="GQ15" t="s">
        <v>297</v>
      </c>
      <c r="GR15" t="s">
        <v>298</v>
      </c>
      <c r="GS15" t="s">
        <v>299</v>
      </c>
      <c r="GT15" t="s">
        <v>300</v>
      </c>
      <c r="GU15" t="s">
        <v>301</v>
      </c>
      <c r="GV15" t="s">
        <v>302</v>
      </c>
      <c r="GW15" t="s">
        <v>303</v>
      </c>
      <c r="GX15" t="s">
        <v>304</v>
      </c>
      <c r="GY15" t="s">
        <v>305</v>
      </c>
      <c r="GZ15" t="s">
        <v>306</v>
      </c>
      <c r="HA15" t="s">
        <v>307</v>
      </c>
      <c r="HB15" t="s">
        <v>308</v>
      </c>
    </row>
    <row r="16" spans="1:210" x14ac:dyDescent="0.3">
      <c r="B16" t="s">
        <v>309</v>
      </c>
      <c r="C16" t="s">
        <v>309</v>
      </c>
      <c r="F16" t="s">
        <v>309</v>
      </c>
      <c r="G16" t="s">
        <v>309</v>
      </c>
      <c r="H16" t="s">
        <v>310</v>
      </c>
      <c r="I16" t="s">
        <v>311</v>
      </c>
      <c r="J16" t="s">
        <v>312</v>
      </c>
      <c r="K16" t="s">
        <v>313</v>
      </c>
      <c r="L16" t="s">
        <v>313</v>
      </c>
      <c r="M16" t="s">
        <v>165</v>
      </c>
      <c r="N16" t="s">
        <v>165</v>
      </c>
      <c r="O16" t="s">
        <v>310</v>
      </c>
      <c r="P16" t="s">
        <v>310</v>
      </c>
      <c r="Q16" t="s">
        <v>310</v>
      </c>
      <c r="R16" t="s">
        <v>310</v>
      </c>
      <c r="S16" t="s">
        <v>314</v>
      </c>
      <c r="T16" t="s">
        <v>315</v>
      </c>
      <c r="U16" t="s">
        <v>315</v>
      </c>
      <c r="V16" t="s">
        <v>316</v>
      </c>
      <c r="W16" t="s">
        <v>317</v>
      </c>
      <c r="X16" t="s">
        <v>316</v>
      </c>
      <c r="Y16" t="s">
        <v>316</v>
      </c>
      <c r="Z16" t="s">
        <v>316</v>
      </c>
      <c r="AA16" t="s">
        <v>314</v>
      </c>
      <c r="AB16" t="s">
        <v>314</v>
      </c>
      <c r="AC16" t="s">
        <v>314</v>
      </c>
      <c r="AD16" t="s">
        <v>314</v>
      </c>
      <c r="AE16" t="s">
        <v>312</v>
      </c>
      <c r="AF16" t="s">
        <v>311</v>
      </c>
      <c r="AG16" t="s">
        <v>312</v>
      </c>
      <c r="AH16" t="s">
        <v>313</v>
      </c>
      <c r="AI16" t="s">
        <v>313</v>
      </c>
      <c r="AJ16" t="s">
        <v>318</v>
      </c>
      <c r="AK16" t="s">
        <v>319</v>
      </c>
      <c r="AL16" t="s">
        <v>311</v>
      </c>
      <c r="AM16" t="s">
        <v>320</v>
      </c>
      <c r="AN16" t="s">
        <v>320</v>
      </c>
      <c r="AO16" t="s">
        <v>321</v>
      </c>
      <c r="AP16" t="s">
        <v>319</v>
      </c>
      <c r="AQ16" t="s">
        <v>322</v>
      </c>
      <c r="AR16" t="s">
        <v>317</v>
      </c>
      <c r="AT16" t="s">
        <v>317</v>
      </c>
      <c r="AU16" t="s">
        <v>322</v>
      </c>
      <c r="AV16" t="s">
        <v>312</v>
      </c>
      <c r="AW16" t="s">
        <v>312</v>
      </c>
      <c r="AY16" t="s">
        <v>323</v>
      </c>
      <c r="AZ16" t="s">
        <v>324</v>
      </c>
      <c r="BC16" t="s">
        <v>310</v>
      </c>
      <c r="BE16" t="s">
        <v>309</v>
      </c>
      <c r="BF16" t="s">
        <v>313</v>
      </c>
      <c r="BG16" t="s">
        <v>313</v>
      </c>
      <c r="BH16" t="s">
        <v>320</v>
      </c>
      <c r="BI16" t="s">
        <v>320</v>
      </c>
      <c r="BJ16" t="s">
        <v>313</v>
      </c>
      <c r="BK16" t="s">
        <v>320</v>
      </c>
      <c r="BL16" t="s">
        <v>322</v>
      </c>
      <c r="BM16" t="s">
        <v>316</v>
      </c>
      <c r="BN16" t="s">
        <v>316</v>
      </c>
      <c r="BO16" t="s">
        <v>315</v>
      </c>
      <c r="BP16" t="s">
        <v>315</v>
      </c>
      <c r="BQ16" t="s">
        <v>315</v>
      </c>
      <c r="BR16" t="s">
        <v>315</v>
      </c>
      <c r="BS16" t="s">
        <v>315</v>
      </c>
      <c r="BT16" t="s">
        <v>325</v>
      </c>
      <c r="BU16" t="s">
        <v>312</v>
      </c>
      <c r="BV16" t="s">
        <v>312</v>
      </c>
      <c r="BW16" t="s">
        <v>313</v>
      </c>
      <c r="BX16" t="s">
        <v>313</v>
      </c>
      <c r="BY16" t="s">
        <v>313</v>
      </c>
      <c r="BZ16" t="s">
        <v>320</v>
      </c>
      <c r="CA16" t="s">
        <v>313</v>
      </c>
      <c r="CB16" t="s">
        <v>320</v>
      </c>
      <c r="CC16" t="s">
        <v>316</v>
      </c>
      <c r="CD16" t="s">
        <v>316</v>
      </c>
      <c r="CE16" t="s">
        <v>315</v>
      </c>
      <c r="CF16" t="s">
        <v>315</v>
      </c>
      <c r="CG16" t="s">
        <v>326</v>
      </c>
      <c r="CI16" t="s">
        <v>309</v>
      </c>
      <c r="CJ16" t="s">
        <v>309</v>
      </c>
      <c r="CL16" t="s">
        <v>327</v>
      </c>
      <c r="CM16" t="s">
        <v>328</v>
      </c>
      <c r="CN16" t="s">
        <v>327</v>
      </c>
      <c r="CO16" t="s">
        <v>328</v>
      </c>
      <c r="CP16" t="s">
        <v>327</v>
      </c>
      <c r="CQ16" t="s">
        <v>328</v>
      </c>
      <c r="CR16" t="s">
        <v>317</v>
      </c>
      <c r="CS16" t="s">
        <v>317</v>
      </c>
      <c r="CT16" t="s">
        <v>313</v>
      </c>
      <c r="CU16" t="s">
        <v>329</v>
      </c>
      <c r="CV16" t="s">
        <v>313</v>
      </c>
      <c r="CY16" t="s">
        <v>330</v>
      </c>
      <c r="DB16" t="s">
        <v>320</v>
      </c>
      <c r="DC16" t="s">
        <v>331</v>
      </c>
      <c r="DD16" t="s">
        <v>320</v>
      </c>
      <c r="DI16" t="s">
        <v>332</v>
      </c>
      <c r="DJ16" t="s">
        <v>332</v>
      </c>
      <c r="DW16" t="s">
        <v>332</v>
      </c>
      <c r="DX16" t="s">
        <v>332</v>
      </c>
      <c r="DY16" t="s">
        <v>333</v>
      </c>
      <c r="DZ16" t="s">
        <v>333</v>
      </c>
      <c r="EA16" t="s">
        <v>315</v>
      </c>
      <c r="EB16" t="s">
        <v>315</v>
      </c>
      <c r="EC16" t="s">
        <v>317</v>
      </c>
      <c r="ED16" t="s">
        <v>315</v>
      </c>
      <c r="EE16" t="s">
        <v>320</v>
      </c>
      <c r="EF16" t="s">
        <v>317</v>
      </c>
      <c r="EG16" t="s">
        <v>317</v>
      </c>
      <c r="EI16" t="s">
        <v>332</v>
      </c>
      <c r="EJ16" t="s">
        <v>332</v>
      </c>
      <c r="EK16" t="s">
        <v>332</v>
      </c>
      <c r="EL16" t="s">
        <v>332</v>
      </c>
      <c r="EM16" t="s">
        <v>332</v>
      </c>
      <c r="EN16" t="s">
        <v>332</v>
      </c>
      <c r="EO16" t="s">
        <v>332</v>
      </c>
      <c r="EP16" t="s">
        <v>334</v>
      </c>
      <c r="EQ16" t="s">
        <v>334</v>
      </c>
      <c r="ER16" t="s">
        <v>334</v>
      </c>
      <c r="ES16" t="s">
        <v>335</v>
      </c>
      <c r="ET16" t="s">
        <v>332</v>
      </c>
      <c r="EU16" t="s">
        <v>332</v>
      </c>
      <c r="EV16" t="s">
        <v>332</v>
      </c>
      <c r="EW16" t="s">
        <v>332</v>
      </c>
      <c r="EX16" t="s">
        <v>332</v>
      </c>
      <c r="EY16" t="s">
        <v>332</v>
      </c>
      <c r="EZ16" t="s">
        <v>332</v>
      </c>
      <c r="FA16" t="s">
        <v>332</v>
      </c>
      <c r="FB16" t="s">
        <v>332</v>
      </c>
      <c r="FC16" t="s">
        <v>332</v>
      </c>
      <c r="FD16" t="s">
        <v>332</v>
      </c>
      <c r="FE16" t="s">
        <v>332</v>
      </c>
      <c r="FL16" t="s">
        <v>332</v>
      </c>
      <c r="FM16" t="s">
        <v>317</v>
      </c>
      <c r="FN16" t="s">
        <v>317</v>
      </c>
      <c r="FO16" t="s">
        <v>327</v>
      </c>
      <c r="FP16" t="s">
        <v>328</v>
      </c>
      <c r="FQ16" t="s">
        <v>327</v>
      </c>
      <c r="FU16" t="s">
        <v>328</v>
      </c>
      <c r="FY16" t="s">
        <v>313</v>
      </c>
      <c r="FZ16" t="s">
        <v>313</v>
      </c>
      <c r="GA16" t="s">
        <v>320</v>
      </c>
      <c r="GB16" t="s">
        <v>320</v>
      </c>
      <c r="GC16" t="s">
        <v>336</v>
      </c>
      <c r="GD16" t="s">
        <v>336</v>
      </c>
      <c r="GE16" t="s">
        <v>332</v>
      </c>
      <c r="GF16" t="s">
        <v>332</v>
      </c>
      <c r="GG16" t="s">
        <v>332</v>
      </c>
      <c r="GH16" t="s">
        <v>332</v>
      </c>
      <c r="GI16" t="s">
        <v>332</v>
      </c>
      <c r="GJ16" t="s">
        <v>332</v>
      </c>
      <c r="GK16" t="s">
        <v>315</v>
      </c>
      <c r="GL16" t="s">
        <v>332</v>
      </c>
      <c r="GN16" t="s">
        <v>322</v>
      </c>
      <c r="GO16" t="s">
        <v>322</v>
      </c>
      <c r="GP16" t="s">
        <v>315</v>
      </c>
      <c r="GQ16" t="s">
        <v>315</v>
      </c>
      <c r="GR16" t="s">
        <v>315</v>
      </c>
      <c r="GS16" t="s">
        <v>315</v>
      </c>
      <c r="GT16" t="s">
        <v>315</v>
      </c>
      <c r="GU16" t="s">
        <v>317</v>
      </c>
      <c r="GV16" t="s">
        <v>317</v>
      </c>
      <c r="GW16" t="s">
        <v>317</v>
      </c>
      <c r="GX16" t="s">
        <v>315</v>
      </c>
      <c r="GY16" t="s">
        <v>313</v>
      </c>
      <c r="GZ16" t="s">
        <v>320</v>
      </c>
      <c r="HA16" t="s">
        <v>317</v>
      </c>
      <c r="HB16" t="s">
        <v>317</v>
      </c>
    </row>
    <row r="17" spans="1:210" x14ac:dyDescent="0.3">
      <c r="A17">
        <v>1</v>
      </c>
      <c r="B17">
        <v>1755008996</v>
      </c>
      <c r="C17">
        <v>0</v>
      </c>
      <c r="D17" t="s">
        <v>337</v>
      </c>
      <c r="E17" t="s">
        <v>338</v>
      </c>
      <c r="F17">
        <v>15</v>
      </c>
      <c r="G17">
        <v>1755008988.25</v>
      </c>
      <c r="H17">
        <f t="shared" ref="H17:H29" si="0">(I17)/1000</f>
        <v>3.6634184431322291E-3</v>
      </c>
      <c r="I17">
        <f t="shared" ref="I17:I29" si="1">IF(BD17, AL17, AF17)</f>
        <v>3.6634184431322292</v>
      </c>
      <c r="J17">
        <f t="shared" ref="J17:J29" si="2">IF(BD17, AG17, AE17)</f>
        <v>32.425197960438048</v>
      </c>
      <c r="K17">
        <f t="shared" ref="K17:K29" si="3">BF17 - IF(AS17&gt;1, J17*AZ17*100/(AU17), 0)</f>
        <v>373.96706666666682</v>
      </c>
      <c r="L17">
        <f t="shared" ref="L17:L29" si="4">((R17-H17/2)*K17-J17)/(R17+H17/2)</f>
        <v>286.13900118261716</v>
      </c>
      <c r="M17">
        <f t="shared" ref="M17:M29" si="5">L17*(BM17+BN17)/1000</f>
        <v>29.027358515524678</v>
      </c>
      <c r="N17">
        <f t="shared" ref="N17:N29" si="6">(BF17 - IF(AS17&gt;1, J17*AZ17*100/(AU17), 0))*(BM17+BN17)/1000</f>
        <v>37.937072794227369</v>
      </c>
      <c r="O17">
        <f t="shared" ref="O17:O29" si="7">2/((1/Q17-1/P17)+SIGN(Q17)*SQRT((1/Q17-1/P17)*(1/Q17-1/P17) + 4*BA17/((BA17+1)*(BA17+1))*(2*1/Q17*1/P17-1/P17*1/P17)))</f>
        <v>0.6880062577960433</v>
      </c>
      <c r="P17">
        <f t="shared" ref="P17:P29" si="8">IF(LEFT(BB17,1)&lt;&gt;"0",IF(LEFT(BB17,1)="1",3,BC17),$D$5+$E$5*(BT17*BM17/($K$5*1000))+$F$5*(BT17*BM17/($K$5*1000))*MAX(MIN(AZ17,$J$5),$I$5)*MAX(MIN(AZ17,$J$5),$I$5)+$G$5*MAX(MIN(AZ17,$J$5),$I$5)*(BT17*BM17/($K$5*1000))+$H$5*(BT17*BM17/($K$5*1000))*(BT17*BM17/($K$5*1000)))</f>
        <v>2.4169102353739937</v>
      </c>
      <c r="Q17">
        <f t="shared" ref="Q17:Q29" si="9">H17*(1000-(1000*0.61365*EXP(17.502*U17/(240.97+U17))/(BM17+BN17)+BH17)/2)/(1000*0.61365*EXP(17.502*U17/(240.97+U17))/(BM17+BN17)-BH17)</f>
        <v>0.60168909906405676</v>
      </c>
      <c r="R17">
        <f t="shared" ref="R17:R29" si="10">1/((BA17+1)/(O17/1.6)+1/(P17/1.37)) + BA17/((BA17+1)/(O17/1.6) + BA17/(P17/1.37))</f>
        <v>0.38295640632364414</v>
      </c>
      <c r="S17">
        <f t="shared" ref="S17:S29" si="11">(AV17*AY17)</f>
        <v>225.83628000000002</v>
      </c>
      <c r="T17">
        <f t="shared" ref="T17:T29" si="12">(BO17+(S17+2*0.95*0.0000000567*(((BO17+$B$7)+273)^4-(BO17+273)^4)-44100*H17)/(1.84*29.3*P17+8*0.95*0.0000000567*(BO17+273)^3))</f>
        <v>27.551359139745458</v>
      </c>
      <c r="U17">
        <f t="shared" ref="U17:U29" si="13">($C$7*BP17+$D$7*BQ17+$E$7*T17)</f>
        <v>26.080639999999999</v>
      </c>
      <c r="V17">
        <f t="shared" ref="V17:V29" si="14">0.61365*EXP(17.502*U17/(240.97+U17))</f>
        <v>3.390393094493394</v>
      </c>
      <c r="W17">
        <f t="shared" ref="W17:W29" si="15">(X17/Y17*100)</f>
        <v>77.545003011720468</v>
      </c>
      <c r="X17">
        <f t="shared" ref="X17:X29" si="16">BH17*(BM17+BN17)/1000</f>
        <v>2.7915592684258597</v>
      </c>
      <c r="Y17">
        <f t="shared" ref="Y17:Y29" si="17">0.61365*EXP(17.502*BO17/(240.97+BO17))</f>
        <v>3.5999215423383655</v>
      </c>
      <c r="Z17">
        <f t="shared" ref="Z17:Z29" si="18">(V17-BH17*(BM17+BN17)/1000)</f>
        <v>0.59883382606753432</v>
      </c>
      <c r="AA17">
        <f t="shared" ref="AA17:AA29" si="19">(-H17*44100)</f>
        <v>-161.55675334213132</v>
      </c>
      <c r="AB17">
        <f t="shared" ref="AB17:AB29" si="20">2*29.3*P17*0.92*(BO17-U17)</f>
        <v>132.62980258181867</v>
      </c>
      <c r="AC17">
        <f t="shared" ref="AC17:AC29" si="21">2*0.95*0.0000000567*(((BO17+$B$7)+273)^4-(U17+273)^4)</f>
        <v>11.794327109670171</v>
      </c>
      <c r="AD17">
        <f t="shared" ref="AD17:AD29" si="22">S17+AC17+AA17+AB17</f>
        <v>208.70365634935754</v>
      </c>
      <c r="AE17">
        <f t="shared" ref="AE17:AE29" si="23">BL17*AS17*(BG17-BF17*(1000-AS17*BI17)/(1000-AS17*BH17))/(100*AZ17)</f>
        <v>32.425197960438048</v>
      </c>
      <c r="AF17">
        <f t="shared" ref="AF17:AF29" si="24">1000*BL17*AS17*(BH17-BI17)/(100*AZ17*(1000-AS17*BH17))</f>
        <v>3.6634184431322292</v>
      </c>
      <c r="AG17">
        <f t="shared" ref="AG17:AG29" si="25">(AH17 - AI17 - BM17*1000/(8.314*(BO17+273.15)) * AK17/BL17 * AJ17) * BL17/(100*AZ17) * (1000 - BI17)/1000</f>
        <v>32.425687952274068</v>
      </c>
      <c r="AH17">
        <v>458.93255486357782</v>
      </c>
      <c r="AI17">
        <v>384.5308363636363</v>
      </c>
      <c r="AJ17">
        <v>-6.8816455373940568E-5</v>
      </c>
      <c r="AK17">
        <v>84.018494922715902</v>
      </c>
      <c r="AL17">
        <f t="shared" ref="AL17:AL29" si="26">(AN17 - AM17 + BM17*1000/(8.314*(BO17+273.15)) * AP17/BL17 * AO17) * BL17/(100*AZ17) * 1000/(1000 - AN17)</f>
        <v>3.6653443339899812</v>
      </c>
      <c r="AM17">
        <v>19.50518429631251</v>
      </c>
      <c r="AN17">
        <v>27.524486616541338</v>
      </c>
      <c r="AO17">
        <v>8.247829126158265E-7</v>
      </c>
      <c r="AP17">
        <v>90.505698698760156</v>
      </c>
      <c r="AQ17">
        <v>0</v>
      </c>
      <c r="AR17">
        <v>0</v>
      </c>
      <c r="AS17">
        <f t="shared" ref="AS17:AS29" si="27">IF(AQ17*$H$13&gt;=AU17,1,(AU17/(AU17-AQ17*$H$13)))</f>
        <v>1</v>
      </c>
      <c r="AT17">
        <f t="shared" ref="AT17:AT29" si="28">(AS17-1)*100</f>
        <v>0</v>
      </c>
      <c r="AU17">
        <f t="shared" ref="AU17:AU29" si="29">MAX(0,($B$13+$C$13*BT17)/(1+$D$13*BT17)*BM17/(BO17+273)*$E$13)</f>
        <v>53575.88011514298</v>
      </c>
      <c r="AV17">
        <f t="shared" ref="AV17:AV29" si="30">$B$11*BU17+$C$11*BV17</f>
        <v>1188.6120000000001</v>
      </c>
      <c r="AW17">
        <f t="shared" ref="AW17:AW29" si="31">AV17*AX17</f>
        <v>950.88960000000009</v>
      </c>
      <c r="AX17">
        <f t="shared" ref="AX17:AX29" si="32">($B$11*$D$9+$C$11*$D$9)/($B$11+$C$11)</f>
        <v>0.8</v>
      </c>
      <c r="AY17">
        <f t="shared" ref="AY17:AY29" si="33">($B$11*$K$9+$C$11*$K$9)/($B$11+$C$11)</f>
        <v>0.19</v>
      </c>
      <c r="AZ17">
        <v>9</v>
      </c>
      <c r="BA17">
        <v>1.21</v>
      </c>
      <c r="BB17" t="s">
        <v>339</v>
      </c>
      <c r="BC17">
        <v>2</v>
      </c>
      <c r="BD17" t="b">
        <v>0</v>
      </c>
      <c r="BE17">
        <v>1755008988.25</v>
      </c>
      <c r="BF17">
        <v>373.96706666666682</v>
      </c>
      <c r="BG17">
        <v>449.99943333333317</v>
      </c>
      <c r="BH17">
        <v>27.517970000000009</v>
      </c>
      <c r="BI17">
        <v>19.50282</v>
      </c>
      <c r="BJ17">
        <v>370.18029999999999</v>
      </c>
      <c r="BK17">
        <v>27.220013333333341</v>
      </c>
      <c r="BL17">
        <v>400.03589999999991</v>
      </c>
      <c r="BM17">
        <v>101.3449333333333</v>
      </c>
      <c r="BN17">
        <v>0.1000231233333333</v>
      </c>
      <c r="BO17">
        <v>27.098516666666669</v>
      </c>
      <c r="BP17">
        <v>26.080639999999999</v>
      </c>
      <c r="BQ17">
        <v>999.9000000000002</v>
      </c>
      <c r="BR17">
        <v>0</v>
      </c>
      <c r="BS17">
        <v>0</v>
      </c>
      <c r="BT17">
        <v>10001</v>
      </c>
      <c r="BU17">
        <v>1188.6120000000001</v>
      </c>
      <c r="BV17">
        <v>21.437300000000011</v>
      </c>
      <c r="BW17">
        <v>-76.032519999999991</v>
      </c>
      <c r="BX17">
        <v>384.54899999999998</v>
      </c>
      <c r="BY17">
        <v>458.95036666666658</v>
      </c>
      <c r="BZ17">
        <v>8.0151476666666674</v>
      </c>
      <c r="CA17">
        <v>449.99943333333317</v>
      </c>
      <c r="CB17">
        <v>19.50282</v>
      </c>
      <c r="CC17">
        <v>2.788809333333333</v>
      </c>
      <c r="CD17">
        <v>1.9765140000000001</v>
      </c>
      <c r="CE17">
        <v>22.817996666666669</v>
      </c>
      <c r="CF17">
        <v>17.257429999999999</v>
      </c>
      <c r="CG17">
        <v>1755008282</v>
      </c>
      <c r="CH17" t="s">
        <v>340</v>
      </c>
      <c r="CI17">
        <v>1755008279.5</v>
      </c>
      <c r="CJ17">
        <v>1755008282</v>
      </c>
      <c r="CK17">
        <v>5</v>
      </c>
      <c r="CL17">
        <v>-0.13800000000000001</v>
      </c>
      <c r="CM17">
        <v>0.05</v>
      </c>
      <c r="CN17">
        <v>4.452</v>
      </c>
      <c r="CO17">
        <v>0.29799999999999999</v>
      </c>
      <c r="CP17">
        <v>450</v>
      </c>
      <c r="CQ17">
        <v>20</v>
      </c>
      <c r="CR17">
        <v>0.03</v>
      </c>
      <c r="CS17">
        <v>0.01</v>
      </c>
      <c r="CT17">
        <v>-76.036277499999997</v>
      </c>
      <c r="CU17">
        <v>1.7231144465397339E-2</v>
      </c>
      <c r="CV17">
        <v>4.1603482351240048E-2</v>
      </c>
      <c r="CW17">
        <v>1</v>
      </c>
      <c r="CX17">
        <v>0</v>
      </c>
      <c r="CY17">
        <v>0</v>
      </c>
      <c r="CZ17">
        <v>0</v>
      </c>
      <c r="DA17">
        <v>-1</v>
      </c>
      <c r="DB17">
        <v>8.0126257500000015</v>
      </c>
      <c r="DC17">
        <v>3.8028630393983173E-2</v>
      </c>
      <c r="DD17">
        <v>3.9998424265836304E-3</v>
      </c>
      <c r="DE17">
        <v>1</v>
      </c>
      <c r="DF17">
        <v>2</v>
      </c>
      <c r="DG17">
        <v>2</v>
      </c>
      <c r="DH17" t="s">
        <v>341</v>
      </c>
      <c r="DI17">
        <v>3.0247000000000002</v>
      </c>
      <c r="DJ17">
        <v>2.69137</v>
      </c>
      <c r="DK17">
        <v>8.7966199999999994E-2</v>
      </c>
      <c r="DL17">
        <v>0.102511</v>
      </c>
      <c r="DM17">
        <v>0.13143099999999999</v>
      </c>
      <c r="DN17">
        <v>0.10446</v>
      </c>
      <c r="DO17">
        <v>25399.7</v>
      </c>
      <c r="DP17">
        <v>16292.8</v>
      </c>
      <c r="DQ17">
        <v>26425.3</v>
      </c>
      <c r="DR17">
        <v>16486.599999999999</v>
      </c>
      <c r="DS17">
        <v>32636.6</v>
      </c>
      <c r="DT17">
        <v>19296.400000000001</v>
      </c>
      <c r="DU17">
        <v>38499.199999999997</v>
      </c>
      <c r="DV17">
        <v>21860.6</v>
      </c>
      <c r="DW17">
        <v>1.80074</v>
      </c>
      <c r="DX17">
        <v>2.1854200000000001</v>
      </c>
      <c r="DY17">
        <v>6.8187700000000004E-2</v>
      </c>
      <c r="DZ17">
        <v>0</v>
      </c>
      <c r="EA17">
        <v>24.968800000000002</v>
      </c>
      <c r="EB17">
        <v>999.9</v>
      </c>
      <c r="EC17">
        <v>62.4</v>
      </c>
      <c r="ED17">
        <v>31.8</v>
      </c>
      <c r="EE17">
        <v>29.0702</v>
      </c>
      <c r="EF17">
        <v>62.5593</v>
      </c>
      <c r="EG17">
        <v>36.298099999999998</v>
      </c>
      <c r="EH17">
        <v>1</v>
      </c>
      <c r="EI17">
        <v>5.04695E-2</v>
      </c>
      <c r="EJ17">
        <v>-2.4E-2</v>
      </c>
      <c r="EK17">
        <v>20.343499999999999</v>
      </c>
      <c r="EL17">
        <v>5.2509499999999996</v>
      </c>
      <c r="EM17">
        <v>11.962</v>
      </c>
      <c r="EN17">
        <v>4.9896399999999996</v>
      </c>
      <c r="EO17">
        <v>3.2913800000000002</v>
      </c>
      <c r="EP17">
        <v>9999</v>
      </c>
      <c r="EQ17">
        <v>9999</v>
      </c>
      <c r="ER17">
        <v>9999</v>
      </c>
      <c r="ES17">
        <v>999.9</v>
      </c>
      <c r="ET17">
        <v>4.9726499999999998</v>
      </c>
      <c r="EU17">
        <v>1.8717999999999999</v>
      </c>
      <c r="EV17">
        <v>1.87209</v>
      </c>
      <c r="EW17">
        <v>1.87713</v>
      </c>
      <c r="EX17">
        <v>1.8712800000000001</v>
      </c>
      <c r="EY17">
        <v>1.87201</v>
      </c>
      <c r="EZ17">
        <v>1.87165</v>
      </c>
      <c r="FA17">
        <v>1.86866</v>
      </c>
      <c r="FB17">
        <v>0</v>
      </c>
      <c r="FC17">
        <v>0</v>
      </c>
      <c r="FD17">
        <v>0</v>
      </c>
      <c r="FE17">
        <v>0</v>
      </c>
      <c r="FF17" t="s">
        <v>342</v>
      </c>
      <c r="FG17" t="s">
        <v>343</v>
      </c>
      <c r="FH17" t="s">
        <v>344</v>
      </c>
      <c r="FI17" t="s">
        <v>344</v>
      </c>
      <c r="FJ17" t="s">
        <v>344</v>
      </c>
      <c r="FK17" t="s">
        <v>344</v>
      </c>
      <c r="FL17">
        <v>0</v>
      </c>
      <c r="FM17">
        <v>100</v>
      </c>
      <c r="FN17">
        <v>100</v>
      </c>
      <c r="FO17">
        <v>3.7869999999999999</v>
      </c>
      <c r="FP17">
        <v>0.29799999999999999</v>
      </c>
      <c r="FQ17">
        <v>0.8741579692767576</v>
      </c>
      <c r="FR17">
        <v>7.0338458001993282E-3</v>
      </c>
      <c r="FS17">
        <v>2.3387658340725169E-6</v>
      </c>
      <c r="FT17">
        <v>-2.2874075696057401E-10</v>
      </c>
      <c r="FU17">
        <v>0.29795999999999978</v>
      </c>
      <c r="FV17">
        <v>0</v>
      </c>
      <c r="FW17">
        <v>0</v>
      </c>
      <c r="FX17">
        <v>0</v>
      </c>
      <c r="FY17">
        <v>3</v>
      </c>
      <c r="FZ17">
        <v>2105</v>
      </c>
      <c r="GA17">
        <v>-1</v>
      </c>
      <c r="GB17">
        <v>-1</v>
      </c>
      <c r="GC17">
        <v>11.9</v>
      </c>
      <c r="GD17">
        <v>11.9</v>
      </c>
      <c r="GE17">
        <v>1.09619</v>
      </c>
      <c r="GF17">
        <v>2.63306</v>
      </c>
      <c r="GG17">
        <v>1.79932</v>
      </c>
      <c r="GH17">
        <v>2.3791500000000001</v>
      </c>
      <c r="GI17">
        <v>1.5979000000000001</v>
      </c>
      <c r="GJ17">
        <v>2.50244</v>
      </c>
      <c r="GK17">
        <v>34.875500000000002</v>
      </c>
      <c r="GL17">
        <v>24.157499999999999</v>
      </c>
      <c r="GM17">
        <v>18</v>
      </c>
      <c r="GN17">
        <v>366.73599999999999</v>
      </c>
      <c r="GO17">
        <v>669.27099999999996</v>
      </c>
      <c r="GP17">
        <v>25.829899999999999</v>
      </c>
      <c r="GQ17">
        <v>27.7193</v>
      </c>
      <c r="GR17">
        <v>30.0001</v>
      </c>
      <c r="GS17">
        <v>27.653500000000001</v>
      </c>
      <c r="GT17">
        <v>27.6876</v>
      </c>
      <c r="GU17">
        <v>21.903600000000001</v>
      </c>
      <c r="GV17">
        <v>39.689100000000003</v>
      </c>
      <c r="GW17">
        <v>0</v>
      </c>
      <c r="GX17">
        <v>25.83</v>
      </c>
      <c r="GY17">
        <v>450</v>
      </c>
      <c r="GZ17">
        <v>19.5</v>
      </c>
      <c r="HA17">
        <v>100.42</v>
      </c>
      <c r="HB17">
        <v>68.217399999999998</v>
      </c>
    </row>
    <row r="18" spans="1:210" x14ac:dyDescent="0.3">
      <c r="A18">
        <v>2</v>
      </c>
      <c r="B18">
        <v>1755009176.5</v>
      </c>
      <c r="C18">
        <v>180.5</v>
      </c>
      <c r="D18" t="s">
        <v>345</v>
      </c>
      <c r="E18" t="s">
        <v>346</v>
      </c>
      <c r="F18">
        <v>15</v>
      </c>
      <c r="G18">
        <v>1755009168.75</v>
      </c>
      <c r="H18">
        <f t="shared" si="0"/>
        <v>3.7388211148728615E-3</v>
      </c>
      <c r="I18">
        <f t="shared" si="1"/>
        <v>3.7388211148728616</v>
      </c>
      <c r="J18">
        <f t="shared" si="2"/>
        <v>21.588449986826959</v>
      </c>
      <c r="K18">
        <f t="shared" si="3"/>
        <v>249.31970000000001</v>
      </c>
      <c r="L18">
        <f t="shared" si="4"/>
        <v>193.72295709197959</v>
      </c>
      <c r="M18">
        <f t="shared" si="5"/>
        <v>19.65140258268022</v>
      </c>
      <c r="N18">
        <f t="shared" si="6"/>
        <v>25.291178030938202</v>
      </c>
      <c r="O18">
        <f t="shared" si="7"/>
        <v>0.72909467845796117</v>
      </c>
      <c r="P18">
        <f t="shared" si="8"/>
        <v>2.4172491894746342</v>
      </c>
      <c r="Q18">
        <f t="shared" si="9"/>
        <v>0.63289716323849243</v>
      </c>
      <c r="R18">
        <f t="shared" si="10"/>
        <v>0.40320129264542859</v>
      </c>
      <c r="S18">
        <f t="shared" si="11"/>
        <v>225.78643666666656</v>
      </c>
      <c r="T18">
        <f t="shared" si="12"/>
        <v>27.533204681177658</v>
      </c>
      <c r="U18">
        <f t="shared" si="13"/>
        <v>26.08373666666666</v>
      </c>
      <c r="V18">
        <f t="shared" si="14"/>
        <v>3.3910140245106741</v>
      </c>
      <c r="W18">
        <f t="shared" si="15"/>
        <v>78.033244887686138</v>
      </c>
      <c r="X18">
        <f t="shared" si="16"/>
        <v>2.810072169401848</v>
      </c>
      <c r="Y18">
        <f t="shared" si="17"/>
        <v>3.6011217698897529</v>
      </c>
      <c r="Z18">
        <f t="shared" si="18"/>
        <v>0.58094185510882612</v>
      </c>
      <c r="AA18">
        <f t="shared" si="19"/>
        <v>-164.8820111658932</v>
      </c>
      <c r="AB18">
        <f t="shared" si="20"/>
        <v>132.98505968863637</v>
      </c>
      <c r="AC18">
        <f t="shared" si="21"/>
        <v>11.82478045451745</v>
      </c>
      <c r="AD18">
        <f t="shared" si="22"/>
        <v>205.71426564392718</v>
      </c>
      <c r="AE18">
        <f t="shared" si="23"/>
        <v>21.588449986826959</v>
      </c>
      <c r="AF18">
        <f t="shared" si="24"/>
        <v>3.7388211148728616</v>
      </c>
      <c r="AG18">
        <f t="shared" si="25"/>
        <v>21.594120694820564</v>
      </c>
      <c r="AH18">
        <v>305.97980977020922</v>
      </c>
      <c r="AI18">
        <v>256.42285454545453</v>
      </c>
      <c r="AJ18">
        <v>-1.8775783603929271E-5</v>
      </c>
      <c r="AK18">
        <v>84.018494922715902</v>
      </c>
      <c r="AL18">
        <f t="shared" si="26"/>
        <v>3.741268750287051</v>
      </c>
      <c r="AM18">
        <v>19.522657210798162</v>
      </c>
      <c r="AN18">
        <v>27.707758646616512</v>
      </c>
      <c r="AO18">
        <v>1.898679729396467E-7</v>
      </c>
      <c r="AP18">
        <v>90.505698698760156</v>
      </c>
      <c r="AQ18">
        <v>0</v>
      </c>
      <c r="AR18">
        <v>0</v>
      </c>
      <c r="AS18">
        <f t="shared" si="27"/>
        <v>1</v>
      </c>
      <c r="AT18">
        <f t="shared" si="28"/>
        <v>0</v>
      </c>
      <c r="AU18">
        <f t="shared" si="29"/>
        <v>53586.106459442854</v>
      </c>
      <c r="AV18">
        <f t="shared" si="30"/>
        <v>1188.3496666666661</v>
      </c>
      <c r="AW18">
        <f t="shared" si="31"/>
        <v>950.67973333333293</v>
      </c>
      <c r="AX18">
        <f t="shared" si="32"/>
        <v>0.8</v>
      </c>
      <c r="AY18">
        <f t="shared" si="33"/>
        <v>0.19</v>
      </c>
      <c r="AZ18">
        <v>9</v>
      </c>
      <c r="BA18">
        <v>1.21</v>
      </c>
      <c r="BB18" t="s">
        <v>339</v>
      </c>
      <c r="BC18">
        <v>2</v>
      </c>
      <c r="BD18" t="b">
        <v>0</v>
      </c>
      <c r="BE18">
        <v>1755009168.75</v>
      </c>
      <c r="BF18">
        <v>249.31970000000001</v>
      </c>
      <c r="BG18">
        <v>299.9941</v>
      </c>
      <c r="BH18">
        <v>27.701609999999999</v>
      </c>
      <c r="BI18">
        <v>19.521809999999999</v>
      </c>
      <c r="BJ18">
        <v>246.57259999999999</v>
      </c>
      <c r="BK18">
        <v>27.403649999999999</v>
      </c>
      <c r="BL18">
        <v>399.97613333333328</v>
      </c>
      <c r="BM18">
        <v>101.3407666666667</v>
      </c>
      <c r="BN18">
        <v>9.9986033333333321E-2</v>
      </c>
      <c r="BO18">
        <v>27.10419666666667</v>
      </c>
      <c r="BP18">
        <v>26.08373666666666</v>
      </c>
      <c r="BQ18">
        <v>999.9000000000002</v>
      </c>
      <c r="BR18">
        <v>0</v>
      </c>
      <c r="BS18">
        <v>0</v>
      </c>
      <c r="BT18">
        <v>10003.61666666667</v>
      </c>
      <c r="BU18">
        <v>1188.3496666666661</v>
      </c>
      <c r="BV18">
        <v>21.437300000000011</v>
      </c>
      <c r="BW18">
        <v>-50.674256666666658</v>
      </c>
      <c r="BX18">
        <v>256.42316666666659</v>
      </c>
      <c r="BY18">
        <v>305.96706666666671</v>
      </c>
      <c r="BZ18">
        <v>8.1797943333333354</v>
      </c>
      <c r="CA18">
        <v>299.9941</v>
      </c>
      <c r="CB18">
        <v>19.521809999999999</v>
      </c>
      <c r="CC18">
        <v>2.8073010000000012</v>
      </c>
      <c r="CD18">
        <v>1.978354666666666</v>
      </c>
      <c r="CE18">
        <v>22.927070000000001</v>
      </c>
      <c r="CF18">
        <v>17.272156666666671</v>
      </c>
      <c r="CG18">
        <v>1755008282</v>
      </c>
      <c r="CH18" t="s">
        <v>340</v>
      </c>
      <c r="CI18">
        <v>1755008279.5</v>
      </c>
      <c r="CJ18">
        <v>1755008282</v>
      </c>
      <c r="CK18">
        <v>5</v>
      </c>
      <c r="CL18">
        <v>-0.13800000000000001</v>
      </c>
      <c r="CM18">
        <v>0.05</v>
      </c>
      <c r="CN18">
        <v>4.452</v>
      </c>
      <c r="CO18">
        <v>0.29799999999999999</v>
      </c>
      <c r="CP18">
        <v>450</v>
      </c>
      <c r="CQ18">
        <v>20</v>
      </c>
      <c r="CR18">
        <v>0.03</v>
      </c>
      <c r="CS18">
        <v>0.01</v>
      </c>
      <c r="CT18">
        <v>-50.681660000000001</v>
      </c>
      <c r="CU18">
        <v>9.7472420262814344E-2</v>
      </c>
      <c r="CV18">
        <v>2.1548976773852261E-2</v>
      </c>
      <c r="CW18">
        <v>1</v>
      </c>
      <c r="CX18">
        <v>0</v>
      </c>
      <c r="CY18">
        <v>0</v>
      </c>
      <c r="CZ18">
        <v>0</v>
      </c>
      <c r="DA18">
        <v>-1</v>
      </c>
      <c r="DB18">
        <v>8.1776970000000002</v>
      </c>
      <c r="DC18">
        <v>4.0168930581603091E-2</v>
      </c>
      <c r="DD18">
        <v>4.5099202875437932E-3</v>
      </c>
      <c r="DE18">
        <v>1</v>
      </c>
      <c r="DF18">
        <v>2</v>
      </c>
      <c r="DG18">
        <v>2</v>
      </c>
      <c r="DH18" t="s">
        <v>341</v>
      </c>
      <c r="DI18">
        <v>3.02467</v>
      </c>
      <c r="DJ18">
        <v>2.6913200000000002</v>
      </c>
      <c r="DK18">
        <v>6.3220799999999994E-2</v>
      </c>
      <c r="DL18">
        <v>7.47636E-2</v>
      </c>
      <c r="DM18">
        <v>0.13203300000000001</v>
      </c>
      <c r="DN18">
        <v>0.104522</v>
      </c>
      <c r="DO18">
        <v>26087.8</v>
      </c>
      <c r="DP18">
        <v>16796.2</v>
      </c>
      <c r="DQ18">
        <v>26424.3</v>
      </c>
      <c r="DR18">
        <v>16486.3</v>
      </c>
      <c r="DS18">
        <v>32611.7</v>
      </c>
      <c r="DT18">
        <v>19294.400000000001</v>
      </c>
      <c r="DU18">
        <v>38497.9</v>
      </c>
      <c r="DV18">
        <v>21860.400000000001</v>
      </c>
      <c r="DW18">
        <v>1.80078</v>
      </c>
      <c r="DX18">
        <v>2.1847400000000001</v>
      </c>
      <c r="DY18">
        <v>6.7654300000000001E-2</v>
      </c>
      <c r="DZ18">
        <v>0</v>
      </c>
      <c r="EA18">
        <v>24.9709</v>
      </c>
      <c r="EB18">
        <v>999.9</v>
      </c>
      <c r="EC18">
        <v>62.4</v>
      </c>
      <c r="ED18">
        <v>31.8</v>
      </c>
      <c r="EE18">
        <v>29.072800000000001</v>
      </c>
      <c r="EF18">
        <v>62.739400000000003</v>
      </c>
      <c r="EG18">
        <v>36.490400000000001</v>
      </c>
      <c r="EH18">
        <v>1</v>
      </c>
      <c r="EI18">
        <v>5.12337E-2</v>
      </c>
      <c r="EJ18">
        <v>-2.2620899999999999E-2</v>
      </c>
      <c r="EK18">
        <v>20.3432</v>
      </c>
      <c r="EL18">
        <v>5.2511900000000002</v>
      </c>
      <c r="EM18">
        <v>11.962</v>
      </c>
      <c r="EN18">
        <v>4.9896000000000003</v>
      </c>
      <c r="EO18">
        <v>3.2914599999999998</v>
      </c>
      <c r="EP18">
        <v>9999</v>
      </c>
      <c r="EQ18">
        <v>9999</v>
      </c>
      <c r="ER18">
        <v>9999</v>
      </c>
      <c r="ES18">
        <v>999.9</v>
      </c>
      <c r="ET18">
        <v>4.9726800000000004</v>
      </c>
      <c r="EU18">
        <v>1.8717999999999999</v>
      </c>
      <c r="EV18">
        <v>1.8720699999999999</v>
      </c>
      <c r="EW18">
        <v>1.87713</v>
      </c>
      <c r="EX18">
        <v>1.87127</v>
      </c>
      <c r="EY18">
        <v>1.87201</v>
      </c>
      <c r="EZ18">
        <v>1.87165</v>
      </c>
      <c r="FA18">
        <v>1.86873</v>
      </c>
      <c r="FB18">
        <v>0</v>
      </c>
      <c r="FC18">
        <v>0</v>
      </c>
      <c r="FD18">
        <v>0</v>
      </c>
      <c r="FE18">
        <v>0</v>
      </c>
      <c r="FF18" t="s">
        <v>342</v>
      </c>
      <c r="FG18" t="s">
        <v>343</v>
      </c>
      <c r="FH18" t="s">
        <v>344</v>
      </c>
      <c r="FI18" t="s">
        <v>344</v>
      </c>
      <c r="FJ18" t="s">
        <v>344</v>
      </c>
      <c r="FK18" t="s">
        <v>344</v>
      </c>
      <c r="FL18">
        <v>0</v>
      </c>
      <c r="FM18">
        <v>100</v>
      </c>
      <c r="FN18">
        <v>100</v>
      </c>
      <c r="FO18">
        <v>2.7480000000000002</v>
      </c>
      <c r="FP18">
        <v>0.2979</v>
      </c>
      <c r="FQ18">
        <v>0.8741579692767576</v>
      </c>
      <c r="FR18">
        <v>7.0338458001993282E-3</v>
      </c>
      <c r="FS18">
        <v>2.3387658340725169E-6</v>
      </c>
      <c r="FT18">
        <v>-2.2874075696057401E-10</v>
      </c>
      <c r="FU18">
        <v>0.29795999999999978</v>
      </c>
      <c r="FV18">
        <v>0</v>
      </c>
      <c r="FW18">
        <v>0</v>
      </c>
      <c r="FX18">
        <v>0</v>
      </c>
      <c r="FY18">
        <v>3</v>
      </c>
      <c r="FZ18">
        <v>2105</v>
      </c>
      <c r="GA18">
        <v>-1</v>
      </c>
      <c r="GB18">
        <v>-1</v>
      </c>
      <c r="GC18">
        <v>14.9</v>
      </c>
      <c r="GD18">
        <v>14.9</v>
      </c>
      <c r="GE18">
        <v>0.79589799999999999</v>
      </c>
      <c r="GF18">
        <v>2.6281699999999999</v>
      </c>
      <c r="GG18">
        <v>1.7981</v>
      </c>
      <c r="GH18">
        <v>2.3803700000000001</v>
      </c>
      <c r="GI18">
        <v>1.5979000000000001</v>
      </c>
      <c r="GJ18">
        <v>2.5781200000000002</v>
      </c>
      <c r="GK18">
        <v>34.875500000000002</v>
      </c>
      <c r="GL18">
        <v>24.157499999999999</v>
      </c>
      <c r="GM18">
        <v>18</v>
      </c>
      <c r="GN18">
        <v>366.81700000000001</v>
      </c>
      <c r="GO18">
        <v>668.798</v>
      </c>
      <c r="GP18">
        <v>25.829799999999999</v>
      </c>
      <c r="GQ18">
        <v>27.726299999999998</v>
      </c>
      <c r="GR18">
        <v>30.0002</v>
      </c>
      <c r="GS18">
        <v>27.662800000000001</v>
      </c>
      <c r="GT18">
        <v>27.697099999999999</v>
      </c>
      <c r="GU18">
        <v>15.877700000000001</v>
      </c>
      <c r="GV18">
        <v>39.689100000000003</v>
      </c>
      <c r="GW18">
        <v>0</v>
      </c>
      <c r="GX18">
        <v>25.83</v>
      </c>
      <c r="GY18">
        <v>300</v>
      </c>
      <c r="GZ18">
        <v>19.5</v>
      </c>
      <c r="HA18">
        <v>100.416</v>
      </c>
      <c r="HB18">
        <v>68.216499999999996</v>
      </c>
    </row>
    <row r="19" spans="1:210" x14ac:dyDescent="0.3">
      <c r="A19">
        <v>3</v>
      </c>
      <c r="B19">
        <v>1755009357</v>
      </c>
      <c r="C19">
        <v>361</v>
      </c>
      <c r="D19" t="s">
        <v>347</v>
      </c>
      <c r="E19" t="s">
        <v>348</v>
      </c>
      <c r="F19">
        <v>15</v>
      </c>
      <c r="G19">
        <v>1755009349.25</v>
      </c>
      <c r="H19">
        <f t="shared" si="0"/>
        <v>3.8024282478925685E-3</v>
      </c>
      <c r="I19">
        <f t="shared" si="1"/>
        <v>3.8024282478925686</v>
      </c>
      <c r="J19">
        <f t="shared" si="2"/>
        <v>12.496588638425257</v>
      </c>
      <c r="K19">
        <f t="shared" si="3"/>
        <v>170.4310666666666</v>
      </c>
      <c r="L19">
        <f t="shared" si="4"/>
        <v>139.36464702468834</v>
      </c>
      <c r="M19">
        <f t="shared" si="5"/>
        <v>14.137078163543112</v>
      </c>
      <c r="N19">
        <f t="shared" si="6"/>
        <v>17.288439804507018</v>
      </c>
      <c r="O19">
        <f t="shared" si="7"/>
        <v>0.76614177546328888</v>
      </c>
      <c r="P19">
        <f t="shared" si="8"/>
        <v>2.4166172555575813</v>
      </c>
      <c r="Q19">
        <f t="shared" si="9"/>
        <v>0.66060810699569994</v>
      </c>
      <c r="R19">
        <f t="shared" si="10"/>
        <v>0.42121289725808975</v>
      </c>
      <c r="S19">
        <f t="shared" si="11"/>
        <v>225.75464333333326</v>
      </c>
      <c r="T19">
        <f t="shared" si="12"/>
        <v>27.519264764184054</v>
      </c>
      <c r="U19">
        <f t="shared" si="13"/>
        <v>26.088786666666671</v>
      </c>
      <c r="V19">
        <f t="shared" si="14"/>
        <v>3.3920268414104973</v>
      </c>
      <c r="W19">
        <f t="shared" si="15"/>
        <v>78.449317673224968</v>
      </c>
      <c r="X19">
        <f t="shared" si="16"/>
        <v>2.8260415261674883</v>
      </c>
      <c r="Y19">
        <f t="shared" si="17"/>
        <v>3.6023787204104978</v>
      </c>
      <c r="Z19">
        <f t="shared" si="18"/>
        <v>0.56598531524300899</v>
      </c>
      <c r="AA19">
        <f t="shared" si="19"/>
        <v>-167.68708573206226</v>
      </c>
      <c r="AB19">
        <f t="shared" si="20"/>
        <v>133.06711573951509</v>
      </c>
      <c r="AC19">
        <f t="shared" si="21"/>
        <v>11.835822445555744</v>
      </c>
      <c r="AD19">
        <f t="shared" si="22"/>
        <v>202.97049578634184</v>
      </c>
      <c r="AE19">
        <f t="shared" si="23"/>
        <v>12.496588638425257</v>
      </c>
      <c r="AF19">
        <f t="shared" si="24"/>
        <v>3.8024282478925686</v>
      </c>
      <c r="AG19">
        <f t="shared" si="25"/>
        <v>12.415815778555125</v>
      </c>
      <c r="AH19">
        <v>203.97573537254021</v>
      </c>
      <c r="AI19">
        <v>175.44064848484831</v>
      </c>
      <c r="AJ19">
        <v>5.1988269176851806E-3</v>
      </c>
      <c r="AK19">
        <v>84.018494922715902</v>
      </c>
      <c r="AL19">
        <f t="shared" si="26"/>
        <v>3.8045199008138115</v>
      </c>
      <c r="AM19">
        <v>19.545419109301211</v>
      </c>
      <c r="AN19">
        <v>27.866578195488721</v>
      </c>
      <c r="AO19">
        <v>-1.360536243104256E-6</v>
      </c>
      <c r="AP19">
        <v>90.505698698760156</v>
      </c>
      <c r="AQ19">
        <v>0</v>
      </c>
      <c r="AR19">
        <v>0</v>
      </c>
      <c r="AS19">
        <f t="shared" si="27"/>
        <v>1</v>
      </c>
      <c r="AT19">
        <f t="shared" si="28"/>
        <v>0</v>
      </c>
      <c r="AU19">
        <f t="shared" si="29"/>
        <v>53563.893303049881</v>
      </c>
      <c r="AV19">
        <f t="shared" si="30"/>
        <v>1188.182333333333</v>
      </c>
      <c r="AW19">
        <f t="shared" si="31"/>
        <v>950.54586666666637</v>
      </c>
      <c r="AX19">
        <f t="shared" si="32"/>
        <v>0.8</v>
      </c>
      <c r="AY19">
        <f t="shared" si="33"/>
        <v>0.19</v>
      </c>
      <c r="AZ19">
        <v>9</v>
      </c>
      <c r="BA19">
        <v>1.21</v>
      </c>
      <c r="BB19" t="s">
        <v>339</v>
      </c>
      <c r="BC19">
        <v>2</v>
      </c>
      <c r="BD19" t="b">
        <v>0</v>
      </c>
      <c r="BE19">
        <v>1755009349.25</v>
      </c>
      <c r="BF19">
        <v>170.4310666666666</v>
      </c>
      <c r="BG19">
        <v>200.00479999999999</v>
      </c>
      <c r="BH19">
        <v>27.85938333333333</v>
      </c>
      <c r="BI19">
        <v>19.542750000000002</v>
      </c>
      <c r="BJ19">
        <v>168.30786666666671</v>
      </c>
      <c r="BK19">
        <v>27.561436666666669</v>
      </c>
      <c r="BL19">
        <v>400.0231</v>
      </c>
      <c r="BM19">
        <v>101.3394666666667</v>
      </c>
      <c r="BN19">
        <v>0.10001935333333339</v>
      </c>
      <c r="BO19">
        <v>27.11014333333333</v>
      </c>
      <c r="BP19">
        <v>26.088786666666671</v>
      </c>
      <c r="BQ19">
        <v>999.9000000000002</v>
      </c>
      <c r="BR19">
        <v>0</v>
      </c>
      <c r="BS19">
        <v>0</v>
      </c>
      <c r="BT19">
        <v>9999.6333333333332</v>
      </c>
      <c r="BU19">
        <v>1188.182333333333</v>
      </c>
      <c r="BV19">
        <v>21.381586666666671</v>
      </c>
      <c r="BW19">
        <v>-29.573736666666669</v>
      </c>
      <c r="BX19">
        <v>175.31530000000001</v>
      </c>
      <c r="BY19">
        <v>203.99143333333339</v>
      </c>
      <c r="BZ19">
        <v>8.3166393333333346</v>
      </c>
      <c r="CA19">
        <v>200.00479999999999</v>
      </c>
      <c r="CB19">
        <v>19.542750000000002</v>
      </c>
      <c r="CC19">
        <v>2.8232563333333331</v>
      </c>
      <c r="CD19">
        <v>1.980452333333333</v>
      </c>
      <c r="CE19">
        <v>23.020706666666669</v>
      </c>
      <c r="CF19">
        <v>17.288906666666669</v>
      </c>
      <c r="CG19">
        <v>1755008282</v>
      </c>
      <c r="CH19" t="s">
        <v>340</v>
      </c>
      <c r="CI19">
        <v>1755008279.5</v>
      </c>
      <c r="CJ19">
        <v>1755008282</v>
      </c>
      <c r="CK19">
        <v>5</v>
      </c>
      <c r="CL19">
        <v>-0.13800000000000001</v>
      </c>
      <c r="CM19">
        <v>0.05</v>
      </c>
      <c r="CN19">
        <v>4.452</v>
      </c>
      <c r="CO19">
        <v>0.29799999999999999</v>
      </c>
      <c r="CP19">
        <v>450</v>
      </c>
      <c r="CQ19">
        <v>20</v>
      </c>
      <c r="CR19">
        <v>0.03</v>
      </c>
      <c r="CS19">
        <v>0.01</v>
      </c>
      <c r="CT19">
        <v>-29.632159999999999</v>
      </c>
      <c r="CU19">
        <v>1.1540217636023551</v>
      </c>
      <c r="CV19">
        <v>0.11491791157169561</v>
      </c>
      <c r="CW19">
        <v>0</v>
      </c>
      <c r="CX19">
        <v>0</v>
      </c>
      <c r="CY19">
        <v>0</v>
      </c>
      <c r="CZ19">
        <v>0</v>
      </c>
      <c r="DA19">
        <v>-1</v>
      </c>
      <c r="DB19">
        <v>8.3157677499999991</v>
      </c>
      <c r="DC19">
        <v>2.793208255149289E-3</v>
      </c>
      <c r="DD19">
        <v>2.149805209199337E-3</v>
      </c>
      <c r="DE19">
        <v>1</v>
      </c>
      <c r="DF19">
        <v>1</v>
      </c>
      <c r="DG19">
        <v>2</v>
      </c>
      <c r="DH19" t="s">
        <v>349</v>
      </c>
      <c r="DI19">
        <v>3.0247199999999999</v>
      </c>
      <c r="DJ19">
        <v>2.6913900000000002</v>
      </c>
      <c r="DK19">
        <v>4.5181699999999998E-2</v>
      </c>
      <c r="DL19">
        <v>5.2944900000000003E-2</v>
      </c>
      <c r="DM19">
        <v>0.13256499999999999</v>
      </c>
      <c r="DN19">
        <v>0.10460700000000001</v>
      </c>
      <c r="DO19">
        <v>26589.599999999999</v>
      </c>
      <c r="DP19">
        <v>17192</v>
      </c>
      <c r="DQ19">
        <v>26423.8</v>
      </c>
      <c r="DR19">
        <v>16486.2</v>
      </c>
      <c r="DS19">
        <v>32590.400000000001</v>
      </c>
      <c r="DT19">
        <v>19292.099999999999</v>
      </c>
      <c r="DU19">
        <v>38497.4</v>
      </c>
      <c r="DV19">
        <v>21860.2</v>
      </c>
      <c r="DW19">
        <v>1.80088</v>
      </c>
      <c r="DX19">
        <v>2.18424</v>
      </c>
      <c r="DY19">
        <v>6.8145999999999998E-2</v>
      </c>
      <c r="DZ19">
        <v>0</v>
      </c>
      <c r="EA19">
        <v>24.9772</v>
      </c>
      <c r="EB19">
        <v>999.9</v>
      </c>
      <c r="EC19">
        <v>62.4</v>
      </c>
      <c r="ED19">
        <v>31.8</v>
      </c>
      <c r="EE19">
        <v>29.0715</v>
      </c>
      <c r="EF19">
        <v>62.609400000000001</v>
      </c>
      <c r="EG19">
        <v>36.362200000000001</v>
      </c>
      <c r="EH19">
        <v>1</v>
      </c>
      <c r="EI19">
        <v>5.17805E-2</v>
      </c>
      <c r="EJ19">
        <v>-1.31874E-2</v>
      </c>
      <c r="EK19">
        <v>20.343299999999999</v>
      </c>
      <c r="EL19">
        <v>5.2516699999999998</v>
      </c>
      <c r="EM19">
        <v>11.962</v>
      </c>
      <c r="EN19">
        <v>4.9896399999999996</v>
      </c>
      <c r="EO19">
        <v>3.2911999999999999</v>
      </c>
      <c r="EP19">
        <v>9999</v>
      </c>
      <c r="EQ19">
        <v>9999</v>
      </c>
      <c r="ER19">
        <v>9999</v>
      </c>
      <c r="ES19">
        <v>999.9</v>
      </c>
      <c r="ET19">
        <v>4.9726499999999998</v>
      </c>
      <c r="EU19">
        <v>1.8717999999999999</v>
      </c>
      <c r="EV19">
        <v>1.8720300000000001</v>
      </c>
      <c r="EW19">
        <v>1.87713</v>
      </c>
      <c r="EX19">
        <v>1.8712599999999999</v>
      </c>
      <c r="EY19">
        <v>1.8720000000000001</v>
      </c>
      <c r="EZ19">
        <v>1.87164</v>
      </c>
      <c r="FA19">
        <v>1.8687100000000001</v>
      </c>
      <c r="FB19">
        <v>0</v>
      </c>
      <c r="FC19">
        <v>0</v>
      </c>
      <c r="FD19">
        <v>0</v>
      </c>
      <c r="FE19">
        <v>0</v>
      </c>
      <c r="FF19" t="s">
        <v>342</v>
      </c>
      <c r="FG19" t="s">
        <v>343</v>
      </c>
      <c r="FH19" t="s">
        <v>344</v>
      </c>
      <c r="FI19" t="s">
        <v>344</v>
      </c>
      <c r="FJ19" t="s">
        <v>344</v>
      </c>
      <c r="FK19" t="s">
        <v>344</v>
      </c>
      <c r="FL19">
        <v>0</v>
      </c>
      <c r="FM19">
        <v>100</v>
      </c>
      <c r="FN19">
        <v>100</v>
      </c>
      <c r="FO19">
        <v>2.1240000000000001</v>
      </c>
      <c r="FP19">
        <v>0.29799999999999999</v>
      </c>
      <c r="FQ19">
        <v>0.8741579692767576</v>
      </c>
      <c r="FR19">
        <v>7.0338458001993282E-3</v>
      </c>
      <c r="FS19">
        <v>2.3387658340725169E-6</v>
      </c>
      <c r="FT19">
        <v>-2.2874075696057401E-10</v>
      </c>
      <c r="FU19">
        <v>0.29795999999999978</v>
      </c>
      <c r="FV19">
        <v>0</v>
      </c>
      <c r="FW19">
        <v>0</v>
      </c>
      <c r="FX19">
        <v>0</v>
      </c>
      <c r="FY19">
        <v>3</v>
      </c>
      <c r="FZ19">
        <v>2105</v>
      </c>
      <c r="GA19">
        <v>-1</v>
      </c>
      <c r="GB19">
        <v>-1</v>
      </c>
      <c r="GC19">
        <v>18</v>
      </c>
      <c r="GD19">
        <v>17.899999999999999</v>
      </c>
      <c r="GE19">
        <v>0.58349600000000001</v>
      </c>
      <c r="GF19">
        <v>2.64893</v>
      </c>
      <c r="GG19">
        <v>1.7981</v>
      </c>
      <c r="GH19">
        <v>2.3791500000000001</v>
      </c>
      <c r="GI19">
        <v>1.5979000000000001</v>
      </c>
      <c r="GJ19">
        <v>2.5463900000000002</v>
      </c>
      <c r="GK19">
        <v>34.898499999999999</v>
      </c>
      <c r="GL19">
        <v>24.157499999999999</v>
      </c>
      <c r="GM19">
        <v>18</v>
      </c>
      <c r="GN19">
        <v>366.92899999999997</v>
      </c>
      <c r="GO19">
        <v>668.48199999999997</v>
      </c>
      <c r="GP19">
        <v>25.83</v>
      </c>
      <c r="GQ19">
        <v>27.735700000000001</v>
      </c>
      <c r="GR19">
        <v>30</v>
      </c>
      <c r="GS19">
        <v>27.6721</v>
      </c>
      <c r="GT19">
        <v>27.706499999999998</v>
      </c>
      <c r="GU19">
        <v>11.6282</v>
      </c>
      <c r="GV19">
        <v>39.689100000000003</v>
      </c>
      <c r="GW19">
        <v>0</v>
      </c>
      <c r="GX19">
        <v>25.83</v>
      </c>
      <c r="GY19">
        <v>200</v>
      </c>
      <c r="GZ19">
        <v>19.5</v>
      </c>
      <c r="HA19">
        <v>100.41500000000001</v>
      </c>
      <c r="HB19">
        <v>68.215900000000005</v>
      </c>
    </row>
    <row r="20" spans="1:210" x14ac:dyDescent="0.3">
      <c r="A20">
        <v>4</v>
      </c>
      <c r="B20">
        <v>1755009537.5</v>
      </c>
      <c r="C20">
        <v>541.5</v>
      </c>
      <c r="D20" t="s">
        <v>350</v>
      </c>
      <c r="E20" t="s">
        <v>351</v>
      </c>
      <c r="F20">
        <v>15</v>
      </c>
      <c r="G20">
        <v>1755009529.75</v>
      </c>
      <c r="H20">
        <f t="shared" si="0"/>
        <v>3.8742581717970308E-3</v>
      </c>
      <c r="I20">
        <f t="shared" si="1"/>
        <v>3.874258171797031</v>
      </c>
      <c r="J20">
        <f t="shared" si="2"/>
        <v>5.4557331973212735</v>
      </c>
      <c r="K20">
        <f t="shared" si="3"/>
        <v>111.7555</v>
      </c>
      <c r="L20">
        <f t="shared" si="4"/>
        <v>98.392675137383904</v>
      </c>
      <c r="M20">
        <f t="shared" si="5"/>
        <v>9.9806230038043235</v>
      </c>
      <c r="N20">
        <f t="shared" si="6"/>
        <v>11.336103145323124</v>
      </c>
      <c r="O20">
        <f t="shared" si="7"/>
        <v>0.80259185382732179</v>
      </c>
      <c r="P20">
        <f t="shared" si="8"/>
        <v>2.4165235513221308</v>
      </c>
      <c r="Q20">
        <f t="shared" si="9"/>
        <v>0.68753266294731918</v>
      </c>
      <c r="R20">
        <f t="shared" si="10"/>
        <v>0.43874086504944304</v>
      </c>
      <c r="S20">
        <f t="shared" si="11"/>
        <v>225.73868333333326</v>
      </c>
      <c r="T20">
        <f t="shared" si="12"/>
        <v>27.495158236388701</v>
      </c>
      <c r="U20">
        <f t="shared" si="13"/>
        <v>26.085956666666672</v>
      </c>
      <c r="V20">
        <f t="shared" si="14"/>
        <v>3.3914592302935205</v>
      </c>
      <c r="W20">
        <f t="shared" si="15"/>
        <v>78.772765184976492</v>
      </c>
      <c r="X20">
        <f t="shared" si="16"/>
        <v>2.8374119106512503</v>
      </c>
      <c r="Y20">
        <f t="shared" si="17"/>
        <v>3.6020214651451647</v>
      </c>
      <c r="Z20">
        <f t="shared" si="18"/>
        <v>0.55404731964227016</v>
      </c>
      <c r="AA20">
        <f t="shared" si="19"/>
        <v>-170.85478537624905</v>
      </c>
      <c r="AB20">
        <f t="shared" si="20"/>
        <v>133.21047483171006</v>
      </c>
      <c r="AC20">
        <f t="shared" si="21"/>
        <v>11.848765079885482</v>
      </c>
      <c r="AD20">
        <f t="shared" si="22"/>
        <v>199.94313786867974</v>
      </c>
      <c r="AE20">
        <f t="shared" si="23"/>
        <v>5.4557331973212735</v>
      </c>
      <c r="AF20">
        <f t="shared" si="24"/>
        <v>3.874258171797031</v>
      </c>
      <c r="AG20">
        <f t="shared" si="25"/>
        <v>5.4493850407227082</v>
      </c>
      <c r="AH20">
        <v>127.497392057154</v>
      </c>
      <c r="AI20">
        <v>114.99257575757569</v>
      </c>
      <c r="AJ20">
        <v>5.5377605135133641E-5</v>
      </c>
      <c r="AK20">
        <v>84.018494922715902</v>
      </c>
      <c r="AL20">
        <f t="shared" si="26"/>
        <v>3.8781191500857557</v>
      </c>
      <c r="AM20">
        <v>19.49889545063666</v>
      </c>
      <c r="AN20">
        <v>27.980090225563892</v>
      </c>
      <c r="AO20">
        <v>1.160876757900884E-6</v>
      </c>
      <c r="AP20">
        <v>90.505698698760156</v>
      </c>
      <c r="AQ20">
        <v>0</v>
      </c>
      <c r="AR20">
        <v>0</v>
      </c>
      <c r="AS20">
        <f t="shared" si="27"/>
        <v>1</v>
      </c>
      <c r="AT20">
        <f t="shared" si="28"/>
        <v>0</v>
      </c>
      <c r="AU20">
        <f t="shared" si="29"/>
        <v>53561.002427973654</v>
      </c>
      <c r="AV20">
        <f t="shared" si="30"/>
        <v>1188.0983333333329</v>
      </c>
      <c r="AW20">
        <f t="shared" si="31"/>
        <v>950.47866666666641</v>
      </c>
      <c r="AX20">
        <f t="shared" si="32"/>
        <v>0.8</v>
      </c>
      <c r="AY20">
        <f t="shared" si="33"/>
        <v>0.19</v>
      </c>
      <c r="AZ20">
        <v>9</v>
      </c>
      <c r="BA20">
        <v>1.21</v>
      </c>
      <c r="BB20" t="s">
        <v>339</v>
      </c>
      <c r="BC20">
        <v>2</v>
      </c>
      <c r="BD20" t="b">
        <v>0</v>
      </c>
      <c r="BE20">
        <v>1755009529.75</v>
      </c>
      <c r="BF20">
        <v>111.7555</v>
      </c>
      <c r="BG20">
        <v>125.0044333333334</v>
      </c>
      <c r="BH20">
        <v>27.97225666666667</v>
      </c>
      <c r="BI20">
        <v>19.499426666666668</v>
      </c>
      <c r="BJ20">
        <v>110.07906666666661</v>
      </c>
      <c r="BK20">
        <v>27.674273333333339</v>
      </c>
      <c r="BL20">
        <v>400.01956666666672</v>
      </c>
      <c r="BM20">
        <v>101.3366666666667</v>
      </c>
      <c r="BN20">
        <v>9.9979809999999988E-2</v>
      </c>
      <c r="BO20">
        <v>27.10845333333333</v>
      </c>
      <c r="BP20">
        <v>26.085956666666672</v>
      </c>
      <c r="BQ20">
        <v>999.9000000000002</v>
      </c>
      <c r="BR20">
        <v>0</v>
      </c>
      <c r="BS20">
        <v>0</v>
      </c>
      <c r="BT20">
        <v>9999.2999999999993</v>
      </c>
      <c r="BU20">
        <v>1188.0983333333329</v>
      </c>
      <c r="BV20">
        <v>21.37649333333334</v>
      </c>
      <c r="BW20">
        <v>-13.248953333333329</v>
      </c>
      <c r="BX20">
        <v>114.9715333333333</v>
      </c>
      <c r="BY20">
        <v>127.4903666666666</v>
      </c>
      <c r="BZ20">
        <v>8.4728216666666682</v>
      </c>
      <c r="CA20">
        <v>125.0044333333334</v>
      </c>
      <c r="CB20">
        <v>19.499426666666668</v>
      </c>
      <c r="CC20">
        <v>2.8346146666666669</v>
      </c>
      <c r="CD20">
        <v>1.976008</v>
      </c>
      <c r="CE20">
        <v>23.087056666666669</v>
      </c>
      <c r="CF20">
        <v>17.253373333333329</v>
      </c>
      <c r="CG20">
        <v>1755008282</v>
      </c>
      <c r="CH20" t="s">
        <v>340</v>
      </c>
      <c r="CI20">
        <v>1755008279.5</v>
      </c>
      <c r="CJ20">
        <v>1755008282</v>
      </c>
      <c r="CK20">
        <v>5</v>
      </c>
      <c r="CL20">
        <v>-0.13800000000000001</v>
      </c>
      <c r="CM20">
        <v>0.05</v>
      </c>
      <c r="CN20">
        <v>4.452</v>
      </c>
      <c r="CO20">
        <v>0.29799999999999999</v>
      </c>
      <c r="CP20">
        <v>450</v>
      </c>
      <c r="CQ20">
        <v>20</v>
      </c>
      <c r="CR20">
        <v>0.03</v>
      </c>
      <c r="CS20">
        <v>0.01</v>
      </c>
      <c r="CT20">
        <v>-13.2606825</v>
      </c>
      <c r="CU20">
        <v>0.2273302063790183</v>
      </c>
      <c r="CV20">
        <v>2.6946362347263129E-2</v>
      </c>
      <c r="CW20">
        <v>1</v>
      </c>
      <c r="CX20">
        <v>0</v>
      </c>
      <c r="CY20">
        <v>0</v>
      </c>
      <c r="CZ20">
        <v>0</v>
      </c>
      <c r="DA20">
        <v>-1</v>
      </c>
      <c r="DB20">
        <v>8.4700792500000013</v>
      </c>
      <c r="DC20">
        <v>5.8694521575973983E-2</v>
      </c>
      <c r="DD20">
        <v>5.7301131696940229E-3</v>
      </c>
      <c r="DE20">
        <v>1</v>
      </c>
      <c r="DF20">
        <v>2</v>
      </c>
      <c r="DG20">
        <v>2</v>
      </c>
      <c r="DH20" t="s">
        <v>341</v>
      </c>
      <c r="DI20">
        <v>3.0245700000000002</v>
      </c>
      <c r="DJ20">
        <v>2.6912400000000001</v>
      </c>
      <c r="DK20">
        <v>3.0342600000000001E-2</v>
      </c>
      <c r="DL20">
        <v>3.4380099999999997E-2</v>
      </c>
      <c r="DM20">
        <v>0.13291700000000001</v>
      </c>
      <c r="DN20">
        <v>0.104419</v>
      </c>
      <c r="DO20">
        <v>27001.7</v>
      </c>
      <c r="DP20">
        <v>17529</v>
      </c>
      <c r="DQ20">
        <v>26422.9</v>
      </c>
      <c r="DR20">
        <v>16486.2</v>
      </c>
      <c r="DS20">
        <v>32575.9</v>
      </c>
      <c r="DT20">
        <v>19295.8</v>
      </c>
      <c r="DU20">
        <v>38496.6</v>
      </c>
      <c r="DV20">
        <v>21860</v>
      </c>
      <c r="DW20">
        <v>1.80064</v>
      </c>
      <c r="DX20">
        <v>2.1838000000000002</v>
      </c>
      <c r="DY20">
        <v>6.73681E-2</v>
      </c>
      <c r="DZ20">
        <v>0</v>
      </c>
      <c r="EA20">
        <v>24.985600000000002</v>
      </c>
      <c r="EB20">
        <v>999.9</v>
      </c>
      <c r="EC20">
        <v>62.5</v>
      </c>
      <c r="ED20">
        <v>31.8</v>
      </c>
      <c r="EE20">
        <v>29.119399999999999</v>
      </c>
      <c r="EF20">
        <v>62.909399999999998</v>
      </c>
      <c r="EG20">
        <v>36.498399999999997</v>
      </c>
      <c r="EH20">
        <v>1</v>
      </c>
      <c r="EI20">
        <v>5.24634E-2</v>
      </c>
      <c r="EJ20">
        <v>-1.45991E-2</v>
      </c>
      <c r="EK20">
        <v>20.343299999999999</v>
      </c>
      <c r="EL20">
        <v>5.2516699999999998</v>
      </c>
      <c r="EM20">
        <v>11.962</v>
      </c>
      <c r="EN20">
        <v>4.9897600000000004</v>
      </c>
      <c r="EO20">
        <v>3.2913600000000001</v>
      </c>
      <c r="EP20">
        <v>9999</v>
      </c>
      <c r="EQ20">
        <v>9999</v>
      </c>
      <c r="ER20">
        <v>9999</v>
      </c>
      <c r="ES20">
        <v>999.9</v>
      </c>
      <c r="ET20">
        <v>4.9726600000000003</v>
      </c>
      <c r="EU20">
        <v>1.8717999999999999</v>
      </c>
      <c r="EV20">
        <v>1.87208</v>
      </c>
      <c r="EW20">
        <v>1.87714</v>
      </c>
      <c r="EX20">
        <v>1.8712599999999999</v>
      </c>
      <c r="EY20">
        <v>1.87202</v>
      </c>
      <c r="EZ20">
        <v>1.8716600000000001</v>
      </c>
      <c r="FA20">
        <v>1.86873</v>
      </c>
      <c r="FB20">
        <v>0</v>
      </c>
      <c r="FC20">
        <v>0</v>
      </c>
      <c r="FD20">
        <v>0</v>
      </c>
      <c r="FE20">
        <v>0</v>
      </c>
      <c r="FF20" t="s">
        <v>342</v>
      </c>
      <c r="FG20" t="s">
        <v>343</v>
      </c>
      <c r="FH20" t="s">
        <v>344</v>
      </c>
      <c r="FI20" t="s">
        <v>344</v>
      </c>
      <c r="FJ20" t="s">
        <v>344</v>
      </c>
      <c r="FK20" t="s">
        <v>344</v>
      </c>
      <c r="FL20">
        <v>0</v>
      </c>
      <c r="FM20">
        <v>100</v>
      </c>
      <c r="FN20">
        <v>100</v>
      </c>
      <c r="FO20">
        <v>1.677</v>
      </c>
      <c r="FP20">
        <v>0.29799999999999999</v>
      </c>
      <c r="FQ20">
        <v>0.8741579692767576</v>
      </c>
      <c r="FR20">
        <v>7.0338458001993282E-3</v>
      </c>
      <c r="FS20">
        <v>2.3387658340725169E-6</v>
      </c>
      <c r="FT20">
        <v>-2.2874075696057401E-10</v>
      </c>
      <c r="FU20">
        <v>0.29795999999999978</v>
      </c>
      <c r="FV20">
        <v>0</v>
      </c>
      <c r="FW20">
        <v>0</v>
      </c>
      <c r="FX20">
        <v>0</v>
      </c>
      <c r="FY20">
        <v>3</v>
      </c>
      <c r="FZ20">
        <v>2105</v>
      </c>
      <c r="GA20">
        <v>-1</v>
      </c>
      <c r="GB20">
        <v>-1</v>
      </c>
      <c r="GC20">
        <v>21</v>
      </c>
      <c r="GD20">
        <v>20.9</v>
      </c>
      <c r="GE20">
        <v>0.41870099999999999</v>
      </c>
      <c r="GF20">
        <v>2.6428199999999999</v>
      </c>
      <c r="GG20">
        <v>1.7981</v>
      </c>
      <c r="GH20">
        <v>2.3803700000000001</v>
      </c>
      <c r="GI20">
        <v>1.5979000000000001</v>
      </c>
      <c r="GJ20">
        <v>2.5500500000000001</v>
      </c>
      <c r="GK20">
        <v>34.898499999999999</v>
      </c>
      <c r="GL20">
        <v>24.157499999999999</v>
      </c>
      <c r="GM20">
        <v>18</v>
      </c>
      <c r="GN20">
        <v>366.86700000000002</v>
      </c>
      <c r="GO20">
        <v>668.21799999999996</v>
      </c>
      <c r="GP20">
        <v>25.829899999999999</v>
      </c>
      <c r="GQ20">
        <v>27.7471</v>
      </c>
      <c r="GR20">
        <v>30.0001</v>
      </c>
      <c r="GS20">
        <v>27.6814</v>
      </c>
      <c r="GT20">
        <v>27.715900000000001</v>
      </c>
      <c r="GU20">
        <v>8.3443900000000006</v>
      </c>
      <c r="GV20">
        <v>39.960599999999999</v>
      </c>
      <c r="GW20">
        <v>0</v>
      </c>
      <c r="GX20">
        <v>25.83</v>
      </c>
      <c r="GY20">
        <v>125</v>
      </c>
      <c r="GZ20">
        <v>19.5</v>
      </c>
      <c r="HA20">
        <v>100.41200000000001</v>
      </c>
      <c r="HB20">
        <v>68.215599999999995</v>
      </c>
    </row>
    <row r="21" spans="1:210" x14ac:dyDescent="0.3">
      <c r="A21">
        <v>5</v>
      </c>
      <c r="B21">
        <v>1755009718.0999999</v>
      </c>
      <c r="C21">
        <v>722.09999990463257</v>
      </c>
      <c r="D21" t="s">
        <v>352</v>
      </c>
      <c r="E21" t="s">
        <v>353</v>
      </c>
      <c r="F21">
        <v>15</v>
      </c>
      <c r="G21">
        <v>1755009710.099999</v>
      </c>
      <c r="H21">
        <f t="shared" si="0"/>
        <v>3.9379288359454477E-3</v>
      </c>
      <c r="I21">
        <f t="shared" si="1"/>
        <v>3.9379288359454474</v>
      </c>
      <c r="J21">
        <f t="shared" si="2"/>
        <v>1.4430576107226012</v>
      </c>
      <c r="K21">
        <f t="shared" si="3"/>
        <v>71.122187096774198</v>
      </c>
      <c r="L21">
        <f t="shared" si="4"/>
        <v>67.369944849196429</v>
      </c>
      <c r="M21">
        <f t="shared" si="5"/>
        <v>6.8336406323758974</v>
      </c>
      <c r="N21">
        <f t="shared" si="6"/>
        <v>7.2142476692817725</v>
      </c>
      <c r="O21">
        <f t="shared" si="7"/>
        <v>0.84155245801514023</v>
      </c>
      <c r="P21">
        <f t="shared" si="8"/>
        <v>2.4164824980420061</v>
      </c>
      <c r="Q21">
        <f t="shared" si="9"/>
        <v>0.71592943274416165</v>
      </c>
      <c r="R21">
        <f t="shared" si="10"/>
        <v>0.45725824120257258</v>
      </c>
      <c r="S21">
        <f t="shared" si="11"/>
        <v>225.73961290322569</v>
      </c>
      <c r="T21">
        <f t="shared" si="12"/>
        <v>27.473537021450177</v>
      </c>
      <c r="U21">
        <f t="shared" si="13"/>
        <v>26.084761290322579</v>
      </c>
      <c r="V21">
        <f t="shared" si="14"/>
        <v>3.3912194994186065</v>
      </c>
      <c r="W21">
        <f t="shared" si="15"/>
        <v>79.143337233703932</v>
      </c>
      <c r="X21">
        <f t="shared" si="16"/>
        <v>2.8504504930869374</v>
      </c>
      <c r="Y21">
        <f t="shared" si="17"/>
        <v>3.601630399625158</v>
      </c>
      <c r="Z21">
        <f t="shared" si="18"/>
        <v>0.54076900633166902</v>
      </c>
      <c r="AA21">
        <f t="shared" si="19"/>
        <v>-173.66266166519424</v>
      </c>
      <c r="AB21">
        <f t="shared" si="20"/>
        <v>133.12291509710374</v>
      </c>
      <c r="AC21">
        <f t="shared" si="21"/>
        <v>11.84099741186443</v>
      </c>
      <c r="AD21">
        <f t="shared" si="22"/>
        <v>197.04086374699963</v>
      </c>
      <c r="AE21">
        <f t="shared" si="23"/>
        <v>1.4430576107226012</v>
      </c>
      <c r="AF21">
        <f t="shared" si="24"/>
        <v>3.9379288359454474</v>
      </c>
      <c r="AG21">
        <f t="shared" si="25"/>
        <v>1.4293875114990378</v>
      </c>
      <c r="AH21">
        <v>76.489552658178326</v>
      </c>
      <c r="AI21">
        <v>73.208512727272719</v>
      </c>
      <c r="AJ21">
        <v>1.4825835047877341E-4</v>
      </c>
      <c r="AK21">
        <v>84.018494922715902</v>
      </c>
      <c r="AL21">
        <f t="shared" si="26"/>
        <v>3.9414307906635728</v>
      </c>
      <c r="AM21">
        <v>19.487982872241279</v>
      </c>
      <c r="AN21">
        <v>28.10622992481202</v>
      </c>
      <c r="AO21">
        <v>-7.5934999933583425E-7</v>
      </c>
      <c r="AP21">
        <v>90.505698698760156</v>
      </c>
      <c r="AQ21">
        <v>0</v>
      </c>
      <c r="AR21">
        <v>0</v>
      </c>
      <c r="AS21">
        <f t="shared" si="27"/>
        <v>1</v>
      </c>
      <c r="AT21">
        <f t="shared" si="28"/>
        <v>0</v>
      </c>
      <c r="AU21">
        <f t="shared" si="29"/>
        <v>53559.914699458503</v>
      </c>
      <c r="AV21">
        <f t="shared" si="30"/>
        <v>1188.1032258064511</v>
      </c>
      <c r="AW21">
        <f t="shared" si="31"/>
        <v>950.48258064516085</v>
      </c>
      <c r="AX21">
        <f t="shared" si="32"/>
        <v>0.8</v>
      </c>
      <c r="AY21">
        <f t="shared" si="33"/>
        <v>0.19</v>
      </c>
      <c r="AZ21">
        <v>9</v>
      </c>
      <c r="BA21">
        <v>1.21</v>
      </c>
      <c r="BB21" t="s">
        <v>339</v>
      </c>
      <c r="BC21">
        <v>2</v>
      </c>
      <c r="BD21" t="b">
        <v>0</v>
      </c>
      <c r="BE21">
        <v>1755009710.099999</v>
      </c>
      <c r="BF21">
        <v>71.122187096774198</v>
      </c>
      <c r="BG21">
        <v>74.99890645161291</v>
      </c>
      <c r="BH21">
        <v>28.101374193548391</v>
      </c>
      <c r="BI21">
        <v>19.490748387096779</v>
      </c>
      <c r="BJ21">
        <v>69.746148387096781</v>
      </c>
      <c r="BK21">
        <v>27.803406451612901</v>
      </c>
      <c r="BL21">
        <v>400.03374193548387</v>
      </c>
      <c r="BM21">
        <v>101.3345483870968</v>
      </c>
      <c r="BN21">
        <v>0.1000104161290323</v>
      </c>
      <c r="BO21">
        <v>27.106603225806449</v>
      </c>
      <c r="BP21">
        <v>26.084761290322579</v>
      </c>
      <c r="BQ21">
        <v>999.90000000000032</v>
      </c>
      <c r="BR21">
        <v>0</v>
      </c>
      <c r="BS21">
        <v>0</v>
      </c>
      <c r="BT21">
        <v>9999.2419354838712</v>
      </c>
      <c r="BU21">
        <v>1188.1032258064511</v>
      </c>
      <c r="BV21">
        <v>21.380300000000009</v>
      </c>
      <c r="BW21">
        <v>-3.8767145161290322</v>
      </c>
      <c r="BX21">
        <v>73.178612903225812</v>
      </c>
      <c r="BY21">
        <v>76.489748387096782</v>
      </c>
      <c r="BZ21">
        <v>8.610623225806453</v>
      </c>
      <c r="CA21">
        <v>74.99890645161291</v>
      </c>
      <c r="CB21">
        <v>19.490748387096779</v>
      </c>
      <c r="CC21">
        <v>2.84763935483871</v>
      </c>
      <c r="CD21">
        <v>1.9750861290322581</v>
      </c>
      <c r="CE21">
        <v>23.162877419354839</v>
      </c>
      <c r="CF21">
        <v>17.246006451612899</v>
      </c>
      <c r="CG21">
        <v>1755008282</v>
      </c>
      <c r="CH21" t="s">
        <v>340</v>
      </c>
      <c r="CI21">
        <v>1755008279.5</v>
      </c>
      <c r="CJ21">
        <v>1755008282</v>
      </c>
      <c r="CK21">
        <v>5</v>
      </c>
      <c r="CL21">
        <v>-0.13800000000000001</v>
      </c>
      <c r="CM21">
        <v>0.05</v>
      </c>
      <c r="CN21">
        <v>4.452</v>
      </c>
      <c r="CO21">
        <v>0.29799999999999999</v>
      </c>
      <c r="CP21">
        <v>450</v>
      </c>
      <c r="CQ21">
        <v>20</v>
      </c>
      <c r="CR21">
        <v>0.03</v>
      </c>
      <c r="CS21">
        <v>0.01</v>
      </c>
      <c r="CT21">
        <v>-3.8797726829268289</v>
      </c>
      <c r="CU21">
        <v>8.9767526132399481E-2</v>
      </c>
      <c r="CV21">
        <v>2.1185992038504159E-2</v>
      </c>
      <c r="CW21">
        <v>1</v>
      </c>
      <c r="CX21">
        <v>0</v>
      </c>
      <c r="CY21">
        <v>0</v>
      </c>
      <c r="CZ21">
        <v>0</v>
      </c>
      <c r="DA21">
        <v>-1</v>
      </c>
      <c r="DB21">
        <v>8.6080890243902441</v>
      </c>
      <c r="DC21">
        <v>4.7323693379769237E-2</v>
      </c>
      <c r="DD21">
        <v>5.095199464669754E-3</v>
      </c>
      <c r="DE21">
        <v>1</v>
      </c>
      <c r="DF21">
        <v>2</v>
      </c>
      <c r="DG21">
        <v>2</v>
      </c>
      <c r="DH21" t="s">
        <v>341</v>
      </c>
      <c r="DI21">
        <v>3.0246499999999998</v>
      </c>
      <c r="DJ21">
        <v>2.6913299999999998</v>
      </c>
      <c r="DK21">
        <v>1.9469500000000001E-2</v>
      </c>
      <c r="DL21">
        <v>2.0981699999999999E-2</v>
      </c>
      <c r="DM21">
        <v>0.13333700000000001</v>
      </c>
      <c r="DN21">
        <v>0.104398</v>
      </c>
      <c r="DO21">
        <v>27302.799999999999</v>
      </c>
      <c r="DP21">
        <v>17771.7</v>
      </c>
      <c r="DQ21">
        <v>26421.3</v>
      </c>
      <c r="DR21">
        <v>16485.8</v>
      </c>
      <c r="DS21">
        <v>32557.200000000001</v>
      </c>
      <c r="DT21">
        <v>19295.599999999999</v>
      </c>
      <c r="DU21">
        <v>38493.800000000003</v>
      </c>
      <c r="DV21">
        <v>21859.5</v>
      </c>
      <c r="DW21">
        <v>1.80064</v>
      </c>
      <c r="DX21">
        <v>2.1835399999999998</v>
      </c>
      <c r="DY21">
        <v>6.7463499999999996E-2</v>
      </c>
      <c r="DZ21">
        <v>0</v>
      </c>
      <c r="EA21">
        <v>24.980799999999999</v>
      </c>
      <c r="EB21">
        <v>999.9</v>
      </c>
      <c r="EC21">
        <v>62.5</v>
      </c>
      <c r="ED21">
        <v>31.8</v>
      </c>
      <c r="EE21">
        <v>29.117599999999999</v>
      </c>
      <c r="EF21">
        <v>62.741199999999999</v>
      </c>
      <c r="EG21">
        <v>36.225999999999999</v>
      </c>
      <c r="EH21">
        <v>1</v>
      </c>
      <c r="EI21">
        <v>5.3518299999999998E-2</v>
      </c>
      <c r="EJ21">
        <v>-1.7204799999999999E-2</v>
      </c>
      <c r="EK21">
        <v>20.343499999999999</v>
      </c>
      <c r="EL21">
        <v>5.2527499999999998</v>
      </c>
      <c r="EM21">
        <v>11.962</v>
      </c>
      <c r="EN21">
        <v>4.9897999999999998</v>
      </c>
      <c r="EO21">
        <v>3.2915199999999998</v>
      </c>
      <c r="EP21">
        <v>9999</v>
      </c>
      <c r="EQ21">
        <v>9999</v>
      </c>
      <c r="ER21">
        <v>9999</v>
      </c>
      <c r="ES21">
        <v>999.9</v>
      </c>
      <c r="ET21">
        <v>4.9726600000000003</v>
      </c>
      <c r="EU21">
        <v>1.8717999999999999</v>
      </c>
      <c r="EV21">
        <v>1.87209</v>
      </c>
      <c r="EW21">
        <v>1.87714</v>
      </c>
      <c r="EX21">
        <v>1.87131</v>
      </c>
      <c r="EY21">
        <v>1.8720300000000001</v>
      </c>
      <c r="EZ21">
        <v>1.8716600000000001</v>
      </c>
      <c r="FA21">
        <v>1.86873</v>
      </c>
      <c r="FB21">
        <v>0</v>
      </c>
      <c r="FC21">
        <v>0</v>
      </c>
      <c r="FD21">
        <v>0</v>
      </c>
      <c r="FE21">
        <v>0</v>
      </c>
      <c r="FF21" t="s">
        <v>342</v>
      </c>
      <c r="FG21" t="s">
        <v>343</v>
      </c>
      <c r="FH21" t="s">
        <v>344</v>
      </c>
      <c r="FI21" t="s">
        <v>344</v>
      </c>
      <c r="FJ21" t="s">
        <v>344</v>
      </c>
      <c r="FK21" t="s">
        <v>344</v>
      </c>
      <c r="FL21">
        <v>0</v>
      </c>
      <c r="FM21">
        <v>100</v>
      </c>
      <c r="FN21">
        <v>100</v>
      </c>
      <c r="FO21">
        <v>1.3759999999999999</v>
      </c>
      <c r="FP21">
        <v>0.2979</v>
      </c>
      <c r="FQ21">
        <v>0.8741579692767576</v>
      </c>
      <c r="FR21">
        <v>7.0338458001993282E-3</v>
      </c>
      <c r="FS21">
        <v>2.3387658340725169E-6</v>
      </c>
      <c r="FT21">
        <v>-2.2874075696057401E-10</v>
      </c>
      <c r="FU21">
        <v>0.29795999999999978</v>
      </c>
      <c r="FV21">
        <v>0</v>
      </c>
      <c r="FW21">
        <v>0</v>
      </c>
      <c r="FX21">
        <v>0</v>
      </c>
      <c r="FY21">
        <v>3</v>
      </c>
      <c r="FZ21">
        <v>2105</v>
      </c>
      <c r="GA21">
        <v>-1</v>
      </c>
      <c r="GB21">
        <v>-1</v>
      </c>
      <c r="GC21">
        <v>24</v>
      </c>
      <c r="GD21">
        <v>23.9</v>
      </c>
      <c r="GE21">
        <v>0.30761699999999997</v>
      </c>
      <c r="GF21">
        <v>2.65747</v>
      </c>
      <c r="GG21">
        <v>1.7981</v>
      </c>
      <c r="GH21">
        <v>2.3803700000000001</v>
      </c>
      <c r="GI21">
        <v>1.5979000000000001</v>
      </c>
      <c r="GJ21">
        <v>2.5354000000000001</v>
      </c>
      <c r="GK21">
        <v>34.921399999999998</v>
      </c>
      <c r="GL21">
        <v>24.1663</v>
      </c>
      <c r="GM21">
        <v>18</v>
      </c>
      <c r="GN21">
        <v>366.94299999999998</v>
      </c>
      <c r="GO21">
        <v>668.14</v>
      </c>
      <c r="GP21">
        <v>25.829899999999999</v>
      </c>
      <c r="GQ21">
        <v>27.757000000000001</v>
      </c>
      <c r="GR21">
        <v>30.0002</v>
      </c>
      <c r="GS21">
        <v>27.692900000000002</v>
      </c>
      <c r="GT21">
        <v>27.727699999999999</v>
      </c>
      <c r="GU21">
        <v>6.1340300000000001</v>
      </c>
      <c r="GV21">
        <v>39.960599999999999</v>
      </c>
      <c r="GW21">
        <v>0</v>
      </c>
      <c r="GX21">
        <v>25.83</v>
      </c>
      <c r="GY21">
        <v>75</v>
      </c>
      <c r="GZ21">
        <v>19.5</v>
      </c>
      <c r="HA21">
        <v>100.405</v>
      </c>
      <c r="HB21">
        <v>68.213999999999999</v>
      </c>
    </row>
    <row r="22" spans="1:210" x14ac:dyDescent="0.3">
      <c r="A22">
        <v>6</v>
      </c>
      <c r="B22">
        <v>1755009898.5999999</v>
      </c>
      <c r="C22">
        <v>902.59999990463257</v>
      </c>
      <c r="D22" t="s">
        <v>354</v>
      </c>
      <c r="E22" t="s">
        <v>355</v>
      </c>
      <c r="F22">
        <v>15</v>
      </c>
      <c r="G22">
        <v>1755009890.849999</v>
      </c>
      <c r="H22">
        <f t="shared" si="0"/>
        <v>3.9447504594588324E-3</v>
      </c>
      <c r="I22">
        <f t="shared" si="1"/>
        <v>3.9447504594588323</v>
      </c>
      <c r="J22">
        <f t="shared" si="2"/>
        <v>29.024498026122622</v>
      </c>
      <c r="K22">
        <f t="shared" si="3"/>
        <v>381.30526666666651</v>
      </c>
      <c r="L22">
        <f t="shared" si="4"/>
        <v>315.84189259011595</v>
      </c>
      <c r="M22">
        <f t="shared" si="5"/>
        <v>32.036634289346438</v>
      </c>
      <c r="N22">
        <f t="shared" si="6"/>
        <v>38.676748295244977</v>
      </c>
      <c r="O22">
        <f t="shared" si="7"/>
        <v>0.85667289609402653</v>
      </c>
      <c r="P22">
        <f t="shared" si="8"/>
        <v>2.4160760660363603</v>
      </c>
      <c r="Q22">
        <f t="shared" si="9"/>
        <v>0.72682702427188128</v>
      </c>
      <c r="R22">
        <f t="shared" si="10"/>
        <v>0.46437468650743202</v>
      </c>
      <c r="S22">
        <f t="shared" si="11"/>
        <v>225.70714333333328</v>
      </c>
      <c r="T22">
        <f t="shared" si="12"/>
        <v>27.46264088224849</v>
      </c>
      <c r="U22">
        <f t="shared" si="13"/>
        <v>26.068656666666669</v>
      </c>
      <c r="V22">
        <f t="shared" si="14"/>
        <v>3.3879911845959914</v>
      </c>
      <c r="W22">
        <f t="shared" si="15"/>
        <v>79.29360823468447</v>
      </c>
      <c r="X22">
        <f t="shared" si="16"/>
        <v>2.8544205705669436</v>
      </c>
      <c r="Y22">
        <f t="shared" si="17"/>
        <v>3.5998116797998962</v>
      </c>
      <c r="Z22">
        <f t="shared" si="18"/>
        <v>0.53357061402904771</v>
      </c>
      <c r="AA22">
        <f t="shared" si="19"/>
        <v>-173.9634952621345</v>
      </c>
      <c r="AB22">
        <f t="shared" si="20"/>
        <v>134.0771890330214</v>
      </c>
      <c r="AC22">
        <f t="shared" si="21"/>
        <v>11.926409023917273</v>
      </c>
      <c r="AD22">
        <f t="shared" si="22"/>
        <v>197.74724612813745</v>
      </c>
      <c r="AE22">
        <f t="shared" si="23"/>
        <v>29.024498026122622</v>
      </c>
      <c r="AF22">
        <f t="shared" si="24"/>
        <v>3.9447504594588323</v>
      </c>
      <c r="AG22">
        <f t="shared" si="25"/>
        <v>29.679414650232825</v>
      </c>
      <c r="AH22">
        <v>458.93795041470082</v>
      </c>
      <c r="AI22">
        <v>391.63273939393929</v>
      </c>
      <c r="AJ22">
        <v>-9.3416455655705916E-2</v>
      </c>
      <c r="AK22">
        <v>84.018494922715902</v>
      </c>
      <c r="AL22">
        <f t="shared" si="26"/>
        <v>3.9455911185945807</v>
      </c>
      <c r="AM22">
        <v>19.517387291561668</v>
      </c>
      <c r="AN22">
        <v>28.144325563909749</v>
      </c>
      <c r="AO22">
        <v>1.1259333733888751E-7</v>
      </c>
      <c r="AP22">
        <v>90.505698698760156</v>
      </c>
      <c r="AQ22">
        <v>0</v>
      </c>
      <c r="AR22">
        <v>0</v>
      </c>
      <c r="AS22">
        <f t="shared" si="27"/>
        <v>1</v>
      </c>
      <c r="AT22">
        <f t="shared" si="28"/>
        <v>0</v>
      </c>
      <c r="AU22">
        <f t="shared" si="29"/>
        <v>53547.821901150186</v>
      </c>
      <c r="AV22">
        <f t="shared" si="30"/>
        <v>1187.932333333333</v>
      </c>
      <c r="AW22">
        <f t="shared" si="31"/>
        <v>950.34586666666644</v>
      </c>
      <c r="AX22">
        <f t="shared" si="32"/>
        <v>0.8</v>
      </c>
      <c r="AY22">
        <f t="shared" si="33"/>
        <v>0.19</v>
      </c>
      <c r="AZ22">
        <v>9</v>
      </c>
      <c r="BA22">
        <v>1.21</v>
      </c>
      <c r="BB22" t="s">
        <v>339</v>
      </c>
      <c r="BC22">
        <v>2</v>
      </c>
      <c r="BD22" t="b">
        <v>0</v>
      </c>
      <c r="BE22">
        <v>1755009890.849999</v>
      </c>
      <c r="BF22">
        <v>381.30526666666651</v>
      </c>
      <c r="BG22">
        <v>449.98846666666662</v>
      </c>
      <c r="BH22">
        <v>28.141083333333331</v>
      </c>
      <c r="BI22">
        <v>19.515953333333339</v>
      </c>
      <c r="BJ22">
        <v>377.4552333333333</v>
      </c>
      <c r="BK22">
        <v>27.84312333333332</v>
      </c>
      <c r="BL22">
        <v>400.03649999999999</v>
      </c>
      <c r="BM22">
        <v>101.3325</v>
      </c>
      <c r="BN22">
        <v>0.10000481</v>
      </c>
      <c r="BO22">
        <v>27.097996666666671</v>
      </c>
      <c r="BP22">
        <v>26.068656666666669</v>
      </c>
      <c r="BQ22">
        <v>999.9000000000002</v>
      </c>
      <c r="BR22">
        <v>0</v>
      </c>
      <c r="BS22">
        <v>0</v>
      </c>
      <c r="BT22">
        <v>9996.7999999999993</v>
      </c>
      <c r="BU22">
        <v>1187.932333333333</v>
      </c>
      <c r="BV22">
        <v>21.437300000000011</v>
      </c>
      <c r="BW22">
        <v>-68.683183333333332</v>
      </c>
      <c r="BX22">
        <v>392.34640000000002</v>
      </c>
      <c r="BY22">
        <v>458.94516666666658</v>
      </c>
      <c r="BZ22">
        <v>8.6251246666666663</v>
      </c>
      <c r="CA22">
        <v>449.98846666666662</v>
      </c>
      <c r="CB22">
        <v>19.515953333333339</v>
      </c>
      <c r="CC22">
        <v>2.851605999999999</v>
      </c>
      <c r="CD22">
        <v>1.9776</v>
      </c>
      <c r="CE22">
        <v>23.18591</v>
      </c>
      <c r="CF22">
        <v>17.26613</v>
      </c>
      <c r="CG22">
        <v>1755008282</v>
      </c>
      <c r="CH22" t="s">
        <v>340</v>
      </c>
      <c r="CI22">
        <v>1755008279.5</v>
      </c>
      <c r="CJ22">
        <v>1755008282</v>
      </c>
      <c r="CK22">
        <v>5</v>
      </c>
      <c r="CL22">
        <v>-0.13800000000000001</v>
      </c>
      <c r="CM22">
        <v>0.05</v>
      </c>
      <c r="CN22">
        <v>4.452</v>
      </c>
      <c r="CO22">
        <v>0.29799999999999999</v>
      </c>
      <c r="CP22">
        <v>450</v>
      </c>
      <c r="CQ22">
        <v>20</v>
      </c>
      <c r="CR22">
        <v>0.03</v>
      </c>
      <c r="CS22">
        <v>0.01</v>
      </c>
      <c r="CT22">
        <v>-68.330702500000001</v>
      </c>
      <c r="CU22">
        <v>-6.0463688555345527</v>
      </c>
      <c r="CV22">
        <v>0.58239306936445412</v>
      </c>
      <c r="CW22">
        <v>0</v>
      </c>
      <c r="CX22">
        <v>0</v>
      </c>
      <c r="CY22">
        <v>0</v>
      </c>
      <c r="CZ22">
        <v>0</v>
      </c>
      <c r="DA22">
        <v>-1</v>
      </c>
      <c r="DB22">
        <v>8.6247480000000003</v>
      </c>
      <c r="DC22">
        <v>6.2231144465173943E-3</v>
      </c>
      <c r="DD22">
        <v>1.0374661440258491E-3</v>
      </c>
      <c r="DE22">
        <v>1</v>
      </c>
      <c r="DF22">
        <v>1</v>
      </c>
      <c r="DG22">
        <v>2</v>
      </c>
      <c r="DH22" t="s">
        <v>349</v>
      </c>
      <c r="DI22">
        <v>3.0243699999999998</v>
      </c>
      <c r="DJ22">
        <v>2.6911399999999999</v>
      </c>
      <c r="DK22">
        <v>8.9153499999999997E-2</v>
      </c>
      <c r="DL22">
        <v>0.10247299999999999</v>
      </c>
      <c r="DM22">
        <v>0.13345099999999999</v>
      </c>
      <c r="DN22">
        <v>0.104487</v>
      </c>
      <c r="DO22">
        <v>25363.200000000001</v>
      </c>
      <c r="DP22">
        <v>16291.8</v>
      </c>
      <c r="DQ22">
        <v>26421.8</v>
      </c>
      <c r="DR22">
        <v>16485</v>
      </c>
      <c r="DS22">
        <v>32555.4</v>
      </c>
      <c r="DT22">
        <v>19294.2</v>
      </c>
      <c r="DU22">
        <v>38494.800000000003</v>
      </c>
      <c r="DV22">
        <v>21858.7</v>
      </c>
      <c r="DW22">
        <v>1.8002800000000001</v>
      </c>
      <c r="DX22">
        <v>2.1844000000000001</v>
      </c>
      <c r="DY22">
        <v>6.6906199999999999E-2</v>
      </c>
      <c r="DZ22">
        <v>0</v>
      </c>
      <c r="EA22">
        <v>24.972999999999999</v>
      </c>
      <c r="EB22">
        <v>999.9</v>
      </c>
      <c r="EC22">
        <v>62.4</v>
      </c>
      <c r="ED22">
        <v>31.8</v>
      </c>
      <c r="EE22">
        <v>29.071899999999999</v>
      </c>
      <c r="EF22">
        <v>62.741199999999999</v>
      </c>
      <c r="EG22">
        <v>36.506399999999999</v>
      </c>
      <c r="EH22">
        <v>1</v>
      </c>
      <c r="EI22">
        <v>5.3825199999999997E-2</v>
      </c>
      <c r="EJ22">
        <v>-1.2189500000000001E-2</v>
      </c>
      <c r="EK22">
        <v>20.3432</v>
      </c>
      <c r="EL22">
        <v>5.2496400000000003</v>
      </c>
      <c r="EM22">
        <v>11.962</v>
      </c>
      <c r="EN22">
        <v>4.9896799999999999</v>
      </c>
      <c r="EO22">
        <v>3.2913199999999998</v>
      </c>
      <c r="EP22">
        <v>9999</v>
      </c>
      <c r="EQ22">
        <v>9999</v>
      </c>
      <c r="ER22">
        <v>9999</v>
      </c>
      <c r="ES22">
        <v>999.9</v>
      </c>
      <c r="ET22">
        <v>4.9726499999999998</v>
      </c>
      <c r="EU22">
        <v>1.8717999999999999</v>
      </c>
      <c r="EV22">
        <v>1.8720600000000001</v>
      </c>
      <c r="EW22">
        <v>1.87713</v>
      </c>
      <c r="EX22">
        <v>1.8713</v>
      </c>
      <c r="EY22">
        <v>1.8720699999999999</v>
      </c>
      <c r="EZ22">
        <v>1.8716600000000001</v>
      </c>
      <c r="FA22">
        <v>1.8687199999999999</v>
      </c>
      <c r="FB22">
        <v>0</v>
      </c>
      <c r="FC22">
        <v>0</v>
      </c>
      <c r="FD22">
        <v>0</v>
      </c>
      <c r="FE22">
        <v>0</v>
      </c>
      <c r="FF22" t="s">
        <v>342</v>
      </c>
      <c r="FG22" t="s">
        <v>343</v>
      </c>
      <c r="FH22" t="s">
        <v>344</v>
      </c>
      <c r="FI22" t="s">
        <v>344</v>
      </c>
      <c r="FJ22" t="s">
        <v>344</v>
      </c>
      <c r="FK22" t="s">
        <v>344</v>
      </c>
      <c r="FL22">
        <v>0</v>
      </c>
      <c r="FM22">
        <v>100</v>
      </c>
      <c r="FN22">
        <v>100</v>
      </c>
      <c r="FO22">
        <v>3.843</v>
      </c>
      <c r="FP22">
        <v>0.2979</v>
      </c>
      <c r="FQ22">
        <v>0.8741579692767576</v>
      </c>
      <c r="FR22">
        <v>7.0338458001993282E-3</v>
      </c>
      <c r="FS22">
        <v>2.3387658340725169E-6</v>
      </c>
      <c r="FT22">
        <v>-2.2874075696057401E-10</v>
      </c>
      <c r="FU22">
        <v>0.29795999999999978</v>
      </c>
      <c r="FV22">
        <v>0</v>
      </c>
      <c r="FW22">
        <v>0</v>
      </c>
      <c r="FX22">
        <v>0</v>
      </c>
      <c r="FY22">
        <v>3</v>
      </c>
      <c r="FZ22">
        <v>2105</v>
      </c>
      <c r="GA22">
        <v>-1</v>
      </c>
      <c r="GB22">
        <v>-1</v>
      </c>
      <c r="GC22">
        <v>27</v>
      </c>
      <c r="GD22">
        <v>26.9</v>
      </c>
      <c r="GE22">
        <v>1.09741</v>
      </c>
      <c r="GF22">
        <v>2.65747</v>
      </c>
      <c r="GG22">
        <v>1.7981</v>
      </c>
      <c r="GH22">
        <v>2.3791500000000001</v>
      </c>
      <c r="GI22">
        <v>1.5979000000000001</v>
      </c>
      <c r="GJ22">
        <v>2.4731399999999999</v>
      </c>
      <c r="GK22">
        <v>34.944400000000002</v>
      </c>
      <c r="GL22">
        <v>24.157499999999999</v>
      </c>
      <c r="GM22">
        <v>18</v>
      </c>
      <c r="GN22">
        <v>366.80399999999997</v>
      </c>
      <c r="GO22">
        <v>668.97500000000002</v>
      </c>
      <c r="GP22">
        <v>25.830200000000001</v>
      </c>
      <c r="GQ22">
        <v>27.763999999999999</v>
      </c>
      <c r="GR22">
        <v>30.0001</v>
      </c>
      <c r="GS22">
        <v>27.7</v>
      </c>
      <c r="GT22">
        <v>27.7348</v>
      </c>
      <c r="GU22">
        <v>21.909700000000001</v>
      </c>
      <c r="GV22">
        <v>39.960599999999999</v>
      </c>
      <c r="GW22">
        <v>0</v>
      </c>
      <c r="GX22">
        <v>25.83</v>
      </c>
      <c r="GY22">
        <v>450</v>
      </c>
      <c r="GZ22">
        <v>19.5</v>
      </c>
      <c r="HA22">
        <v>100.407</v>
      </c>
      <c r="HB22">
        <v>68.211200000000005</v>
      </c>
    </row>
    <row r="23" spans="1:210" x14ac:dyDescent="0.3">
      <c r="A23">
        <v>7</v>
      </c>
      <c r="B23">
        <v>1755010079.0999999</v>
      </c>
      <c r="C23">
        <v>1083.099999904633</v>
      </c>
      <c r="D23" t="s">
        <v>356</v>
      </c>
      <c r="E23" t="s">
        <v>357</v>
      </c>
      <c r="F23">
        <v>15</v>
      </c>
      <c r="G23">
        <v>1755010071.349999</v>
      </c>
      <c r="H23">
        <f t="shared" si="0"/>
        <v>3.9749125649394526E-3</v>
      </c>
      <c r="I23">
        <f t="shared" si="1"/>
        <v>3.9749125649394528</v>
      </c>
      <c r="J23">
        <f t="shared" si="2"/>
        <v>32.847672712738031</v>
      </c>
      <c r="K23">
        <f t="shared" si="3"/>
        <v>372.7668666666666</v>
      </c>
      <c r="L23">
        <f t="shared" si="4"/>
        <v>301.32174657101854</v>
      </c>
      <c r="M23">
        <f t="shared" si="5"/>
        <v>30.56416566383167</v>
      </c>
      <c r="N23">
        <f t="shared" si="6"/>
        <v>37.811105227024029</v>
      </c>
      <c r="O23">
        <f t="shared" si="7"/>
        <v>0.8868251825658211</v>
      </c>
      <c r="P23">
        <f t="shared" si="8"/>
        <v>2.4170282778757404</v>
      </c>
      <c r="Q23">
        <f t="shared" si="9"/>
        <v>0.74846709894311247</v>
      </c>
      <c r="R23">
        <f t="shared" si="10"/>
        <v>0.47851265861530845</v>
      </c>
      <c r="S23">
        <f t="shared" si="11"/>
        <v>225.73558000000003</v>
      </c>
      <c r="T23">
        <f t="shared" si="12"/>
        <v>27.446554306600909</v>
      </c>
      <c r="U23">
        <f t="shared" si="13"/>
        <v>26.068339999999999</v>
      </c>
      <c r="V23">
        <f t="shared" si="14"/>
        <v>3.3879277328673476</v>
      </c>
      <c r="W23">
        <f t="shared" si="15"/>
        <v>79.642721923303881</v>
      </c>
      <c r="X23">
        <f t="shared" si="16"/>
        <v>2.8658462648465952</v>
      </c>
      <c r="Y23">
        <f t="shared" si="17"/>
        <v>3.59837810114829</v>
      </c>
      <c r="Z23">
        <f t="shared" si="18"/>
        <v>0.52208146802075239</v>
      </c>
      <c r="AA23">
        <f t="shared" si="19"/>
        <v>-175.29364411382986</v>
      </c>
      <c r="AB23">
        <f t="shared" si="20"/>
        <v>133.28694568501712</v>
      </c>
      <c r="AC23">
        <f t="shared" si="21"/>
        <v>11.851022671594345</v>
      </c>
      <c r="AD23">
        <f t="shared" si="22"/>
        <v>195.57990424278162</v>
      </c>
      <c r="AE23">
        <f t="shared" si="23"/>
        <v>32.847672712738031</v>
      </c>
      <c r="AF23">
        <f t="shared" si="24"/>
        <v>3.9749125649394528</v>
      </c>
      <c r="AG23">
        <f t="shared" si="25"/>
        <v>32.898164460851817</v>
      </c>
      <c r="AH23">
        <v>458.97489172982722</v>
      </c>
      <c r="AI23">
        <v>383.50366060606058</v>
      </c>
      <c r="AJ23">
        <v>-2.0718240435445541E-3</v>
      </c>
      <c r="AK23">
        <v>84.018494922715902</v>
      </c>
      <c r="AL23">
        <f t="shared" si="26"/>
        <v>3.9775780432724903</v>
      </c>
      <c r="AM23">
        <v>19.564672303579691</v>
      </c>
      <c r="AN23">
        <v>28.260250676691719</v>
      </c>
      <c r="AO23">
        <v>2.276169283497819E-6</v>
      </c>
      <c r="AP23">
        <v>90.505698698760156</v>
      </c>
      <c r="AQ23">
        <v>0</v>
      </c>
      <c r="AR23">
        <v>0</v>
      </c>
      <c r="AS23">
        <f t="shared" si="27"/>
        <v>1</v>
      </c>
      <c r="AT23">
        <f t="shared" si="28"/>
        <v>0</v>
      </c>
      <c r="AU23">
        <f t="shared" si="29"/>
        <v>53580.88610506057</v>
      </c>
      <c r="AV23">
        <f t="shared" si="30"/>
        <v>1188.0820000000001</v>
      </c>
      <c r="AW23">
        <f t="shared" si="31"/>
        <v>950.46560000000011</v>
      </c>
      <c r="AX23">
        <f t="shared" si="32"/>
        <v>0.8</v>
      </c>
      <c r="AY23">
        <f t="shared" si="33"/>
        <v>0.19</v>
      </c>
      <c r="AZ23">
        <v>9</v>
      </c>
      <c r="BA23">
        <v>1.21</v>
      </c>
      <c r="BB23" t="s">
        <v>339</v>
      </c>
      <c r="BC23">
        <v>2</v>
      </c>
      <c r="BD23" t="b">
        <v>0</v>
      </c>
      <c r="BE23">
        <v>1755010071.349999</v>
      </c>
      <c r="BF23">
        <v>372.7668666666666</v>
      </c>
      <c r="BG23">
        <v>449.99880000000002</v>
      </c>
      <c r="BH23">
        <v>28.25340666666666</v>
      </c>
      <c r="BI23">
        <v>19.563573333333331</v>
      </c>
      <c r="BJ23">
        <v>368.99043333333333</v>
      </c>
      <c r="BK23">
        <v>27.955463333333331</v>
      </c>
      <c r="BL23">
        <v>400.04759999999999</v>
      </c>
      <c r="BM23">
        <v>101.3336333333333</v>
      </c>
      <c r="BN23">
        <v>0.1000202666666667</v>
      </c>
      <c r="BO23">
        <v>27.09121</v>
      </c>
      <c r="BP23">
        <v>26.068339999999999</v>
      </c>
      <c r="BQ23">
        <v>999.9000000000002</v>
      </c>
      <c r="BR23">
        <v>0</v>
      </c>
      <c r="BS23">
        <v>0</v>
      </c>
      <c r="BT23">
        <v>10002.88333333333</v>
      </c>
      <c r="BU23">
        <v>1188.0820000000001</v>
      </c>
      <c r="BV23">
        <v>21.437300000000011</v>
      </c>
      <c r="BW23">
        <v>-77.231983333333332</v>
      </c>
      <c r="BX23">
        <v>383.6051333333333</v>
      </c>
      <c r="BY23">
        <v>458.97813333333329</v>
      </c>
      <c r="BZ23">
        <v>8.6898490000000006</v>
      </c>
      <c r="CA23">
        <v>449.99880000000002</v>
      </c>
      <c r="CB23">
        <v>19.563573333333331</v>
      </c>
      <c r="CC23">
        <v>2.8630230000000001</v>
      </c>
      <c r="CD23">
        <v>1.982448666666667</v>
      </c>
      <c r="CE23">
        <v>23.252029999999991</v>
      </c>
      <c r="CF23">
        <v>17.304843333333331</v>
      </c>
      <c r="CG23">
        <v>1755008282</v>
      </c>
      <c r="CH23" t="s">
        <v>340</v>
      </c>
      <c r="CI23">
        <v>1755008279.5</v>
      </c>
      <c r="CJ23">
        <v>1755008282</v>
      </c>
      <c r="CK23">
        <v>5</v>
      </c>
      <c r="CL23">
        <v>-0.13800000000000001</v>
      </c>
      <c r="CM23">
        <v>0.05</v>
      </c>
      <c r="CN23">
        <v>4.452</v>
      </c>
      <c r="CO23">
        <v>0.29799999999999999</v>
      </c>
      <c r="CP23">
        <v>450</v>
      </c>
      <c r="CQ23">
        <v>20</v>
      </c>
      <c r="CR23">
        <v>0.03</v>
      </c>
      <c r="CS23">
        <v>0.01</v>
      </c>
      <c r="CT23">
        <v>-77.162090243902441</v>
      </c>
      <c r="CU23">
        <v>-1.060369337979131</v>
      </c>
      <c r="CV23">
        <v>0.1077469999692772</v>
      </c>
      <c r="CW23">
        <v>0</v>
      </c>
      <c r="CX23">
        <v>0</v>
      </c>
      <c r="CY23">
        <v>0</v>
      </c>
      <c r="CZ23">
        <v>0</v>
      </c>
      <c r="DA23">
        <v>-1</v>
      </c>
      <c r="DB23">
        <v>8.6888529268292682</v>
      </c>
      <c r="DC23">
        <v>1.37471080139163E-2</v>
      </c>
      <c r="DD23">
        <v>1.892734818247641E-3</v>
      </c>
      <c r="DE23">
        <v>1</v>
      </c>
      <c r="DF23">
        <v>1</v>
      </c>
      <c r="DG23">
        <v>2</v>
      </c>
      <c r="DH23" t="s">
        <v>349</v>
      </c>
      <c r="DI23">
        <v>3.0246900000000001</v>
      </c>
      <c r="DJ23">
        <v>2.6911900000000002</v>
      </c>
      <c r="DK23">
        <v>8.7713899999999997E-2</v>
      </c>
      <c r="DL23">
        <v>0.102474</v>
      </c>
      <c r="DM23">
        <v>0.13383100000000001</v>
      </c>
      <c r="DN23">
        <v>0.104646</v>
      </c>
      <c r="DO23">
        <v>25403.5</v>
      </c>
      <c r="DP23">
        <v>16291.5</v>
      </c>
      <c r="DQ23">
        <v>26422.1</v>
      </c>
      <c r="DR23">
        <v>16484.7</v>
      </c>
      <c r="DS23">
        <v>32540.9</v>
      </c>
      <c r="DT23">
        <v>19290.400000000001</v>
      </c>
      <c r="DU23">
        <v>38495</v>
      </c>
      <c r="DV23">
        <v>21858.3</v>
      </c>
      <c r="DW23">
        <v>1.8007</v>
      </c>
      <c r="DX23">
        <v>2.1839599999999999</v>
      </c>
      <c r="DY23">
        <v>6.7371100000000003E-2</v>
      </c>
      <c r="DZ23">
        <v>0</v>
      </c>
      <c r="EA23">
        <v>24.972999999999999</v>
      </c>
      <c r="EB23">
        <v>999.9</v>
      </c>
      <c r="EC23">
        <v>62.6</v>
      </c>
      <c r="ED23">
        <v>31.8</v>
      </c>
      <c r="EE23">
        <v>29.166499999999999</v>
      </c>
      <c r="EF23">
        <v>62.611199999999997</v>
      </c>
      <c r="EG23">
        <v>36.225999999999999</v>
      </c>
      <c r="EH23">
        <v>1</v>
      </c>
      <c r="EI23">
        <v>5.4014199999999998E-2</v>
      </c>
      <c r="EJ23">
        <v>-1.3780000000000001E-2</v>
      </c>
      <c r="EK23">
        <v>20.343800000000002</v>
      </c>
      <c r="EL23">
        <v>5.25251</v>
      </c>
      <c r="EM23">
        <v>11.962</v>
      </c>
      <c r="EN23">
        <v>4.9898800000000003</v>
      </c>
      <c r="EO23">
        <v>3.2914599999999998</v>
      </c>
      <c r="EP23">
        <v>9999</v>
      </c>
      <c r="EQ23">
        <v>9999</v>
      </c>
      <c r="ER23">
        <v>9999</v>
      </c>
      <c r="ES23">
        <v>999.9</v>
      </c>
      <c r="ET23">
        <v>4.9726800000000004</v>
      </c>
      <c r="EU23">
        <v>1.8717999999999999</v>
      </c>
      <c r="EV23">
        <v>1.8720699999999999</v>
      </c>
      <c r="EW23">
        <v>1.87714</v>
      </c>
      <c r="EX23">
        <v>1.8713299999999999</v>
      </c>
      <c r="EY23">
        <v>1.87202</v>
      </c>
      <c r="EZ23">
        <v>1.8716699999999999</v>
      </c>
      <c r="FA23">
        <v>1.8687100000000001</v>
      </c>
      <c r="FB23">
        <v>0</v>
      </c>
      <c r="FC23">
        <v>0</v>
      </c>
      <c r="FD23">
        <v>0</v>
      </c>
      <c r="FE23">
        <v>0</v>
      </c>
      <c r="FF23" t="s">
        <v>342</v>
      </c>
      <c r="FG23" t="s">
        <v>343</v>
      </c>
      <c r="FH23" t="s">
        <v>344</v>
      </c>
      <c r="FI23" t="s">
        <v>344</v>
      </c>
      <c r="FJ23" t="s">
        <v>344</v>
      </c>
      <c r="FK23" t="s">
        <v>344</v>
      </c>
      <c r="FL23">
        <v>0</v>
      </c>
      <c r="FM23">
        <v>100</v>
      </c>
      <c r="FN23">
        <v>100</v>
      </c>
      <c r="FO23">
        <v>3.7759999999999998</v>
      </c>
      <c r="FP23">
        <v>0.29799999999999999</v>
      </c>
      <c r="FQ23">
        <v>0.8741579692767576</v>
      </c>
      <c r="FR23">
        <v>7.0338458001993282E-3</v>
      </c>
      <c r="FS23">
        <v>2.3387658340725169E-6</v>
      </c>
      <c r="FT23">
        <v>-2.2874075696057401E-10</v>
      </c>
      <c r="FU23">
        <v>0.29795999999999978</v>
      </c>
      <c r="FV23">
        <v>0</v>
      </c>
      <c r="FW23">
        <v>0</v>
      </c>
      <c r="FX23">
        <v>0</v>
      </c>
      <c r="FY23">
        <v>3</v>
      </c>
      <c r="FZ23">
        <v>2105</v>
      </c>
      <c r="GA23">
        <v>-1</v>
      </c>
      <c r="GB23">
        <v>-1</v>
      </c>
      <c r="GC23">
        <v>30</v>
      </c>
      <c r="GD23">
        <v>30</v>
      </c>
      <c r="GE23">
        <v>1.09619</v>
      </c>
      <c r="GF23">
        <v>2.64771</v>
      </c>
      <c r="GG23">
        <v>1.7981</v>
      </c>
      <c r="GH23">
        <v>2.3791500000000001</v>
      </c>
      <c r="GI23">
        <v>1.5979000000000001</v>
      </c>
      <c r="GJ23">
        <v>2.4633799999999999</v>
      </c>
      <c r="GK23">
        <v>34.944400000000002</v>
      </c>
      <c r="GL23">
        <v>24.157499999999999</v>
      </c>
      <c r="GM23">
        <v>18</v>
      </c>
      <c r="GN23">
        <v>367.05099999999999</v>
      </c>
      <c r="GO23">
        <v>668.65099999999995</v>
      </c>
      <c r="GP23">
        <v>25.830100000000002</v>
      </c>
      <c r="GQ23">
        <v>27.766400000000001</v>
      </c>
      <c r="GR23">
        <v>30.0001</v>
      </c>
      <c r="GS23">
        <v>27.704599999999999</v>
      </c>
      <c r="GT23">
        <v>27.7395</v>
      </c>
      <c r="GU23">
        <v>21.9068</v>
      </c>
      <c r="GV23">
        <v>40.246299999999998</v>
      </c>
      <c r="GW23">
        <v>0</v>
      </c>
      <c r="GX23">
        <v>25.83</v>
      </c>
      <c r="GY23">
        <v>450</v>
      </c>
      <c r="GZ23">
        <v>19.5</v>
      </c>
      <c r="HA23">
        <v>100.408</v>
      </c>
      <c r="HB23">
        <v>68.210099999999997</v>
      </c>
    </row>
    <row r="24" spans="1:210" x14ac:dyDescent="0.3">
      <c r="A24">
        <v>8</v>
      </c>
      <c r="B24">
        <v>1755010259.5999999</v>
      </c>
      <c r="C24">
        <v>1263.599999904633</v>
      </c>
      <c r="D24" t="s">
        <v>358</v>
      </c>
      <c r="E24" t="s">
        <v>359</v>
      </c>
      <c r="F24">
        <v>15</v>
      </c>
      <c r="G24">
        <v>1755010251.849999</v>
      </c>
      <c r="H24">
        <f t="shared" si="0"/>
        <v>4.0371278136774481E-3</v>
      </c>
      <c r="I24">
        <f t="shared" si="1"/>
        <v>4.037127813677448</v>
      </c>
      <c r="J24">
        <f t="shared" si="2"/>
        <v>33.783702557977648</v>
      </c>
      <c r="K24">
        <f t="shared" si="3"/>
        <v>370.62450000000013</v>
      </c>
      <c r="L24">
        <f t="shared" si="4"/>
        <v>299.30935678231543</v>
      </c>
      <c r="M24">
        <f t="shared" si="5"/>
        <v>30.358784428998018</v>
      </c>
      <c r="N24">
        <f t="shared" si="6"/>
        <v>37.592240418292128</v>
      </c>
      <c r="O24">
        <f t="shared" si="7"/>
        <v>0.9174147304517275</v>
      </c>
      <c r="P24">
        <f t="shared" si="8"/>
        <v>2.4166290182017018</v>
      </c>
      <c r="Q24">
        <f t="shared" si="9"/>
        <v>0.77012427440024833</v>
      </c>
      <c r="R24">
        <f t="shared" si="10"/>
        <v>0.49268647970035462</v>
      </c>
      <c r="S24">
        <f t="shared" si="11"/>
        <v>225.69536333333329</v>
      </c>
      <c r="T24">
        <f t="shared" si="12"/>
        <v>27.426527100931207</v>
      </c>
      <c r="U24">
        <f t="shared" si="13"/>
        <v>26.065236666666671</v>
      </c>
      <c r="V24">
        <f t="shared" si="14"/>
        <v>3.3873059608483262</v>
      </c>
      <c r="W24">
        <f t="shared" si="15"/>
        <v>79.815950079766466</v>
      </c>
      <c r="X24">
        <f t="shared" si="16"/>
        <v>2.872001004032334</v>
      </c>
      <c r="Y24">
        <f t="shared" si="17"/>
        <v>3.5982795433270089</v>
      </c>
      <c r="Z24">
        <f t="shared" si="18"/>
        <v>0.5153049568159922</v>
      </c>
      <c r="AA24">
        <f t="shared" si="19"/>
        <v>-178.03733658317546</v>
      </c>
      <c r="AB24">
        <f t="shared" si="20"/>
        <v>133.60844744052679</v>
      </c>
      <c r="AC24">
        <f t="shared" si="21"/>
        <v>11.881359019561735</v>
      </c>
      <c r="AD24">
        <f t="shared" si="22"/>
        <v>193.14783321024635</v>
      </c>
      <c r="AE24">
        <f t="shared" si="23"/>
        <v>33.783702557977648</v>
      </c>
      <c r="AF24">
        <f t="shared" si="24"/>
        <v>4.037127813677448</v>
      </c>
      <c r="AG24">
        <f t="shared" si="25"/>
        <v>33.800824944827767</v>
      </c>
      <c r="AH24">
        <v>458.95958963099292</v>
      </c>
      <c r="AI24">
        <v>381.39692727272723</v>
      </c>
      <c r="AJ24">
        <v>6.8482187452199254E-4</v>
      </c>
      <c r="AK24">
        <v>84.018494922715902</v>
      </c>
      <c r="AL24">
        <f t="shared" si="26"/>
        <v>4.0369372755806552</v>
      </c>
      <c r="AM24">
        <v>19.48955836198239</v>
      </c>
      <c r="AN24">
        <v>28.31470150375938</v>
      </c>
      <c r="AO24">
        <v>1.6729902649245481E-6</v>
      </c>
      <c r="AP24">
        <v>90.505698698760156</v>
      </c>
      <c r="AQ24">
        <v>0</v>
      </c>
      <c r="AR24">
        <v>0</v>
      </c>
      <c r="AS24">
        <f t="shared" si="27"/>
        <v>1</v>
      </c>
      <c r="AT24">
        <f t="shared" si="28"/>
        <v>0</v>
      </c>
      <c r="AU24">
        <f t="shared" si="29"/>
        <v>53567.532436145055</v>
      </c>
      <c r="AV24">
        <f t="shared" si="30"/>
        <v>1187.8703333333331</v>
      </c>
      <c r="AW24">
        <f t="shared" si="31"/>
        <v>950.2962666666665</v>
      </c>
      <c r="AX24">
        <f t="shared" si="32"/>
        <v>0.8</v>
      </c>
      <c r="AY24">
        <f t="shared" si="33"/>
        <v>0.19</v>
      </c>
      <c r="AZ24">
        <v>9</v>
      </c>
      <c r="BA24">
        <v>1.21</v>
      </c>
      <c r="BB24" t="s">
        <v>339</v>
      </c>
      <c r="BC24">
        <v>2</v>
      </c>
      <c r="BD24" t="b">
        <v>0</v>
      </c>
      <c r="BE24">
        <v>1755010251.849999</v>
      </c>
      <c r="BF24">
        <v>370.62450000000013</v>
      </c>
      <c r="BG24">
        <v>449.99753333333331</v>
      </c>
      <c r="BH24">
        <v>28.315256666666659</v>
      </c>
      <c r="BI24">
        <v>19.489686666666671</v>
      </c>
      <c r="BJ24">
        <v>366.86630000000008</v>
      </c>
      <c r="BK24">
        <v>28.01728</v>
      </c>
      <c r="BL24">
        <v>400.03466666666668</v>
      </c>
      <c r="BM24">
        <v>101.3294333333334</v>
      </c>
      <c r="BN24">
        <v>0.1000199766666667</v>
      </c>
      <c r="BO24">
        <v>27.090743333333329</v>
      </c>
      <c r="BP24">
        <v>26.065236666666671</v>
      </c>
      <c r="BQ24">
        <v>999.9000000000002</v>
      </c>
      <c r="BR24">
        <v>0</v>
      </c>
      <c r="BS24">
        <v>0</v>
      </c>
      <c r="BT24">
        <v>10000.700000000001</v>
      </c>
      <c r="BU24">
        <v>1187.8703333333331</v>
      </c>
      <c r="BV24">
        <v>21.437300000000011</v>
      </c>
      <c r="BW24">
        <v>-79.373036666666636</v>
      </c>
      <c r="BX24">
        <v>381.42460000000011</v>
      </c>
      <c r="BY24">
        <v>458.94213333333329</v>
      </c>
      <c r="BZ24">
        <v>8.8255646666666667</v>
      </c>
      <c r="CA24">
        <v>449.99753333333331</v>
      </c>
      <c r="CB24">
        <v>19.489686666666671</v>
      </c>
      <c r="CC24">
        <v>2.8691706666666672</v>
      </c>
      <c r="CD24">
        <v>1.9748803333333329</v>
      </c>
      <c r="CE24">
        <v>23.287543333333339</v>
      </c>
      <c r="CF24">
        <v>17.24436</v>
      </c>
      <c r="CG24">
        <v>1755008282</v>
      </c>
      <c r="CH24" t="s">
        <v>340</v>
      </c>
      <c r="CI24">
        <v>1755008279.5</v>
      </c>
      <c r="CJ24">
        <v>1755008282</v>
      </c>
      <c r="CK24">
        <v>5</v>
      </c>
      <c r="CL24">
        <v>-0.13800000000000001</v>
      </c>
      <c r="CM24">
        <v>0.05</v>
      </c>
      <c r="CN24">
        <v>4.452</v>
      </c>
      <c r="CO24">
        <v>0.29799999999999999</v>
      </c>
      <c r="CP24">
        <v>450</v>
      </c>
      <c r="CQ24">
        <v>20</v>
      </c>
      <c r="CR24">
        <v>0.03</v>
      </c>
      <c r="CS24">
        <v>0.01</v>
      </c>
      <c r="CT24">
        <v>-79.345532500000004</v>
      </c>
      <c r="CU24">
        <v>-0.58365816135063087</v>
      </c>
      <c r="CV24">
        <v>6.4803562353854163E-2</v>
      </c>
      <c r="CW24">
        <v>0</v>
      </c>
      <c r="CX24">
        <v>0</v>
      </c>
      <c r="CY24">
        <v>0</v>
      </c>
      <c r="CZ24">
        <v>0</v>
      </c>
      <c r="DA24">
        <v>-1</v>
      </c>
      <c r="DB24">
        <v>8.8249022499999992</v>
      </c>
      <c r="DC24">
        <v>2.391861163226093E-2</v>
      </c>
      <c r="DD24">
        <v>3.4023598336301582E-3</v>
      </c>
      <c r="DE24">
        <v>1</v>
      </c>
      <c r="DF24">
        <v>1</v>
      </c>
      <c r="DG24">
        <v>2</v>
      </c>
      <c r="DH24" t="s">
        <v>349</v>
      </c>
      <c r="DI24">
        <v>3.0246400000000002</v>
      </c>
      <c r="DJ24">
        <v>2.69156</v>
      </c>
      <c r="DK24">
        <v>8.7327199999999994E-2</v>
      </c>
      <c r="DL24">
        <v>0.10247100000000001</v>
      </c>
      <c r="DM24">
        <v>0.13401399999999999</v>
      </c>
      <c r="DN24">
        <v>0.104376</v>
      </c>
      <c r="DO24">
        <v>25412.9</v>
      </c>
      <c r="DP24">
        <v>16292.2</v>
      </c>
      <c r="DQ24">
        <v>26420.6</v>
      </c>
      <c r="DR24">
        <v>16485.3</v>
      </c>
      <c r="DS24">
        <v>32532.400000000001</v>
      </c>
      <c r="DT24">
        <v>19297</v>
      </c>
      <c r="DU24">
        <v>38493.300000000003</v>
      </c>
      <c r="DV24">
        <v>21859.200000000001</v>
      </c>
      <c r="DW24">
        <v>1.8008999999999999</v>
      </c>
      <c r="DX24">
        <v>2.1835599999999999</v>
      </c>
      <c r="DY24">
        <v>6.6614199999999998E-2</v>
      </c>
      <c r="DZ24">
        <v>0</v>
      </c>
      <c r="EA24">
        <v>24.972999999999999</v>
      </c>
      <c r="EB24">
        <v>999.9</v>
      </c>
      <c r="EC24">
        <v>62.7</v>
      </c>
      <c r="ED24">
        <v>31.8</v>
      </c>
      <c r="EE24">
        <v>29.213999999999999</v>
      </c>
      <c r="EF24">
        <v>62.851199999999999</v>
      </c>
      <c r="EG24">
        <v>36.414299999999997</v>
      </c>
      <c r="EH24">
        <v>1</v>
      </c>
      <c r="EI24">
        <v>5.4530500000000003E-2</v>
      </c>
      <c r="EJ24">
        <v>-1.1361700000000001E-2</v>
      </c>
      <c r="EK24">
        <v>20.343399999999999</v>
      </c>
      <c r="EL24">
        <v>5.25047</v>
      </c>
      <c r="EM24">
        <v>11.962</v>
      </c>
      <c r="EN24">
        <v>4.9897200000000002</v>
      </c>
      <c r="EO24">
        <v>3.29114</v>
      </c>
      <c r="EP24">
        <v>9999</v>
      </c>
      <c r="EQ24">
        <v>9999</v>
      </c>
      <c r="ER24">
        <v>9999</v>
      </c>
      <c r="ES24">
        <v>999.9</v>
      </c>
      <c r="ET24">
        <v>4.9726699999999999</v>
      </c>
      <c r="EU24">
        <v>1.8717999999999999</v>
      </c>
      <c r="EV24">
        <v>1.87209</v>
      </c>
      <c r="EW24">
        <v>1.87713</v>
      </c>
      <c r="EX24">
        <v>1.8713200000000001</v>
      </c>
      <c r="EY24">
        <v>1.8720600000000001</v>
      </c>
      <c r="EZ24">
        <v>1.87165</v>
      </c>
      <c r="FA24">
        <v>1.8687100000000001</v>
      </c>
      <c r="FB24">
        <v>0</v>
      </c>
      <c r="FC24">
        <v>0</v>
      </c>
      <c r="FD24">
        <v>0</v>
      </c>
      <c r="FE24">
        <v>0</v>
      </c>
      <c r="FF24" t="s">
        <v>342</v>
      </c>
      <c r="FG24" t="s">
        <v>343</v>
      </c>
      <c r="FH24" t="s">
        <v>344</v>
      </c>
      <c r="FI24" t="s">
        <v>344</v>
      </c>
      <c r="FJ24" t="s">
        <v>344</v>
      </c>
      <c r="FK24" t="s">
        <v>344</v>
      </c>
      <c r="FL24">
        <v>0</v>
      </c>
      <c r="FM24">
        <v>100</v>
      </c>
      <c r="FN24">
        <v>100</v>
      </c>
      <c r="FO24">
        <v>3.758</v>
      </c>
      <c r="FP24">
        <v>0.29799999999999999</v>
      </c>
      <c r="FQ24">
        <v>0.8741579692767576</v>
      </c>
      <c r="FR24">
        <v>7.0338458001993282E-3</v>
      </c>
      <c r="FS24">
        <v>2.3387658340725169E-6</v>
      </c>
      <c r="FT24">
        <v>-2.2874075696057401E-10</v>
      </c>
      <c r="FU24">
        <v>0.29795999999999978</v>
      </c>
      <c r="FV24">
        <v>0</v>
      </c>
      <c r="FW24">
        <v>0</v>
      </c>
      <c r="FX24">
        <v>0</v>
      </c>
      <c r="FY24">
        <v>3</v>
      </c>
      <c r="FZ24">
        <v>2105</v>
      </c>
      <c r="GA24">
        <v>-1</v>
      </c>
      <c r="GB24">
        <v>-1</v>
      </c>
      <c r="GC24">
        <v>33</v>
      </c>
      <c r="GD24">
        <v>33</v>
      </c>
      <c r="GE24">
        <v>1.09619</v>
      </c>
      <c r="GF24">
        <v>2.65747</v>
      </c>
      <c r="GG24">
        <v>1.7981</v>
      </c>
      <c r="GH24">
        <v>2.3803700000000001</v>
      </c>
      <c r="GI24">
        <v>1.5979000000000001</v>
      </c>
      <c r="GJ24">
        <v>2.3974600000000001</v>
      </c>
      <c r="GK24">
        <v>34.944400000000002</v>
      </c>
      <c r="GL24">
        <v>24.157499999999999</v>
      </c>
      <c r="GM24">
        <v>18</v>
      </c>
      <c r="GN24">
        <v>367.2</v>
      </c>
      <c r="GO24">
        <v>668.39300000000003</v>
      </c>
      <c r="GP24">
        <v>25.83</v>
      </c>
      <c r="GQ24">
        <v>27.773499999999999</v>
      </c>
      <c r="GR24">
        <v>30.0002</v>
      </c>
      <c r="GS24">
        <v>27.711600000000001</v>
      </c>
      <c r="GT24">
        <v>27.746500000000001</v>
      </c>
      <c r="GU24">
        <v>21.9053</v>
      </c>
      <c r="GV24">
        <v>40.246299999999998</v>
      </c>
      <c r="GW24">
        <v>0</v>
      </c>
      <c r="GX24">
        <v>25.83</v>
      </c>
      <c r="GY24">
        <v>450</v>
      </c>
      <c r="GZ24">
        <v>19.5</v>
      </c>
      <c r="HA24">
        <v>100.40300000000001</v>
      </c>
      <c r="HB24">
        <v>68.212699999999998</v>
      </c>
    </row>
    <row r="25" spans="1:210" x14ac:dyDescent="0.3">
      <c r="A25">
        <v>9</v>
      </c>
      <c r="B25">
        <v>1755010440.0999999</v>
      </c>
      <c r="C25">
        <v>1444.099999904633</v>
      </c>
      <c r="D25" t="s">
        <v>360</v>
      </c>
      <c r="E25" t="s">
        <v>361</v>
      </c>
      <c r="F25">
        <v>15</v>
      </c>
      <c r="G25">
        <v>1755010432.349999</v>
      </c>
      <c r="H25">
        <f t="shared" si="0"/>
        <v>4.0503707067950324E-3</v>
      </c>
      <c r="I25">
        <f t="shared" si="1"/>
        <v>4.0503707067950323</v>
      </c>
      <c r="J25">
        <f t="shared" si="2"/>
        <v>41.543017078772699</v>
      </c>
      <c r="K25">
        <f t="shared" si="3"/>
        <v>501.94539999999989</v>
      </c>
      <c r="L25">
        <f t="shared" si="4"/>
        <v>415.13835799845918</v>
      </c>
      <c r="M25">
        <f t="shared" si="5"/>
        <v>42.106747352705405</v>
      </c>
      <c r="N25">
        <f t="shared" si="6"/>
        <v>50.911431659926485</v>
      </c>
      <c r="O25">
        <f t="shared" si="7"/>
        <v>0.93322435111979696</v>
      </c>
      <c r="P25">
        <f t="shared" si="8"/>
        <v>2.4165309015557521</v>
      </c>
      <c r="Q25">
        <f t="shared" si="9"/>
        <v>0.78123166665655619</v>
      </c>
      <c r="R25">
        <f t="shared" si="10"/>
        <v>0.49996268358665663</v>
      </c>
      <c r="S25">
        <f t="shared" si="11"/>
        <v>225.62652</v>
      </c>
      <c r="T25">
        <f t="shared" si="12"/>
        <v>27.419260357936878</v>
      </c>
      <c r="U25">
        <f t="shared" si="13"/>
        <v>26.062646666666659</v>
      </c>
      <c r="V25">
        <f t="shared" si="14"/>
        <v>3.3867871146350059</v>
      </c>
      <c r="W25">
        <f t="shared" si="15"/>
        <v>79.971923065115433</v>
      </c>
      <c r="X25">
        <f t="shared" si="16"/>
        <v>2.8771607406669233</v>
      </c>
      <c r="Y25">
        <f t="shared" si="17"/>
        <v>3.5977135854595574</v>
      </c>
      <c r="Z25">
        <f t="shared" si="18"/>
        <v>0.50962637396808264</v>
      </c>
      <c r="AA25">
        <f t="shared" si="19"/>
        <v>-178.62134816966093</v>
      </c>
      <c r="AB25">
        <f t="shared" si="20"/>
        <v>133.59129765294318</v>
      </c>
      <c r="AC25">
        <f t="shared" si="21"/>
        <v>11.880002803655239</v>
      </c>
      <c r="AD25">
        <f t="shared" si="22"/>
        <v>192.47647228693748</v>
      </c>
      <c r="AE25">
        <f t="shared" si="23"/>
        <v>41.543017078772699</v>
      </c>
      <c r="AF25">
        <f t="shared" si="24"/>
        <v>4.0503707067950323</v>
      </c>
      <c r="AG25">
        <f t="shared" si="25"/>
        <v>41.596197376348826</v>
      </c>
      <c r="AH25">
        <v>611.88643920052368</v>
      </c>
      <c r="AI25">
        <v>516.49365454545432</v>
      </c>
      <c r="AJ25">
        <v>-5.9527182979555544E-3</v>
      </c>
      <c r="AK25">
        <v>84.018494922715902</v>
      </c>
      <c r="AL25">
        <f t="shared" si="26"/>
        <v>4.0513825100069978</v>
      </c>
      <c r="AM25">
        <v>19.513108274029051</v>
      </c>
      <c r="AN25">
        <v>28.36914300751878</v>
      </c>
      <c r="AO25">
        <v>2.8744794532157442E-7</v>
      </c>
      <c r="AP25">
        <v>90.505698698760156</v>
      </c>
      <c r="AQ25">
        <v>0</v>
      </c>
      <c r="AR25">
        <v>0</v>
      </c>
      <c r="AS25">
        <f t="shared" si="27"/>
        <v>1</v>
      </c>
      <c r="AT25">
        <f t="shared" si="28"/>
        <v>0</v>
      </c>
      <c r="AU25">
        <f t="shared" si="29"/>
        <v>53564.704514973477</v>
      </c>
      <c r="AV25">
        <f t="shared" si="30"/>
        <v>1187.508</v>
      </c>
      <c r="AW25">
        <f t="shared" si="31"/>
        <v>950.0064000000001</v>
      </c>
      <c r="AX25">
        <f t="shared" si="32"/>
        <v>0.8</v>
      </c>
      <c r="AY25">
        <f t="shared" si="33"/>
        <v>0.19</v>
      </c>
      <c r="AZ25">
        <v>9</v>
      </c>
      <c r="BA25">
        <v>1.21</v>
      </c>
      <c r="BB25" t="s">
        <v>339</v>
      </c>
      <c r="BC25">
        <v>2</v>
      </c>
      <c r="BD25" t="b">
        <v>0</v>
      </c>
      <c r="BE25">
        <v>1755010432.349999</v>
      </c>
      <c r="BF25">
        <v>501.94539999999989</v>
      </c>
      <c r="BG25">
        <v>599.98083333333329</v>
      </c>
      <c r="BH25">
        <v>28.36647</v>
      </c>
      <c r="BI25">
        <v>19.512619999999998</v>
      </c>
      <c r="BJ25">
        <v>497.02563333333342</v>
      </c>
      <c r="BK25">
        <v>28.068516666666671</v>
      </c>
      <c r="BL25">
        <v>400.04386666666659</v>
      </c>
      <c r="BM25">
        <v>101.3282</v>
      </c>
      <c r="BN25">
        <v>0.10002637666666669</v>
      </c>
      <c r="BO25">
        <v>27.088063333333331</v>
      </c>
      <c r="BP25">
        <v>26.062646666666659</v>
      </c>
      <c r="BQ25">
        <v>999.9000000000002</v>
      </c>
      <c r="BR25">
        <v>0</v>
      </c>
      <c r="BS25">
        <v>0</v>
      </c>
      <c r="BT25">
        <v>10000.183333333331</v>
      </c>
      <c r="BU25">
        <v>1187.508</v>
      </c>
      <c r="BV25">
        <v>21.392409999999991</v>
      </c>
      <c r="BW25">
        <v>-98.035380000000004</v>
      </c>
      <c r="BX25">
        <v>516.59956666666665</v>
      </c>
      <c r="BY25">
        <v>611.92096666666657</v>
      </c>
      <c r="BZ25">
        <v>8.8538440000000005</v>
      </c>
      <c r="CA25">
        <v>599.98083333333329</v>
      </c>
      <c r="CB25">
        <v>19.512619999999998</v>
      </c>
      <c r="CC25">
        <v>2.874325666666667</v>
      </c>
      <c r="CD25">
        <v>1.9771810000000001</v>
      </c>
      <c r="CE25">
        <v>23.317256666666658</v>
      </c>
      <c r="CF25">
        <v>17.26277</v>
      </c>
      <c r="CG25">
        <v>1755008282</v>
      </c>
      <c r="CH25" t="s">
        <v>340</v>
      </c>
      <c r="CI25">
        <v>1755008279.5</v>
      </c>
      <c r="CJ25">
        <v>1755008282</v>
      </c>
      <c r="CK25">
        <v>5</v>
      </c>
      <c r="CL25">
        <v>-0.13800000000000001</v>
      </c>
      <c r="CM25">
        <v>0.05</v>
      </c>
      <c r="CN25">
        <v>4.452</v>
      </c>
      <c r="CO25">
        <v>0.29799999999999999</v>
      </c>
      <c r="CP25">
        <v>450</v>
      </c>
      <c r="CQ25">
        <v>20</v>
      </c>
      <c r="CR25">
        <v>0.03</v>
      </c>
      <c r="CS25">
        <v>0.01</v>
      </c>
      <c r="CT25">
        <v>-97.974007317073173</v>
      </c>
      <c r="CU25">
        <v>-1.3321547038328101</v>
      </c>
      <c r="CV25">
        <v>0.13432769249432749</v>
      </c>
      <c r="CW25">
        <v>0</v>
      </c>
      <c r="CX25">
        <v>0</v>
      </c>
      <c r="CY25">
        <v>0</v>
      </c>
      <c r="CZ25">
        <v>0</v>
      </c>
      <c r="DA25">
        <v>-1</v>
      </c>
      <c r="DB25">
        <v>8.8528221951219521</v>
      </c>
      <c r="DC25">
        <v>1.6896794425091781E-2</v>
      </c>
      <c r="DD25">
        <v>2.083933326253248E-3</v>
      </c>
      <c r="DE25">
        <v>1</v>
      </c>
      <c r="DF25">
        <v>1</v>
      </c>
      <c r="DG25">
        <v>2</v>
      </c>
      <c r="DH25" t="s">
        <v>349</v>
      </c>
      <c r="DI25">
        <v>3.0246599999999999</v>
      </c>
      <c r="DJ25">
        <v>2.69143</v>
      </c>
      <c r="DK25">
        <v>0.109684</v>
      </c>
      <c r="DL25">
        <v>0.12603500000000001</v>
      </c>
      <c r="DM25">
        <v>0.134182</v>
      </c>
      <c r="DN25">
        <v>0.10445699999999999</v>
      </c>
      <c r="DO25">
        <v>24790.7</v>
      </c>
      <c r="DP25">
        <v>15864.3</v>
      </c>
      <c r="DQ25">
        <v>26421</v>
      </c>
      <c r="DR25">
        <v>16485.2</v>
      </c>
      <c r="DS25">
        <v>32526.7</v>
      </c>
      <c r="DT25">
        <v>19295.599999999999</v>
      </c>
      <c r="DU25">
        <v>38493.4</v>
      </c>
      <c r="DV25">
        <v>21859.1</v>
      </c>
      <c r="DW25">
        <v>1.8010600000000001</v>
      </c>
      <c r="DX25">
        <v>2.1837599999999999</v>
      </c>
      <c r="DY25">
        <v>6.6900299999999996E-2</v>
      </c>
      <c r="DZ25">
        <v>0</v>
      </c>
      <c r="EA25">
        <v>24.966699999999999</v>
      </c>
      <c r="EB25">
        <v>999.9</v>
      </c>
      <c r="EC25">
        <v>62.7</v>
      </c>
      <c r="ED25">
        <v>31.8</v>
      </c>
      <c r="EE25">
        <v>29.2165</v>
      </c>
      <c r="EF25">
        <v>62.9313</v>
      </c>
      <c r="EG25">
        <v>36.277999999999999</v>
      </c>
      <c r="EH25">
        <v>1</v>
      </c>
      <c r="EI25">
        <v>5.4733700000000003E-2</v>
      </c>
      <c r="EJ25">
        <v>-1.12026E-2</v>
      </c>
      <c r="EK25">
        <v>20.343499999999999</v>
      </c>
      <c r="EL25">
        <v>5.2526299999999999</v>
      </c>
      <c r="EM25">
        <v>11.962</v>
      </c>
      <c r="EN25">
        <v>4.9897600000000004</v>
      </c>
      <c r="EO25">
        <v>3.2913199999999998</v>
      </c>
      <c r="EP25">
        <v>9999</v>
      </c>
      <c r="EQ25">
        <v>9999</v>
      </c>
      <c r="ER25">
        <v>9999</v>
      </c>
      <c r="ES25">
        <v>999.9</v>
      </c>
      <c r="ET25">
        <v>4.9726600000000003</v>
      </c>
      <c r="EU25">
        <v>1.8717999999999999</v>
      </c>
      <c r="EV25">
        <v>1.87209</v>
      </c>
      <c r="EW25">
        <v>1.87713</v>
      </c>
      <c r="EX25">
        <v>1.87131</v>
      </c>
      <c r="EY25">
        <v>1.87205</v>
      </c>
      <c r="EZ25">
        <v>1.87165</v>
      </c>
      <c r="FA25">
        <v>1.8686499999999999</v>
      </c>
      <c r="FB25">
        <v>0</v>
      </c>
      <c r="FC25">
        <v>0</v>
      </c>
      <c r="FD25">
        <v>0</v>
      </c>
      <c r="FE25">
        <v>0</v>
      </c>
      <c r="FF25" t="s">
        <v>342</v>
      </c>
      <c r="FG25" t="s">
        <v>343</v>
      </c>
      <c r="FH25" t="s">
        <v>344</v>
      </c>
      <c r="FI25" t="s">
        <v>344</v>
      </c>
      <c r="FJ25" t="s">
        <v>344</v>
      </c>
      <c r="FK25" t="s">
        <v>344</v>
      </c>
      <c r="FL25">
        <v>0</v>
      </c>
      <c r="FM25">
        <v>100</v>
      </c>
      <c r="FN25">
        <v>100</v>
      </c>
      <c r="FO25">
        <v>4.9189999999999996</v>
      </c>
      <c r="FP25">
        <v>0.29799999999999999</v>
      </c>
      <c r="FQ25">
        <v>0.8741579692767576</v>
      </c>
      <c r="FR25">
        <v>7.0338458001993282E-3</v>
      </c>
      <c r="FS25">
        <v>2.3387658340725169E-6</v>
      </c>
      <c r="FT25">
        <v>-2.2874075696057401E-10</v>
      </c>
      <c r="FU25">
        <v>0.29795999999999978</v>
      </c>
      <c r="FV25">
        <v>0</v>
      </c>
      <c r="FW25">
        <v>0</v>
      </c>
      <c r="FX25">
        <v>0</v>
      </c>
      <c r="FY25">
        <v>3</v>
      </c>
      <c r="FZ25">
        <v>2105</v>
      </c>
      <c r="GA25">
        <v>-1</v>
      </c>
      <c r="GB25">
        <v>-1</v>
      </c>
      <c r="GC25">
        <v>36</v>
      </c>
      <c r="GD25">
        <v>36</v>
      </c>
      <c r="GE25">
        <v>1.38184</v>
      </c>
      <c r="GF25">
        <v>2.64771</v>
      </c>
      <c r="GG25">
        <v>1.7981</v>
      </c>
      <c r="GH25">
        <v>2.3803700000000001</v>
      </c>
      <c r="GI25">
        <v>1.5979000000000001</v>
      </c>
      <c r="GJ25">
        <v>2.3962400000000001</v>
      </c>
      <c r="GK25">
        <v>34.944400000000002</v>
      </c>
      <c r="GL25">
        <v>24.157499999999999</v>
      </c>
      <c r="GM25">
        <v>18</v>
      </c>
      <c r="GN25">
        <v>367.31400000000002</v>
      </c>
      <c r="GO25">
        <v>668.625</v>
      </c>
      <c r="GP25">
        <v>25.83</v>
      </c>
      <c r="GQ25">
        <v>27.778199999999998</v>
      </c>
      <c r="GR25">
        <v>30.0001</v>
      </c>
      <c r="GS25">
        <v>27.716200000000001</v>
      </c>
      <c r="GT25">
        <v>27.751300000000001</v>
      </c>
      <c r="GU25">
        <v>27.616399999999999</v>
      </c>
      <c r="GV25">
        <v>40.246299999999998</v>
      </c>
      <c r="GW25">
        <v>0</v>
      </c>
      <c r="GX25">
        <v>25.83</v>
      </c>
      <c r="GY25">
        <v>600</v>
      </c>
      <c r="GZ25">
        <v>19.5</v>
      </c>
      <c r="HA25">
        <v>100.404</v>
      </c>
      <c r="HB25">
        <v>68.212299999999999</v>
      </c>
    </row>
    <row r="26" spans="1:210" x14ac:dyDescent="0.3">
      <c r="A26">
        <v>10</v>
      </c>
      <c r="B26">
        <v>1755010620.5999999</v>
      </c>
      <c r="C26">
        <v>1624.599999904633</v>
      </c>
      <c r="D26" t="s">
        <v>362</v>
      </c>
      <c r="E26" t="s">
        <v>363</v>
      </c>
      <c r="F26">
        <v>15</v>
      </c>
      <c r="G26">
        <v>1755010612.849999</v>
      </c>
      <c r="H26">
        <f t="shared" si="0"/>
        <v>4.0603622957415672E-3</v>
      </c>
      <c r="I26">
        <f t="shared" si="1"/>
        <v>4.0603622957415668</v>
      </c>
      <c r="J26">
        <f t="shared" si="2"/>
        <v>48.081655182126163</v>
      </c>
      <c r="K26">
        <f t="shared" si="3"/>
        <v>784.63863333333347</v>
      </c>
      <c r="L26">
        <f t="shared" si="4"/>
        <v>683.63156975950824</v>
      </c>
      <c r="M26">
        <f t="shared" si="5"/>
        <v>69.338699845823626</v>
      </c>
      <c r="N26">
        <f t="shared" si="6"/>
        <v>79.583543374505723</v>
      </c>
      <c r="O26">
        <f t="shared" si="7"/>
        <v>0.94539301167713241</v>
      </c>
      <c r="P26">
        <f t="shared" si="8"/>
        <v>2.4162857213918678</v>
      </c>
      <c r="Q26">
        <f t="shared" si="9"/>
        <v>0.78973013061927277</v>
      </c>
      <c r="R26">
        <f t="shared" si="10"/>
        <v>0.50553404743921226</v>
      </c>
      <c r="S26">
        <f t="shared" si="11"/>
        <v>225.60986333333327</v>
      </c>
      <c r="T26">
        <f t="shared" si="12"/>
        <v>27.409204066064788</v>
      </c>
      <c r="U26">
        <f t="shared" si="13"/>
        <v>26.054269999999999</v>
      </c>
      <c r="V26">
        <f t="shared" si="14"/>
        <v>3.3851095196845238</v>
      </c>
      <c r="W26">
        <f t="shared" si="15"/>
        <v>80.075668392832696</v>
      </c>
      <c r="X26">
        <f t="shared" si="16"/>
        <v>2.8797323142422311</v>
      </c>
      <c r="Y26">
        <f t="shared" si="17"/>
        <v>3.5962638489821037</v>
      </c>
      <c r="Z26">
        <f t="shared" si="18"/>
        <v>0.5053772054422927</v>
      </c>
      <c r="AA26">
        <f t="shared" si="19"/>
        <v>-179.06197724220311</v>
      </c>
      <c r="AB26">
        <f t="shared" si="20"/>
        <v>133.77444640023481</v>
      </c>
      <c r="AC26">
        <f t="shared" si="21"/>
        <v>11.896589019290866</v>
      </c>
      <c r="AD26">
        <f t="shared" si="22"/>
        <v>192.21892151065583</v>
      </c>
      <c r="AE26">
        <f t="shared" si="23"/>
        <v>48.081655182126163</v>
      </c>
      <c r="AF26">
        <f t="shared" si="24"/>
        <v>4.0603622957415668</v>
      </c>
      <c r="AG26">
        <f t="shared" si="25"/>
        <v>48.113334121561728</v>
      </c>
      <c r="AH26">
        <v>917.89843139510128</v>
      </c>
      <c r="AI26">
        <v>807.49479393939373</v>
      </c>
      <c r="AJ26">
        <v>-6.6202770780963006E-4</v>
      </c>
      <c r="AK26">
        <v>84.018494922715902</v>
      </c>
      <c r="AL26">
        <f t="shared" si="26"/>
        <v>4.0606692206098165</v>
      </c>
      <c r="AM26">
        <v>19.515885211880569</v>
      </c>
      <c r="AN26">
        <v>28.392939849624039</v>
      </c>
      <c r="AO26">
        <v>2.833516122985748E-7</v>
      </c>
      <c r="AP26">
        <v>90.505698698760156</v>
      </c>
      <c r="AQ26">
        <v>0</v>
      </c>
      <c r="AR26">
        <v>0</v>
      </c>
      <c r="AS26">
        <f t="shared" si="27"/>
        <v>1</v>
      </c>
      <c r="AT26">
        <f t="shared" si="28"/>
        <v>0</v>
      </c>
      <c r="AU26">
        <f t="shared" si="29"/>
        <v>53557.710337661185</v>
      </c>
      <c r="AV26">
        <f t="shared" si="30"/>
        <v>1187.420333333333</v>
      </c>
      <c r="AW26">
        <f t="shared" si="31"/>
        <v>949.93626666666648</v>
      </c>
      <c r="AX26">
        <f t="shared" si="32"/>
        <v>0.8</v>
      </c>
      <c r="AY26">
        <f t="shared" si="33"/>
        <v>0.19</v>
      </c>
      <c r="AZ26">
        <v>9</v>
      </c>
      <c r="BA26">
        <v>1.21</v>
      </c>
      <c r="BB26" t="s">
        <v>339</v>
      </c>
      <c r="BC26">
        <v>2</v>
      </c>
      <c r="BD26" t="b">
        <v>0</v>
      </c>
      <c r="BE26">
        <v>1755010612.849999</v>
      </c>
      <c r="BF26">
        <v>784.63863333333347</v>
      </c>
      <c r="BG26">
        <v>899.99020000000007</v>
      </c>
      <c r="BH26">
        <v>28.392166666666661</v>
      </c>
      <c r="BI26">
        <v>19.515773333333339</v>
      </c>
      <c r="BJ26">
        <v>776.9946000000001</v>
      </c>
      <c r="BK26">
        <v>28.094203333333329</v>
      </c>
      <c r="BL26">
        <v>400.00163333333342</v>
      </c>
      <c r="BM26">
        <v>101.3270666666667</v>
      </c>
      <c r="BN26">
        <v>9.993423999999998E-2</v>
      </c>
      <c r="BO26">
        <v>27.081196666666671</v>
      </c>
      <c r="BP26">
        <v>26.054269999999999</v>
      </c>
      <c r="BQ26">
        <v>999.9000000000002</v>
      </c>
      <c r="BR26">
        <v>0</v>
      </c>
      <c r="BS26">
        <v>0</v>
      </c>
      <c r="BT26">
        <v>9998.7000000000007</v>
      </c>
      <c r="BU26">
        <v>1187.420333333333</v>
      </c>
      <c r="BV26">
        <v>21.437300000000011</v>
      </c>
      <c r="BW26">
        <v>-115.3516333333334</v>
      </c>
      <c r="BX26">
        <v>807.56720000000018</v>
      </c>
      <c r="BY26">
        <v>917.90386666666677</v>
      </c>
      <c r="BZ26">
        <v>8.8763860000000019</v>
      </c>
      <c r="CA26">
        <v>899.99020000000007</v>
      </c>
      <c r="CB26">
        <v>19.515773333333339</v>
      </c>
      <c r="CC26">
        <v>2.876897333333333</v>
      </c>
      <c r="CD26">
        <v>1.9774793333333329</v>
      </c>
      <c r="CE26">
        <v>23.332076666666659</v>
      </c>
      <c r="CF26">
        <v>17.265143333333331</v>
      </c>
      <c r="CG26">
        <v>1755008282</v>
      </c>
      <c r="CH26" t="s">
        <v>340</v>
      </c>
      <c r="CI26">
        <v>1755008279.5</v>
      </c>
      <c r="CJ26">
        <v>1755008282</v>
      </c>
      <c r="CK26">
        <v>5</v>
      </c>
      <c r="CL26">
        <v>-0.13800000000000001</v>
      </c>
      <c r="CM26">
        <v>0.05</v>
      </c>
      <c r="CN26">
        <v>4.452</v>
      </c>
      <c r="CO26">
        <v>0.29799999999999999</v>
      </c>
      <c r="CP26">
        <v>450</v>
      </c>
      <c r="CQ26">
        <v>20</v>
      </c>
      <c r="CR26">
        <v>0.03</v>
      </c>
      <c r="CS26">
        <v>0.01</v>
      </c>
      <c r="CT26">
        <v>-115.323756097561</v>
      </c>
      <c r="CU26">
        <v>-0.67551219512241745</v>
      </c>
      <c r="CV26">
        <v>9.002568210477073E-2</v>
      </c>
      <c r="CW26">
        <v>0</v>
      </c>
      <c r="CX26">
        <v>0</v>
      </c>
      <c r="CY26">
        <v>0</v>
      </c>
      <c r="CZ26">
        <v>0</v>
      </c>
      <c r="DA26">
        <v>-1</v>
      </c>
      <c r="DB26">
        <v>8.8754373170731711</v>
      </c>
      <c r="DC26">
        <v>1.6155052264799151E-2</v>
      </c>
      <c r="DD26">
        <v>2.1153561937161209E-3</v>
      </c>
      <c r="DE26">
        <v>1</v>
      </c>
      <c r="DF26">
        <v>1</v>
      </c>
      <c r="DG26">
        <v>2</v>
      </c>
      <c r="DH26" t="s">
        <v>349</v>
      </c>
      <c r="DI26">
        <v>3.0244599999999999</v>
      </c>
      <c r="DJ26">
        <v>2.6912500000000001</v>
      </c>
      <c r="DK26">
        <v>0.149454</v>
      </c>
      <c r="DL26">
        <v>0.16539499999999999</v>
      </c>
      <c r="DM26">
        <v>0.13425799999999999</v>
      </c>
      <c r="DN26">
        <v>0.10446900000000001</v>
      </c>
      <c r="DO26">
        <v>23683.7</v>
      </c>
      <c r="DP26">
        <v>15150.1</v>
      </c>
      <c r="DQ26">
        <v>26421.3</v>
      </c>
      <c r="DR26">
        <v>16485.5</v>
      </c>
      <c r="DS26">
        <v>32524.9</v>
      </c>
      <c r="DT26">
        <v>19296.2</v>
      </c>
      <c r="DU26">
        <v>38493.699999999997</v>
      </c>
      <c r="DV26">
        <v>21859.5</v>
      </c>
      <c r="DW26">
        <v>1.8008200000000001</v>
      </c>
      <c r="DX26">
        <v>2.18486</v>
      </c>
      <c r="DY26">
        <v>6.6456200000000007E-2</v>
      </c>
      <c r="DZ26">
        <v>0</v>
      </c>
      <c r="EA26">
        <v>24.962499999999999</v>
      </c>
      <c r="EB26">
        <v>999.9</v>
      </c>
      <c r="EC26">
        <v>62.7</v>
      </c>
      <c r="ED26">
        <v>31.9</v>
      </c>
      <c r="EE26">
        <v>29.38</v>
      </c>
      <c r="EF26">
        <v>62.781300000000002</v>
      </c>
      <c r="EG26">
        <v>36.494399999999999</v>
      </c>
      <c r="EH26">
        <v>1</v>
      </c>
      <c r="EI26">
        <v>5.4426799999999997E-2</v>
      </c>
      <c r="EJ26">
        <v>-1.31743E-2</v>
      </c>
      <c r="EK26">
        <v>20.343399999999999</v>
      </c>
      <c r="EL26">
        <v>5.2510700000000003</v>
      </c>
      <c r="EM26">
        <v>11.962</v>
      </c>
      <c r="EN26">
        <v>4.9897600000000004</v>
      </c>
      <c r="EO26">
        <v>3.2914400000000001</v>
      </c>
      <c r="EP26">
        <v>9999</v>
      </c>
      <c r="EQ26">
        <v>9999</v>
      </c>
      <c r="ER26">
        <v>9999</v>
      </c>
      <c r="ES26">
        <v>999.9</v>
      </c>
      <c r="ET26">
        <v>4.9726800000000004</v>
      </c>
      <c r="EU26">
        <v>1.8717999999999999</v>
      </c>
      <c r="EV26">
        <v>1.8721000000000001</v>
      </c>
      <c r="EW26">
        <v>1.87714</v>
      </c>
      <c r="EX26">
        <v>1.8713200000000001</v>
      </c>
      <c r="EY26">
        <v>1.87202</v>
      </c>
      <c r="EZ26">
        <v>1.87164</v>
      </c>
      <c r="FA26">
        <v>1.8686799999999999</v>
      </c>
      <c r="FB26">
        <v>0</v>
      </c>
      <c r="FC26">
        <v>0</v>
      </c>
      <c r="FD26">
        <v>0</v>
      </c>
      <c r="FE26">
        <v>0</v>
      </c>
      <c r="FF26" t="s">
        <v>342</v>
      </c>
      <c r="FG26" t="s">
        <v>343</v>
      </c>
      <c r="FH26" t="s">
        <v>344</v>
      </c>
      <c r="FI26" t="s">
        <v>344</v>
      </c>
      <c r="FJ26" t="s">
        <v>344</v>
      </c>
      <c r="FK26" t="s">
        <v>344</v>
      </c>
      <c r="FL26">
        <v>0</v>
      </c>
      <c r="FM26">
        <v>100</v>
      </c>
      <c r="FN26">
        <v>100</v>
      </c>
      <c r="FO26">
        <v>7.6429999999999998</v>
      </c>
      <c r="FP26">
        <v>0.29799999999999999</v>
      </c>
      <c r="FQ26">
        <v>0.8741579692767576</v>
      </c>
      <c r="FR26">
        <v>7.0338458001993282E-3</v>
      </c>
      <c r="FS26">
        <v>2.3387658340725169E-6</v>
      </c>
      <c r="FT26">
        <v>-2.2874075696057401E-10</v>
      </c>
      <c r="FU26">
        <v>0.29795999999999978</v>
      </c>
      <c r="FV26">
        <v>0</v>
      </c>
      <c r="FW26">
        <v>0</v>
      </c>
      <c r="FX26">
        <v>0</v>
      </c>
      <c r="FY26">
        <v>3</v>
      </c>
      <c r="FZ26">
        <v>2105</v>
      </c>
      <c r="GA26">
        <v>-1</v>
      </c>
      <c r="GB26">
        <v>-1</v>
      </c>
      <c r="GC26">
        <v>39</v>
      </c>
      <c r="GD26">
        <v>39</v>
      </c>
      <c r="GE26">
        <v>1.9213899999999999</v>
      </c>
      <c r="GF26">
        <v>2.6232899999999999</v>
      </c>
      <c r="GG26">
        <v>1.7981</v>
      </c>
      <c r="GH26">
        <v>2.3803700000000001</v>
      </c>
      <c r="GI26">
        <v>1.5979000000000001</v>
      </c>
      <c r="GJ26">
        <v>2.5720200000000002</v>
      </c>
      <c r="GK26">
        <v>34.967399999999998</v>
      </c>
      <c r="GL26">
        <v>24.1663</v>
      </c>
      <c r="GM26">
        <v>18</v>
      </c>
      <c r="GN26">
        <v>367.18</v>
      </c>
      <c r="GO26">
        <v>669.55100000000004</v>
      </c>
      <c r="GP26">
        <v>25.83</v>
      </c>
      <c r="GQ26">
        <v>27.7759</v>
      </c>
      <c r="GR26">
        <v>30</v>
      </c>
      <c r="GS26">
        <v>27.7148</v>
      </c>
      <c r="GT26">
        <v>27.748899999999999</v>
      </c>
      <c r="GU26">
        <v>38.421199999999999</v>
      </c>
      <c r="GV26">
        <v>40.246299999999998</v>
      </c>
      <c r="GW26">
        <v>0</v>
      </c>
      <c r="GX26">
        <v>25.83</v>
      </c>
      <c r="GY26">
        <v>900</v>
      </c>
      <c r="GZ26">
        <v>19.5</v>
      </c>
      <c r="HA26">
        <v>100.405</v>
      </c>
      <c r="HB26">
        <v>68.213399999999993</v>
      </c>
    </row>
    <row r="27" spans="1:210" x14ac:dyDescent="0.3">
      <c r="A27">
        <v>11</v>
      </c>
      <c r="B27">
        <v>1755010801.0999999</v>
      </c>
      <c r="C27">
        <v>1805.099999904633</v>
      </c>
      <c r="D27" t="s">
        <v>364</v>
      </c>
      <c r="E27" t="s">
        <v>365</v>
      </c>
      <c r="F27">
        <v>15</v>
      </c>
      <c r="G27">
        <v>1755010793.349999</v>
      </c>
      <c r="H27">
        <f t="shared" si="0"/>
        <v>4.0634702305361097E-3</v>
      </c>
      <c r="I27">
        <f t="shared" si="1"/>
        <v>4.0634702305361099</v>
      </c>
      <c r="J27">
        <f t="shared" si="2"/>
        <v>49.385320147748047</v>
      </c>
      <c r="K27">
        <f t="shared" si="3"/>
        <v>1079.061666666666</v>
      </c>
      <c r="L27">
        <f t="shared" si="4"/>
        <v>973.60149429450905</v>
      </c>
      <c r="M27">
        <f t="shared" si="5"/>
        <v>98.749779215230305</v>
      </c>
      <c r="N27">
        <f t="shared" si="6"/>
        <v>109.44632066343026</v>
      </c>
      <c r="O27">
        <f t="shared" si="7"/>
        <v>0.95038350631708701</v>
      </c>
      <c r="P27">
        <f t="shared" si="8"/>
        <v>2.4167324157707597</v>
      </c>
      <c r="Q27">
        <f t="shared" si="9"/>
        <v>0.79323454802381765</v>
      </c>
      <c r="R27">
        <f t="shared" si="10"/>
        <v>0.50782951295298329</v>
      </c>
      <c r="S27">
        <f t="shared" si="11"/>
        <v>225.62056666666655</v>
      </c>
      <c r="T27">
        <f t="shared" si="12"/>
        <v>27.407218450313326</v>
      </c>
      <c r="U27">
        <f t="shared" si="13"/>
        <v>26.04648666666667</v>
      </c>
      <c r="V27">
        <f t="shared" si="14"/>
        <v>3.3835514021004589</v>
      </c>
      <c r="W27">
        <f t="shared" si="15"/>
        <v>80.088471524430048</v>
      </c>
      <c r="X27">
        <f t="shared" si="16"/>
        <v>2.8800169326020244</v>
      </c>
      <c r="Y27">
        <f t="shared" si="17"/>
        <v>3.5960443217142792</v>
      </c>
      <c r="Z27">
        <f t="shared" si="18"/>
        <v>0.5035344694984345</v>
      </c>
      <c r="AA27">
        <f t="shared" si="19"/>
        <v>-179.19903716664243</v>
      </c>
      <c r="AB27">
        <f t="shared" si="20"/>
        <v>134.67777186126074</v>
      </c>
      <c r="AC27">
        <f t="shared" si="21"/>
        <v>11.97417962140436</v>
      </c>
      <c r="AD27">
        <f t="shared" si="22"/>
        <v>193.0734809826892</v>
      </c>
      <c r="AE27">
        <f t="shared" si="23"/>
        <v>49.385320147748047</v>
      </c>
      <c r="AF27">
        <f t="shared" si="24"/>
        <v>4.0634702305361099</v>
      </c>
      <c r="AG27">
        <f t="shared" si="25"/>
        <v>49.43249263151457</v>
      </c>
      <c r="AH27">
        <v>1223.982245332111</v>
      </c>
      <c r="AI27">
        <v>1110.5769696969689</v>
      </c>
      <c r="AJ27">
        <v>-2.4254253370822208E-3</v>
      </c>
      <c r="AK27">
        <v>84.018494922715902</v>
      </c>
      <c r="AL27">
        <f t="shared" si="26"/>
        <v>4.0630156285708576</v>
      </c>
      <c r="AM27">
        <v>19.512777544952542</v>
      </c>
      <c r="AN27">
        <v>28.394156390977411</v>
      </c>
      <c r="AO27">
        <v>4.4767884225443502E-7</v>
      </c>
      <c r="AP27">
        <v>90.505698698760156</v>
      </c>
      <c r="AQ27">
        <v>0</v>
      </c>
      <c r="AR27">
        <v>0</v>
      </c>
      <c r="AS27">
        <f t="shared" si="27"/>
        <v>1</v>
      </c>
      <c r="AT27">
        <f t="shared" si="28"/>
        <v>0</v>
      </c>
      <c r="AU27">
        <f t="shared" si="29"/>
        <v>53572.832455045951</v>
      </c>
      <c r="AV27">
        <f t="shared" si="30"/>
        <v>1187.476666666666</v>
      </c>
      <c r="AW27">
        <f t="shared" si="31"/>
        <v>949.98133333333283</v>
      </c>
      <c r="AX27">
        <f t="shared" si="32"/>
        <v>0.8</v>
      </c>
      <c r="AY27">
        <f t="shared" si="33"/>
        <v>0.19</v>
      </c>
      <c r="AZ27">
        <v>9</v>
      </c>
      <c r="BA27">
        <v>1.21</v>
      </c>
      <c r="BB27" t="s">
        <v>339</v>
      </c>
      <c r="BC27">
        <v>2</v>
      </c>
      <c r="BD27" t="b">
        <v>0</v>
      </c>
      <c r="BE27">
        <v>1755010793.349999</v>
      </c>
      <c r="BF27">
        <v>1079.061666666666</v>
      </c>
      <c r="BG27">
        <v>1200.0329999999999</v>
      </c>
      <c r="BH27">
        <v>28.394886666666661</v>
      </c>
      <c r="BI27">
        <v>19.51251666666667</v>
      </c>
      <c r="BJ27">
        <v>1068.282666666667</v>
      </c>
      <c r="BK27">
        <v>28.096946666666661</v>
      </c>
      <c r="BL27">
        <v>400.03733333333338</v>
      </c>
      <c r="BM27">
        <v>101.32729999999999</v>
      </c>
      <c r="BN27">
        <v>0.1000086</v>
      </c>
      <c r="BO27">
        <v>27.080156666666671</v>
      </c>
      <c r="BP27">
        <v>26.04648666666667</v>
      </c>
      <c r="BQ27">
        <v>999.9000000000002</v>
      </c>
      <c r="BR27">
        <v>0</v>
      </c>
      <c r="BS27">
        <v>0</v>
      </c>
      <c r="BT27">
        <v>10001.58333333333</v>
      </c>
      <c r="BU27">
        <v>1187.476666666666</v>
      </c>
      <c r="BV27">
        <v>21.429686666666669</v>
      </c>
      <c r="BW27">
        <v>-120.9726666666667</v>
      </c>
      <c r="BX27">
        <v>1110.595333333333</v>
      </c>
      <c r="BY27">
        <v>1223.9159999999999</v>
      </c>
      <c r="BZ27">
        <v>8.8823746666666672</v>
      </c>
      <c r="CA27">
        <v>1200.0329999999999</v>
      </c>
      <c r="CB27">
        <v>19.51251666666667</v>
      </c>
      <c r="CC27">
        <v>2.877180333333333</v>
      </c>
      <c r="CD27">
        <v>1.977152333333333</v>
      </c>
      <c r="CE27">
        <v>23.33371</v>
      </c>
      <c r="CF27">
        <v>17.262536666666669</v>
      </c>
      <c r="CG27">
        <v>1755008282</v>
      </c>
      <c r="CH27" t="s">
        <v>340</v>
      </c>
      <c r="CI27">
        <v>1755008279.5</v>
      </c>
      <c r="CJ27">
        <v>1755008282</v>
      </c>
      <c r="CK27">
        <v>5</v>
      </c>
      <c r="CL27">
        <v>-0.13800000000000001</v>
      </c>
      <c r="CM27">
        <v>0.05</v>
      </c>
      <c r="CN27">
        <v>4.452</v>
      </c>
      <c r="CO27">
        <v>0.29799999999999999</v>
      </c>
      <c r="CP27">
        <v>450</v>
      </c>
      <c r="CQ27">
        <v>20</v>
      </c>
      <c r="CR27">
        <v>0.03</v>
      </c>
      <c r="CS27">
        <v>0.01</v>
      </c>
      <c r="CT27">
        <v>-120.9500731707317</v>
      </c>
      <c r="CU27">
        <v>-0.42940766550523551</v>
      </c>
      <c r="CV27">
        <v>5.9685104667871428E-2</v>
      </c>
      <c r="CW27">
        <v>1</v>
      </c>
      <c r="CX27">
        <v>0</v>
      </c>
      <c r="CY27">
        <v>0</v>
      </c>
      <c r="CZ27">
        <v>0</v>
      </c>
      <c r="DA27">
        <v>-1</v>
      </c>
      <c r="DB27">
        <v>8.881947073170732</v>
      </c>
      <c r="DC27">
        <v>1.46560975609955E-2</v>
      </c>
      <c r="DD27">
        <v>2.185732275465617E-3</v>
      </c>
      <c r="DE27">
        <v>1</v>
      </c>
      <c r="DF27">
        <v>2</v>
      </c>
      <c r="DG27">
        <v>2</v>
      </c>
      <c r="DH27" t="s">
        <v>341</v>
      </c>
      <c r="DI27">
        <v>3.0247700000000002</v>
      </c>
      <c r="DJ27">
        <v>2.69129</v>
      </c>
      <c r="DK27">
        <v>0.183508</v>
      </c>
      <c r="DL27">
        <v>0.19831599999999999</v>
      </c>
      <c r="DM27">
        <v>0.13426199999999999</v>
      </c>
      <c r="DN27">
        <v>0.104452</v>
      </c>
      <c r="DO27">
        <v>22735.7</v>
      </c>
      <c r="DP27">
        <v>14552.6</v>
      </c>
      <c r="DQ27">
        <v>26421.5</v>
      </c>
      <c r="DR27">
        <v>16485.599999999999</v>
      </c>
      <c r="DS27">
        <v>32525.599999999999</v>
      </c>
      <c r="DT27">
        <v>19297.5</v>
      </c>
      <c r="DU27">
        <v>38493.699999999997</v>
      </c>
      <c r="DV27">
        <v>21859.9</v>
      </c>
      <c r="DW27">
        <v>1.80138</v>
      </c>
      <c r="DX27">
        <v>2.1852200000000002</v>
      </c>
      <c r="DY27">
        <v>6.6512799999999997E-2</v>
      </c>
      <c r="DZ27">
        <v>0</v>
      </c>
      <c r="EA27">
        <v>24.956199999999999</v>
      </c>
      <c r="EB27">
        <v>999.9</v>
      </c>
      <c r="EC27">
        <v>62.7</v>
      </c>
      <c r="ED27">
        <v>31.9</v>
      </c>
      <c r="EE27">
        <v>29.379000000000001</v>
      </c>
      <c r="EF27">
        <v>62.561300000000003</v>
      </c>
      <c r="EG27">
        <v>36.358199999999997</v>
      </c>
      <c r="EH27">
        <v>1</v>
      </c>
      <c r="EI27">
        <v>5.4150400000000001E-2</v>
      </c>
      <c r="EJ27">
        <v>-1.1742900000000001E-2</v>
      </c>
      <c r="EK27">
        <v>20.343299999999999</v>
      </c>
      <c r="EL27">
        <v>5.24796</v>
      </c>
      <c r="EM27">
        <v>11.962</v>
      </c>
      <c r="EN27">
        <v>4.9896399999999996</v>
      </c>
      <c r="EO27">
        <v>3.2913399999999999</v>
      </c>
      <c r="EP27">
        <v>9999</v>
      </c>
      <c r="EQ27">
        <v>9999</v>
      </c>
      <c r="ER27">
        <v>9999</v>
      </c>
      <c r="ES27">
        <v>999.9</v>
      </c>
      <c r="ET27">
        <v>4.9726800000000004</v>
      </c>
      <c r="EU27">
        <v>1.8717999999999999</v>
      </c>
      <c r="EV27">
        <v>1.87208</v>
      </c>
      <c r="EW27">
        <v>1.87713</v>
      </c>
      <c r="EX27">
        <v>1.8713299999999999</v>
      </c>
      <c r="EY27">
        <v>1.8720000000000001</v>
      </c>
      <c r="EZ27">
        <v>1.8716699999999999</v>
      </c>
      <c r="FA27">
        <v>1.86873</v>
      </c>
      <c r="FB27">
        <v>0</v>
      </c>
      <c r="FC27">
        <v>0</v>
      </c>
      <c r="FD27">
        <v>0</v>
      </c>
      <c r="FE27">
        <v>0</v>
      </c>
      <c r="FF27" t="s">
        <v>342</v>
      </c>
      <c r="FG27" t="s">
        <v>343</v>
      </c>
      <c r="FH27" t="s">
        <v>344</v>
      </c>
      <c r="FI27" t="s">
        <v>344</v>
      </c>
      <c r="FJ27" t="s">
        <v>344</v>
      </c>
      <c r="FK27" t="s">
        <v>344</v>
      </c>
      <c r="FL27">
        <v>0</v>
      </c>
      <c r="FM27">
        <v>100</v>
      </c>
      <c r="FN27">
        <v>100</v>
      </c>
      <c r="FO27">
        <v>10.78</v>
      </c>
      <c r="FP27">
        <v>0.29799999999999999</v>
      </c>
      <c r="FQ27">
        <v>0.8741579692767576</v>
      </c>
      <c r="FR27">
        <v>7.0338458001993282E-3</v>
      </c>
      <c r="FS27">
        <v>2.3387658340725169E-6</v>
      </c>
      <c r="FT27">
        <v>-2.2874075696057401E-10</v>
      </c>
      <c r="FU27">
        <v>0.29795999999999978</v>
      </c>
      <c r="FV27">
        <v>0</v>
      </c>
      <c r="FW27">
        <v>0</v>
      </c>
      <c r="FX27">
        <v>0</v>
      </c>
      <c r="FY27">
        <v>3</v>
      </c>
      <c r="FZ27">
        <v>2105</v>
      </c>
      <c r="GA27">
        <v>-1</v>
      </c>
      <c r="GB27">
        <v>-1</v>
      </c>
      <c r="GC27">
        <v>42</v>
      </c>
      <c r="GD27">
        <v>42</v>
      </c>
      <c r="GE27">
        <v>2.4328599999999998</v>
      </c>
      <c r="GF27">
        <v>2.6135299999999999</v>
      </c>
      <c r="GG27">
        <v>1.7981</v>
      </c>
      <c r="GH27">
        <v>2.3803700000000001</v>
      </c>
      <c r="GI27">
        <v>1.5979000000000001</v>
      </c>
      <c r="GJ27">
        <v>2.5854499999999998</v>
      </c>
      <c r="GK27">
        <v>34.967399999999998</v>
      </c>
      <c r="GL27">
        <v>24.1663</v>
      </c>
      <c r="GM27">
        <v>18</v>
      </c>
      <c r="GN27">
        <v>367.44799999999998</v>
      </c>
      <c r="GO27">
        <v>669.83399999999995</v>
      </c>
      <c r="GP27">
        <v>25.830100000000002</v>
      </c>
      <c r="GQ27">
        <v>27.771100000000001</v>
      </c>
      <c r="GR27">
        <v>30</v>
      </c>
      <c r="GS27">
        <v>27.711600000000001</v>
      </c>
      <c r="GT27">
        <v>27.746500000000001</v>
      </c>
      <c r="GU27">
        <v>48.6496</v>
      </c>
      <c r="GV27">
        <v>40.246299999999998</v>
      </c>
      <c r="GW27">
        <v>0</v>
      </c>
      <c r="GX27">
        <v>25.83</v>
      </c>
      <c r="GY27">
        <v>1200</v>
      </c>
      <c r="GZ27">
        <v>19.5</v>
      </c>
      <c r="HA27">
        <v>100.405</v>
      </c>
      <c r="HB27">
        <v>68.214500000000001</v>
      </c>
    </row>
    <row r="28" spans="1:210" x14ac:dyDescent="0.3">
      <c r="A28">
        <v>12</v>
      </c>
      <c r="B28">
        <v>1755010981.5999999</v>
      </c>
      <c r="C28">
        <v>1985.599999904633</v>
      </c>
      <c r="D28" t="s">
        <v>366</v>
      </c>
      <c r="E28" t="s">
        <v>367</v>
      </c>
      <c r="F28">
        <v>15</v>
      </c>
      <c r="G28">
        <v>1755010973.849999</v>
      </c>
      <c r="H28">
        <f t="shared" si="0"/>
        <v>4.0494280124792345E-3</v>
      </c>
      <c r="I28">
        <f t="shared" si="1"/>
        <v>4.0494280124792343</v>
      </c>
      <c r="J28">
        <f t="shared" si="2"/>
        <v>48.93984049864892</v>
      </c>
      <c r="K28">
        <f t="shared" si="3"/>
        <v>1476.482</v>
      </c>
      <c r="L28">
        <f t="shared" si="4"/>
        <v>1367.3041258773694</v>
      </c>
      <c r="M28">
        <f t="shared" si="5"/>
        <v>138.67734169900919</v>
      </c>
      <c r="N28">
        <f t="shared" si="6"/>
        <v>149.75058946381066</v>
      </c>
      <c r="O28">
        <f t="shared" si="7"/>
        <v>0.93549828455325212</v>
      </c>
      <c r="P28">
        <f t="shared" si="8"/>
        <v>2.4161731415966923</v>
      </c>
      <c r="Q28">
        <f t="shared" si="9"/>
        <v>0.78280606551930243</v>
      </c>
      <c r="R28">
        <f t="shared" si="10"/>
        <v>0.50099614540053428</v>
      </c>
      <c r="S28">
        <f t="shared" si="11"/>
        <v>225.67281666666673</v>
      </c>
      <c r="T28">
        <f t="shared" si="12"/>
        <v>27.405695125063286</v>
      </c>
      <c r="U28">
        <f t="shared" si="13"/>
        <v>26.047043333333331</v>
      </c>
      <c r="V28">
        <f t="shared" si="14"/>
        <v>3.383662818403161</v>
      </c>
      <c r="W28">
        <f t="shared" si="15"/>
        <v>79.983909777979505</v>
      </c>
      <c r="X28">
        <f t="shared" si="16"/>
        <v>2.8751888962576673</v>
      </c>
      <c r="Y28">
        <f t="shared" si="17"/>
        <v>3.5947091161693119</v>
      </c>
      <c r="Z28">
        <f t="shared" si="18"/>
        <v>0.5084739221454937</v>
      </c>
      <c r="AA28">
        <f t="shared" si="19"/>
        <v>-178.57977535033424</v>
      </c>
      <c r="AB28">
        <f t="shared" si="20"/>
        <v>133.74997706785743</v>
      </c>
      <c r="AC28">
        <f t="shared" si="21"/>
        <v>11.894097992717731</v>
      </c>
      <c r="AD28">
        <f t="shared" si="22"/>
        <v>192.73711637690764</v>
      </c>
      <c r="AE28">
        <f t="shared" si="23"/>
        <v>48.93984049864892</v>
      </c>
      <c r="AF28">
        <f t="shared" si="24"/>
        <v>4.0494280124792343</v>
      </c>
      <c r="AG28">
        <f t="shared" si="25"/>
        <v>48.850199589846277</v>
      </c>
      <c r="AH28">
        <v>1631.8150515761761</v>
      </c>
      <c r="AI28">
        <v>1519.6157575757579</v>
      </c>
      <c r="AJ28">
        <v>1.291466088240021E-2</v>
      </c>
      <c r="AK28">
        <v>84.018494922715902</v>
      </c>
      <c r="AL28">
        <f t="shared" si="26"/>
        <v>4.0500222650438058</v>
      </c>
      <c r="AM28">
        <v>19.492583902071608</v>
      </c>
      <c r="AN28">
        <v>28.346105112781959</v>
      </c>
      <c r="AO28">
        <v>-6.6358608552372567E-7</v>
      </c>
      <c r="AP28">
        <v>90.505698698760156</v>
      </c>
      <c r="AQ28">
        <v>0</v>
      </c>
      <c r="AR28">
        <v>0</v>
      </c>
      <c r="AS28">
        <f t="shared" si="27"/>
        <v>1</v>
      </c>
      <c r="AT28">
        <f t="shared" si="28"/>
        <v>0</v>
      </c>
      <c r="AU28">
        <f t="shared" si="29"/>
        <v>53555.193004184264</v>
      </c>
      <c r="AV28">
        <f t="shared" si="30"/>
        <v>1187.751666666667</v>
      </c>
      <c r="AW28">
        <f t="shared" si="31"/>
        <v>950.20133333333365</v>
      </c>
      <c r="AX28">
        <f t="shared" si="32"/>
        <v>0.8</v>
      </c>
      <c r="AY28">
        <f t="shared" si="33"/>
        <v>0.19</v>
      </c>
      <c r="AZ28">
        <v>9</v>
      </c>
      <c r="BA28">
        <v>1.21</v>
      </c>
      <c r="BB28" t="s">
        <v>339</v>
      </c>
      <c r="BC28">
        <v>2</v>
      </c>
      <c r="BD28" t="b">
        <v>0</v>
      </c>
      <c r="BE28">
        <v>1755010973.849999</v>
      </c>
      <c r="BF28">
        <v>1476.482</v>
      </c>
      <c r="BG28">
        <v>1600.039</v>
      </c>
      <c r="BH28">
        <v>28.348233333333329</v>
      </c>
      <c r="BI28">
        <v>19.496036666666669</v>
      </c>
      <c r="BJ28">
        <v>1461.051666666667</v>
      </c>
      <c r="BK28">
        <v>28.05028333333334</v>
      </c>
      <c r="BL28">
        <v>400.03296666666671</v>
      </c>
      <c r="BM28">
        <v>101.3238666666667</v>
      </c>
      <c r="BN28">
        <v>0.1000514466666667</v>
      </c>
      <c r="BO28">
        <v>27.073830000000001</v>
      </c>
      <c r="BP28">
        <v>26.047043333333331</v>
      </c>
      <c r="BQ28">
        <v>999.9000000000002</v>
      </c>
      <c r="BR28">
        <v>0</v>
      </c>
      <c r="BS28">
        <v>0</v>
      </c>
      <c r="BT28">
        <v>9998.2833333333328</v>
      </c>
      <c r="BU28">
        <v>1187.751666666667</v>
      </c>
      <c r="BV28">
        <v>21.437300000000011</v>
      </c>
      <c r="BW28">
        <v>-123.557</v>
      </c>
      <c r="BX28">
        <v>1519.557333333333</v>
      </c>
      <c r="BY28">
        <v>1631.852333333333</v>
      </c>
      <c r="BZ28">
        <v>8.8522053333333321</v>
      </c>
      <c r="CA28">
        <v>1600.039</v>
      </c>
      <c r="CB28">
        <v>19.496036666666669</v>
      </c>
      <c r="CC28">
        <v>2.872352666666667</v>
      </c>
      <c r="CD28">
        <v>1.9754126666666669</v>
      </c>
      <c r="CE28">
        <v>23.305896666666669</v>
      </c>
      <c r="CF28">
        <v>17.248636666666659</v>
      </c>
      <c r="CG28">
        <v>1755008282</v>
      </c>
      <c r="CH28" t="s">
        <v>340</v>
      </c>
      <c r="CI28">
        <v>1755008279.5</v>
      </c>
      <c r="CJ28">
        <v>1755008282</v>
      </c>
      <c r="CK28">
        <v>5</v>
      </c>
      <c r="CL28">
        <v>-0.13800000000000001</v>
      </c>
      <c r="CM28">
        <v>0.05</v>
      </c>
      <c r="CN28">
        <v>4.452</v>
      </c>
      <c r="CO28">
        <v>0.29799999999999999</v>
      </c>
      <c r="CP28">
        <v>450</v>
      </c>
      <c r="CQ28">
        <v>20</v>
      </c>
      <c r="CR28">
        <v>0.03</v>
      </c>
      <c r="CS28">
        <v>0.01</v>
      </c>
      <c r="CT28">
        <v>-123.467325</v>
      </c>
      <c r="CU28">
        <v>-1.38464915572229</v>
      </c>
      <c r="CV28">
        <v>0.1999557935519746</v>
      </c>
      <c r="CW28">
        <v>0</v>
      </c>
      <c r="CX28">
        <v>0</v>
      </c>
      <c r="CY28">
        <v>0</v>
      </c>
      <c r="CZ28">
        <v>0</v>
      </c>
      <c r="DA28">
        <v>-1</v>
      </c>
      <c r="DB28">
        <v>8.8518119999999989</v>
      </c>
      <c r="DC28">
        <v>2.8505065665751848E-3</v>
      </c>
      <c r="DD28">
        <v>2.5355070498817031E-3</v>
      </c>
      <c r="DE28">
        <v>1</v>
      </c>
      <c r="DF28">
        <v>1</v>
      </c>
      <c r="DG28">
        <v>2</v>
      </c>
      <c r="DH28" t="s">
        <v>349</v>
      </c>
      <c r="DI28">
        <v>3.02461</v>
      </c>
      <c r="DJ28">
        <v>2.69123</v>
      </c>
      <c r="DK28">
        <v>0.222275</v>
      </c>
      <c r="DL28">
        <v>0.23583299999999999</v>
      </c>
      <c r="DM28">
        <v>0.134101</v>
      </c>
      <c r="DN28">
        <v>0.104408</v>
      </c>
      <c r="DO28">
        <v>21656.3</v>
      </c>
      <c r="DP28">
        <v>13871</v>
      </c>
      <c r="DQ28">
        <v>26421.599999999999</v>
      </c>
      <c r="DR28">
        <v>16485</v>
      </c>
      <c r="DS28">
        <v>32532.9</v>
      </c>
      <c r="DT28">
        <v>19298.7</v>
      </c>
      <c r="DU28">
        <v>38493.9</v>
      </c>
      <c r="DV28">
        <v>21859.599999999999</v>
      </c>
      <c r="DW28">
        <v>1.80152</v>
      </c>
      <c r="DX28">
        <v>2.1863199999999998</v>
      </c>
      <c r="DY28">
        <v>6.6035999999999997E-2</v>
      </c>
      <c r="DZ28">
        <v>0</v>
      </c>
      <c r="EA28">
        <v>24.958300000000001</v>
      </c>
      <c r="EB28">
        <v>999.9</v>
      </c>
      <c r="EC28">
        <v>62.6</v>
      </c>
      <c r="ED28">
        <v>31.9</v>
      </c>
      <c r="EE28">
        <v>29.333600000000001</v>
      </c>
      <c r="EF28">
        <v>62.651299999999999</v>
      </c>
      <c r="EG28">
        <v>36.265999999999998</v>
      </c>
      <c r="EH28">
        <v>1</v>
      </c>
      <c r="EI28">
        <v>5.3896300000000001E-2</v>
      </c>
      <c r="EJ28">
        <v>-1.66514E-2</v>
      </c>
      <c r="EK28">
        <v>20.3432</v>
      </c>
      <c r="EL28">
        <v>5.25143</v>
      </c>
      <c r="EM28">
        <v>11.962</v>
      </c>
      <c r="EN28">
        <v>4.9897600000000004</v>
      </c>
      <c r="EO28">
        <v>3.2913999999999999</v>
      </c>
      <c r="EP28">
        <v>9999</v>
      </c>
      <c r="EQ28">
        <v>9999</v>
      </c>
      <c r="ER28">
        <v>9999</v>
      </c>
      <c r="ES28">
        <v>999.9</v>
      </c>
      <c r="ET28">
        <v>4.9726699999999999</v>
      </c>
      <c r="EU28">
        <v>1.8717999999999999</v>
      </c>
      <c r="EV28">
        <v>1.87209</v>
      </c>
      <c r="EW28">
        <v>1.87714</v>
      </c>
      <c r="EX28">
        <v>1.8712899999999999</v>
      </c>
      <c r="EY28">
        <v>1.87201</v>
      </c>
      <c r="EZ28">
        <v>1.87168</v>
      </c>
      <c r="FA28">
        <v>1.86869</v>
      </c>
      <c r="FB28">
        <v>0</v>
      </c>
      <c r="FC28">
        <v>0</v>
      </c>
      <c r="FD28">
        <v>0</v>
      </c>
      <c r="FE28">
        <v>0</v>
      </c>
      <c r="FF28" t="s">
        <v>342</v>
      </c>
      <c r="FG28" t="s">
        <v>343</v>
      </c>
      <c r="FH28" t="s">
        <v>344</v>
      </c>
      <c r="FI28" t="s">
        <v>344</v>
      </c>
      <c r="FJ28" t="s">
        <v>344</v>
      </c>
      <c r="FK28" t="s">
        <v>344</v>
      </c>
      <c r="FL28">
        <v>0</v>
      </c>
      <c r="FM28">
        <v>100</v>
      </c>
      <c r="FN28">
        <v>100</v>
      </c>
      <c r="FO28">
        <v>15.43</v>
      </c>
      <c r="FP28">
        <v>0.29799999999999999</v>
      </c>
      <c r="FQ28">
        <v>0.8741579692767576</v>
      </c>
      <c r="FR28">
        <v>7.0338458001993282E-3</v>
      </c>
      <c r="FS28">
        <v>2.3387658340725169E-6</v>
      </c>
      <c r="FT28">
        <v>-2.2874075696057401E-10</v>
      </c>
      <c r="FU28">
        <v>0.29795999999999978</v>
      </c>
      <c r="FV28">
        <v>0</v>
      </c>
      <c r="FW28">
        <v>0</v>
      </c>
      <c r="FX28">
        <v>0</v>
      </c>
      <c r="FY28">
        <v>3</v>
      </c>
      <c r="FZ28">
        <v>2105</v>
      </c>
      <c r="GA28">
        <v>-1</v>
      </c>
      <c r="GB28">
        <v>-1</v>
      </c>
      <c r="GC28">
        <v>45</v>
      </c>
      <c r="GD28">
        <v>45</v>
      </c>
      <c r="GE28">
        <v>3.0786099999999998</v>
      </c>
      <c r="GF28">
        <v>2.5964399999999999</v>
      </c>
      <c r="GG28">
        <v>1.7981</v>
      </c>
      <c r="GH28">
        <v>2.3803700000000001</v>
      </c>
      <c r="GI28">
        <v>1.5979000000000001</v>
      </c>
      <c r="GJ28">
        <v>2.5500500000000001</v>
      </c>
      <c r="GK28">
        <v>34.990400000000001</v>
      </c>
      <c r="GL28">
        <v>24.1663</v>
      </c>
      <c r="GM28">
        <v>18</v>
      </c>
      <c r="GN28">
        <v>367.48899999999998</v>
      </c>
      <c r="GO28">
        <v>670.73099999999999</v>
      </c>
      <c r="GP28">
        <v>25.830100000000002</v>
      </c>
      <c r="GQ28">
        <v>27.766400000000001</v>
      </c>
      <c r="GR28">
        <v>30.0001</v>
      </c>
      <c r="GS28">
        <v>27.706900000000001</v>
      </c>
      <c r="GT28">
        <v>27.741800000000001</v>
      </c>
      <c r="GU28">
        <v>61.54</v>
      </c>
      <c r="GV28">
        <v>40.246299999999998</v>
      </c>
      <c r="GW28">
        <v>0</v>
      </c>
      <c r="GX28">
        <v>25.83</v>
      </c>
      <c r="GY28">
        <v>1600</v>
      </c>
      <c r="GZ28">
        <v>19.5</v>
      </c>
      <c r="HA28">
        <v>100.40600000000001</v>
      </c>
      <c r="HB28">
        <v>68.212699999999998</v>
      </c>
    </row>
    <row r="29" spans="1:210" x14ac:dyDescent="0.3">
      <c r="A29">
        <v>13</v>
      </c>
      <c r="B29">
        <v>1755011162.5</v>
      </c>
      <c r="C29">
        <v>2166.5</v>
      </c>
      <c r="D29" t="s">
        <v>368</v>
      </c>
      <c r="E29" t="s">
        <v>369</v>
      </c>
      <c r="F29">
        <v>15</v>
      </c>
      <c r="G29">
        <v>1755011154.5</v>
      </c>
      <c r="H29">
        <f t="shared" si="0"/>
        <v>4.0516443078664546E-3</v>
      </c>
      <c r="I29">
        <f t="shared" si="1"/>
        <v>4.0516443078664546</v>
      </c>
      <c r="J29">
        <f t="shared" si="2"/>
        <v>32.923421019174718</v>
      </c>
      <c r="K29">
        <f t="shared" si="3"/>
        <v>372.51464516129039</v>
      </c>
      <c r="L29">
        <f t="shared" si="4"/>
        <v>303.78558824503489</v>
      </c>
      <c r="M29">
        <f t="shared" si="5"/>
        <v>30.810251509025711</v>
      </c>
      <c r="N29">
        <f t="shared" si="6"/>
        <v>37.780824213942644</v>
      </c>
      <c r="O29">
        <f t="shared" si="7"/>
        <v>0.93107952795670246</v>
      </c>
      <c r="P29">
        <f t="shared" si="8"/>
        <v>2.4161599959632976</v>
      </c>
      <c r="Q29">
        <f t="shared" si="9"/>
        <v>0.77970824901347258</v>
      </c>
      <c r="R29">
        <f t="shared" si="10"/>
        <v>0.49896632593846202</v>
      </c>
      <c r="S29">
        <f t="shared" si="11"/>
        <v>225.64669677419354</v>
      </c>
      <c r="T29">
        <f t="shared" si="12"/>
        <v>27.41390438291744</v>
      </c>
      <c r="U29">
        <f t="shared" si="13"/>
        <v>26.059254838709681</v>
      </c>
      <c r="V29">
        <f t="shared" si="14"/>
        <v>3.3861077458235789</v>
      </c>
      <c r="W29">
        <f t="shared" si="15"/>
        <v>79.945922665317951</v>
      </c>
      <c r="X29">
        <f t="shared" si="16"/>
        <v>2.8753559560331485</v>
      </c>
      <c r="Y29">
        <f t="shared" si="17"/>
        <v>3.5966261444882068</v>
      </c>
      <c r="Z29">
        <f t="shared" si="18"/>
        <v>0.51075178979043034</v>
      </c>
      <c r="AA29">
        <f t="shared" si="19"/>
        <v>-178.67751397691066</v>
      </c>
      <c r="AB29">
        <f t="shared" si="20"/>
        <v>133.34171760504694</v>
      </c>
      <c r="AC29">
        <f t="shared" si="21"/>
        <v>11.859121084375824</v>
      </c>
      <c r="AD29">
        <f t="shared" si="22"/>
        <v>192.17002148670565</v>
      </c>
      <c r="AE29">
        <f t="shared" si="23"/>
        <v>32.923421019174718</v>
      </c>
      <c r="AF29">
        <f t="shared" si="24"/>
        <v>4.0516443078664546</v>
      </c>
      <c r="AG29">
        <f t="shared" si="25"/>
        <v>32.941368320707319</v>
      </c>
      <c r="AH29">
        <v>458.87878594578018</v>
      </c>
      <c r="AI29">
        <v>383.30827272727271</v>
      </c>
      <c r="AJ29">
        <v>-1.1392544152337E-3</v>
      </c>
      <c r="AK29">
        <v>84.018494922715902</v>
      </c>
      <c r="AL29">
        <f t="shared" si="26"/>
        <v>4.0518012209063796</v>
      </c>
      <c r="AM29">
        <v>19.49471180311086</v>
      </c>
      <c r="AN29">
        <v>28.35145142857143</v>
      </c>
      <c r="AO29">
        <v>3.0738996149453549E-7</v>
      </c>
      <c r="AP29">
        <v>90.505698698760156</v>
      </c>
      <c r="AQ29">
        <v>0</v>
      </c>
      <c r="AR29">
        <v>0</v>
      </c>
      <c r="AS29">
        <f t="shared" si="27"/>
        <v>1</v>
      </c>
      <c r="AT29">
        <f t="shared" si="28"/>
        <v>0</v>
      </c>
      <c r="AU29">
        <f t="shared" si="29"/>
        <v>53553.070047345769</v>
      </c>
      <c r="AV29">
        <f t="shared" si="30"/>
        <v>1187.614193548387</v>
      </c>
      <c r="AW29">
        <f t="shared" si="31"/>
        <v>950.09135483870966</v>
      </c>
      <c r="AX29">
        <f t="shared" si="32"/>
        <v>0.8</v>
      </c>
      <c r="AY29">
        <f t="shared" si="33"/>
        <v>0.19</v>
      </c>
      <c r="AZ29">
        <v>9</v>
      </c>
      <c r="BA29">
        <v>1.21</v>
      </c>
      <c r="BB29" t="s">
        <v>339</v>
      </c>
      <c r="BC29">
        <v>2</v>
      </c>
      <c r="BD29" t="b">
        <v>0</v>
      </c>
      <c r="BE29">
        <v>1755011154.5</v>
      </c>
      <c r="BF29">
        <v>372.51464516129039</v>
      </c>
      <c r="BG29">
        <v>449.97651612903218</v>
      </c>
      <c r="BH29">
        <v>28.350683870967739</v>
      </c>
      <c r="BI29">
        <v>19.49427741935483</v>
      </c>
      <c r="BJ29">
        <v>368.74022580645169</v>
      </c>
      <c r="BK29">
        <v>28.052716129032259</v>
      </c>
      <c r="BL29">
        <v>400.06064516129032</v>
      </c>
      <c r="BM29">
        <v>101.3209677419355</v>
      </c>
      <c r="BN29">
        <v>0.10007624838709681</v>
      </c>
      <c r="BO29">
        <v>27.0829129032258</v>
      </c>
      <c r="BP29">
        <v>26.059254838709681</v>
      </c>
      <c r="BQ29">
        <v>999.90000000000032</v>
      </c>
      <c r="BR29">
        <v>0</v>
      </c>
      <c r="BS29">
        <v>0</v>
      </c>
      <c r="BT29">
        <v>9998.4838709677424</v>
      </c>
      <c r="BU29">
        <v>1187.614193548387</v>
      </c>
      <c r="BV29">
        <v>21.437300000000011</v>
      </c>
      <c r="BW29">
        <v>-77.461970967741934</v>
      </c>
      <c r="BX29">
        <v>383.38364516129042</v>
      </c>
      <c r="BY29">
        <v>458.92293548387102</v>
      </c>
      <c r="BZ29">
        <v>8.8564058064516136</v>
      </c>
      <c r="CA29">
        <v>449.97651612903218</v>
      </c>
      <c r="CB29">
        <v>19.49427741935483</v>
      </c>
      <c r="CC29">
        <v>2.8725190322580652</v>
      </c>
      <c r="CD29">
        <v>1.9751787096774189</v>
      </c>
      <c r="CE29">
        <v>23.30685161290323</v>
      </c>
      <c r="CF29">
        <v>17.246741935483868</v>
      </c>
      <c r="CG29">
        <v>1755008282</v>
      </c>
      <c r="CH29" t="s">
        <v>340</v>
      </c>
      <c r="CI29">
        <v>1755008279.5</v>
      </c>
      <c r="CJ29">
        <v>1755008282</v>
      </c>
      <c r="CK29">
        <v>5</v>
      </c>
      <c r="CL29">
        <v>-0.13800000000000001</v>
      </c>
      <c r="CM29">
        <v>0.05</v>
      </c>
      <c r="CN29">
        <v>4.452</v>
      </c>
      <c r="CO29">
        <v>0.29799999999999999</v>
      </c>
      <c r="CP29">
        <v>450</v>
      </c>
      <c r="CQ29">
        <v>20</v>
      </c>
      <c r="CR29">
        <v>0.03</v>
      </c>
      <c r="CS29">
        <v>0.01</v>
      </c>
      <c r="CT29">
        <v>-77.409604878048782</v>
      </c>
      <c r="CU29">
        <v>-0.84671289198615862</v>
      </c>
      <c r="CV29">
        <v>9.2871881200222106E-2</v>
      </c>
      <c r="CW29">
        <v>0</v>
      </c>
      <c r="CX29">
        <v>0</v>
      </c>
      <c r="CY29">
        <v>0</v>
      </c>
      <c r="CZ29">
        <v>0</v>
      </c>
      <c r="DA29">
        <v>-1</v>
      </c>
      <c r="DB29">
        <v>8.8563378048780486</v>
      </c>
      <c r="DC29">
        <v>2.4292682928229371E-4</v>
      </c>
      <c r="DD29">
        <v>7.6571507212771389E-4</v>
      </c>
      <c r="DE29">
        <v>1</v>
      </c>
      <c r="DF29">
        <v>1</v>
      </c>
      <c r="DG29">
        <v>2</v>
      </c>
      <c r="DH29" t="s">
        <v>349</v>
      </c>
      <c r="DI29">
        <v>3.0245899999999999</v>
      </c>
      <c r="DJ29">
        <v>2.6913499999999999</v>
      </c>
      <c r="DK29">
        <v>8.7661799999999998E-2</v>
      </c>
      <c r="DL29">
        <v>0.10245799999999999</v>
      </c>
      <c r="DM29">
        <v>0.13411799999999999</v>
      </c>
      <c r="DN29">
        <v>0.104393</v>
      </c>
      <c r="DO29">
        <v>25404</v>
      </c>
      <c r="DP29">
        <v>16291.7</v>
      </c>
      <c r="DQ29">
        <v>26421</v>
      </c>
      <c r="DR29">
        <v>16484.599999999999</v>
      </c>
      <c r="DS29">
        <v>32528.799999999999</v>
      </c>
      <c r="DT29">
        <v>19296.2</v>
      </c>
      <c r="DU29">
        <v>38493.699999999997</v>
      </c>
      <c r="DV29">
        <v>21858.7</v>
      </c>
      <c r="DW29">
        <v>1.8007599999999999</v>
      </c>
      <c r="DX29">
        <v>2.18344</v>
      </c>
      <c r="DY29">
        <v>6.6497899999999999E-2</v>
      </c>
      <c r="DZ29">
        <v>0</v>
      </c>
      <c r="EA29">
        <v>24.967099999999999</v>
      </c>
      <c r="EB29">
        <v>999.9</v>
      </c>
      <c r="EC29">
        <v>62.6</v>
      </c>
      <c r="ED29">
        <v>31.9</v>
      </c>
      <c r="EE29">
        <v>29.338100000000001</v>
      </c>
      <c r="EF29">
        <v>62.701300000000003</v>
      </c>
      <c r="EG29">
        <v>36.462299999999999</v>
      </c>
      <c r="EH29">
        <v>1</v>
      </c>
      <c r="EI29">
        <v>5.4103699999999998E-2</v>
      </c>
      <c r="EJ29">
        <v>-1.40523E-2</v>
      </c>
      <c r="EK29">
        <v>20.343499999999999</v>
      </c>
      <c r="EL29">
        <v>5.2515499999999999</v>
      </c>
      <c r="EM29">
        <v>11.962</v>
      </c>
      <c r="EN29">
        <v>4.9896799999999999</v>
      </c>
      <c r="EO29">
        <v>3.2913000000000001</v>
      </c>
      <c r="EP29">
        <v>9999</v>
      </c>
      <c r="EQ29">
        <v>9999</v>
      </c>
      <c r="ER29">
        <v>9999</v>
      </c>
      <c r="ES29">
        <v>999.9</v>
      </c>
      <c r="ET29">
        <v>4.9726699999999999</v>
      </c>
      <c r="EU29">
        <v>1.8717999999999999</v>
      </c>
      <c r="EV29">
        <v>1.87209</v>
      </c>
      <c r="EW29">
        <v>1.87714</v>
      </c>
      <c r="EX29">
        <v>1.8713299999999999</v>
      </c>
      <c r="EY29">
        <v>1.8720300000000001</v>
      </c>
      <c r="EZ29">
        <v>1.8716999999999999</v>
      </c>
      <c r="FA29">
        <v>1.8687199999999999</v>
      </c>
      <c r="FB29">
        <v>0</v>
      </c>
      <c r="FC29">
        <v>0</v>
      </c>
      <c r="FD29">
        <v>0</v>
      </c>
      <c r="FE29">
        <v>0</v>
      </c>
      <c r="FF29" t="s">
        <v>342</v>
      </c>
      <c r="FG29" t="s">
        <v>343</v>
      </c>
      <c r="FH29" t="s">
        <v>344</v>
      </c>
      <c r="FI29" t="s">
        <v>344</v>
      </c>
      <c r="FJ29" t="s">
        <v>344</v>
      </c>
      <c r="FK29" t="s">
        <v>344</v>
      </c>
      <c r="FL29">
        <v>0</v>
      </c>
      <c r="FM29">
        <v>100</v>
      </c>
      <c r="FN29">
        <v>100</v>
      </c>
      <c r="FO29">
        <v>3.7730000000000001</v>
      </c>
      <c r="FP29">
        <v>0.2979</v>
      </c>
      <c r="FQ29">
        <v>0.8741579692767576</v>
      </c>
      <c r="FR29">
        <v>7.0338458001993282E-3</v>
      </c>
      <c r="FS29">
        <v>2.3387658340725169E-6</v>
      </c>
      <c r="FT29">
        <v>-2.2874075696057401E-10</v>
      </c>
      <c r="FU29">
        <v>0.29795999999999978</v>
      </c>
      <c r="FV29">
        <v>0</v>
      </c>
      <c r="FW29">
        <v>0</v>
      </c>
      <c r="FX29">
        <v>0</v>
      </c>
      <c r="FY29">
        <v>3</v>
      </c>
      <c r="FZ29">
        <v>2105</v>
      </c>
      <c r="GA29">
        <v>-1</v>
      </c>
      <c r="GB29">
        <v>-1</v>
      </c>
      <c r="GC29">
        <v>48</v>
      </c>
      <c r="GD29">
        <v>48</v>
      </c>
      <c r="GE29">
        <v>1.09619</v>
      </c>
      <c r="GF29">
        <v>2.6184099999999999</v>
      </c>
      <c r="GG29">
        <v>1.79932</v>
      </c>
      <c r="GH29">
        <v>2.3803700000000001</v>
      </c>
      <c r="GI29">
        <v>1.5979000000000001</v>
      </c>
      <c r="GJ29">
        <v>2.5793499999999998</v>
      </c>
      <c r="GK29">
        <v>34.990400000000001</v>
      </c>
      <c r="GL29">
        <v>24.1663</v>
      </c>
      <c r="GM29">
        <v>18</v>
      </c>
      <c r="GN29">
        <v>367.11399999999998</v>
      </c>
      <c r="GO29">
        <v>668.25900000000001</v>
      </c>
      <c r="GP29">
        <v>25.83</v>
      </c>
      <c r="GQ29">
        <v>27.768799999999999</v>
      </c>
      <c r="GR29">
        <v>30.0001</v>
      </c>
      <c r="GS29">
        <v>27.709199999999999</v>
      </c>
      <c r="GT29">
        <v>27.744199999999999</v>
      </c>
      <c r="GU29">
        <v>21.8965</v>
      </c>
      <c r="GV29">
        <v>40.246299999999998</v>
      </c>
      <c r="GW29">
        <v>0</v>
      </c>
      <c r="GX29">
        <v>25.83</v>
      </c>
      <c r="GY29">
        <v>450</v>
      </c>
      <c r="GZ29">
        <v>19.5</v>
      </c>
      <c r="HA29">
        <v>100.405</v>
      </c>
      <c r="HB29">
        <v>68.210499999999996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Jans, Tinko</cp:lastModifiedBy>
  <dcterms:created xsi:type="dcterms:W3CDTF">2025-08-12T15:12:26Z</dcterms:created>
  <dcterms:modified xsi:type="dcterms:W3CDTF">2025-12-01T11:41:51Z</dcterms:modified>
</cp:coreProperties>
</file>