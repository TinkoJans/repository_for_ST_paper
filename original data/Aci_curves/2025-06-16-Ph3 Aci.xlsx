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1443DDBA494CFFFDFDCF645126C4FDA9" xr6:coauthVersionLast="47" xr6:coauthVersionMax="47" xr10:uidLastSave="{23157956-C92C-454A-A0CB-D0AB97B6CFFA}"/>
  <bookViews>
    <workbookView xWindow="2928" yWindow="2928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/>
  <c r="K29" i="1" s="1"/>
  <c r="AL29" i="1"/>
  <c r="AG29" i="1"/>
  <c r="Y29" i="1"/>
  <c r="X29" i="1"/>
  <c r="W29" i="1" s="1"/>
  <c r="S29" i="1"/>
  <c r="P29" i="1"/>
  <c r="AY28" i="1"/>
  <c r="AX28" i="1"/>
  <c r="AV28" i="1"/>
  <c r="S28" i="1" s="1"/>
  <c r="AU28" i="1"/>
  <c r="AS28" i="1" s="1"/>
  <c r="AL28" i="1"/>
  <c r="AG28" i="1"/>
  <c r="Y28" i="1"/>
  <c r="X28" i="1"/>
  <c r="W28" i="1"/>
  <c r="P28" i="1"/>
  <c r="AY27" i="1"/>
  <c r="AX27" i="1"/>
  <c r="AV27" i="1"/>
  <c r="AW27" i="1" s="1"/>
  <c r="AU27" i="1"/>
  <c r="AS27" i="1" s="1"/>
  <c r="AL27" i="1"/>
  <c r="AG27" i="1"/>
  <c r="Y27" i="1"/>
  <c r="X27" i="1"/>
  <c r="W27" i="1"/>
  <c r="P27" i="1"/>
  <c r="AY26" i="1"/>
  <c r="AX26" i="1"/>
  <c r="AV26" i="1"/>
  <c r="AW26" i="1" s="1"/>
  <c r="AU26" i="1"/>
  <c r="AT26" i="1"/>
  <c r="AS26" i="1"/>
  <c r="AE26" i="1" s="1"/>
  <c r="J26" i="1" s="1"/>
  <c r="AL26" i="1"/>
  <c r="AG26" i="1"/>
  <c r="AF26" i="1"/>
  <c r="I26" i="1" s="1"/>
  <c r="H26" i="1" s="1"/>
  <c r="Y26" i="1"/>
  <c r="X26" i="1"/>
  <c r="W26" i="1" s="1"/>
  <c r="P26" i="1"/>
  <c r="N26" i="1"/>
  <c r="K26" i="1"/>
  <c r="AY25" i="1"/>
  <c r="AX25" i="1"/>
  <c r="AV25" i="1"/>
  <c r="AW25" i="1" s="1"/>
  <c r="AU25" i="1"/>
  <c r="AS25" i="1"/>
  <c r="AF25" i="1" s="1"/>
  <c r="I25" i="1" s="1"/>
  <c r="H25" i="1" s="1"/>
  <c r="AL25" i="1"/>
  <c r="AG25" i="1"/>
  <c r="Y25" i="1"/>
  <c r="X25" i="1"/>
  <c r="W25" i="1" s="1"/>
  <c r="S25" i="1"/>
  <c r="P25" i="1"/>
  <c r="AY24" i="1"/>
  <c r="AX24" i="1"/>
  <c r="AV24" i="1"/>
  <c r="S24" i="1" s="1"/>
  <c r="AU24" i="1"/>
  <c r="AS24" i="1" s="1"/>
  <c r="AL24" i="1"/>
  <c r="AG24" i="1"/>
  <c r="Y24" i="1"/>
  <c r="X24" i="1"/>
  <c r="W24" i="1" s="1"/>
  <c r="P24" i="1"/>
  <c r="AY23" i="1"/>
  <c r="AX23" i="1"/>
  <c r="AV23" i="1"/>
  <c r="S23" i="1" s="1"/>
  <c r="AU23" i="1"/>
  <c r="AS23" i="1" s="1"/>
  <c r="AL23" i="1"/>
  <c r="AG23" i="1"/>
  <c r="Y23" i="1"/>
  <c r="X23" i="1"/>
  <c r="W23" i="1"/>
  <c r="P23" i="1"/>
  <c r="AY22" i="1"/>
  <c r="AX22" i="1"/>
  <c r="AV22" i="1"/>
  <c r="AW22" i="1" s="1"/>
  <c r="AU22" i="1"/>
  <c r="AT22" i="1"/>
  <c r="AS22" i="1"/>
  <c r="AE22" i="1" s="1"/>
  <c r="J22" i="1" s="1"/>
  <c r="AL22" i="1"/>
  <c r="AG22" i="1"/>
  <c r="AF22" i="1"/>
  <c r="I22" i="1" s="1"/>
  <c r="H22" i="1" s="1"/>
  <c r="Y22" i="1"/>
  <c r="X22" i="1"/>
  <c r="W22" i="1" s="1"/>
  <c r="P22" i="1"/>
  <c r="N22" i="1"/>
  <c r="K22" i="1"/>
  <c r="AY21" i="1"/>
  <c r="AX21" i="1"/>
  <c r="AV21" i="1"/>
  <c r="AW21" i="1" s="1"/>
  <c r="AU21" i="1"/>
  <c r="AS21" i="1"/>
  <c r="AF21" i="1" s="1"/>
  <c r="I21" i="1" s="1"/>
  <c r="H21" i="1" s="1"/>
  <c r="AL21" i="1"/>
  <c r="AG21" i="1"/>
  <c r="Y21" i="1"/>
  <c r="X21" i="1"/>
  <c r="W21" i="1" s="1"/>
  <c r="S21" i="1"/>
  <c r="P21" i="1"/>
  <c r="K21" i="1"/>
  <c r="AY20" i="1"/>
  <c r="AX20" i="1"/>
  <c r="AV20" i="1"/>
  <c r="S20" i="1" s="1"/>
  <c r="AU20" i="1"/>
  <c r="AS20" i="1" s="1"/>
  <c r="AL20" i="1"/>
  <c r="AG20" i="1"/>
  <c r="Y20" i="1"/>
  <c r="X20" i="1"/>
  <c r="W20" i="1" s="1"/>
  <c r="P20" i="1"/>
  <c r="AY19" i="1"/>
  <c r="AX19" i="1"/>
  <c r="AV19" i="1"/>
  <c r="S19" i="1" s="1"/>
  <c r="AU19" i="1"/>
  <c r="AS19" i="1" s="1"/>
  <c r="AL19" i="1"/>
  <c r="AG19" i="1"/>
  <c r="Y19" i="1"/>
  <c r="X19" i="1"/>
  <c r="W19" i="1"/>
  <c r="P19" i="1"/>
  <c r="AY18" i="1"/>
  <c r="AX18" i="1"/>
  <c r="AV18" i="1"/>
  <c r="AW18" i="1" s="1"/>
  <c r="AU18" i="1"/>
  <c r="AT18" i="1"/>
  <c r="AS18" i="1"/>
  <c r="AE18" i="1" s="1"/>
  <c r="J18" i="1" s="1"/>
  <c r="AL18" i="1"/>
  <c r="AG18" i="1"/>
  <c r="AF18" i="1"/>
  <c r="I18" i="1" s="1"/>
  <c r="H18" i="1" s="1"/>
  <c r="Y18" i="1"/>
  <c r="X18" i="1"/>
  <c r="W18" i="1" s="1"/>
  <c r="P18" i="1"/>
  <c r="N18" i="1"/>
  <c r="K18" i="1"/>
  <c r="AY17" i="1"/>
  <c r="AX17" i="1"/>
  <c r="AV17" i="1"/>
  <c r="AW17" i="1" s="1"/>
  <c r="AU17" i="1"/>
  <c r="AS17" i="1"/>
  <c r="AF17" i="1" s="1"/>
  <c r="I17" i="1" s="1"/>
  <c r="H17" i="1" s="1"/>
  <c r="AL17" i="1"/>
  <c r="AG17" i="1"/>
  <c r="Y17" i="1"/>
  <c r="X17" i="1"/>
  <c r="W17" i="1" s="1"/>
  <c r="S17" i="1"/>
  <c r="P17" i="1"/>
  <c r="AA26" i="1" l="1"/>
  <c r="K28" i="1"/>
  <c r="AT28" i="1"/>
  <c r="AF28" i="1"/>
  <c r="I28" i="1" s="1"/>
  <c r="H28" i="1" s="1"/>
  <c r="T28" i="1" s="1"/>
  <c r="U28" i="1" s="1"/>
  <c r="AE28" i="1"/>
  <c r="J28" i="1" s="1"/>
  <c r="N28" i="1"/>
  <c r="AA25" i="1"/>
  <c r="AA22" i="1"/>
  <c r="K24" i="1"/>
  <c r="AT24" i="1"/>
  <c r="AF24" i="1"/>
  <c r="I24" i="1" s="1"/>
  <c r="H24" i="1" s="1"/>
  <c r="AE24" i="1"/>
  <c r="J24" i="1" s="1"/>
  <c r="N24" i="1"/>
  <c r="AT19" i="1"/>
  <c r="AF19" i="1"/>
  <c r="I19" i="1" s="1"/>
  <c r="H19" i="1" s="1"/>
  <c r="N19" i="1"/>
  <c r="K19" i="1"/>
  <c r="AE19" i="1"/>
  <c r="J19" i="1" s="1"/>
  <c r="AA21" i="1"/>
  <c r="AT23" i="1"/>
  <c r="K23" i="1"/>
  <c r="N23" i="1"/>
  <c r="AF23" i="1"/>
  <c r="I23" i="1" s="1"/>
  <c r="H23" i="1" s="1"/>
  <c r="T23" i="1" s="1"/>
  <c r="U23" i="1" s="1"/>
  <c r="AE23" i="1"/>
  <c r="J23" i="1" s="1"/>
  <c r="AA17" i="1"/>
  <c r="T24" i="1"/>
  <c r="U24" i="1" s="1"/>
  <c r="AA18" i="1"/>
  <c r="T19" i="1"/>
  <c r="U19" i="1" s="1"/>
  <c r="K20" i="1"/>
  <c r="N20" i="1"/>
  <c r="AT20" i="1"/>
  <c r="AF20" i="1"/>
  <c r="I20" i="1" s="1"/>
  <c r="H20" i="1" s="1"/>
  <c r="AE20" i="1"/>
  <c r="J20" i="1" s="1"/>
  <c r="AT27" i="1"/>
  <c r="N27" i="1"/>
  <c r="K27" i="1"/>
  <c r="AF27" i="1"/>
  <c r="I27" i="1" s="1"/>
  <c r="H27" i="1" s="1"/>
  <c r="AE27" i="1"/>
  <c r="J27" i="1" s="1"/>
  <c r="K17" i="1"/>
  <c r="AW19" i="1"/>
  <c r="AW23" i="1"/>
  <c r="T17" i="1"/>
  <c r="U17" i="1" s="1"/>
  <c r="T21" i="1"/>
  <c r="U21" i="1" s="1"/>
  <c r="AT25" i="1"/>
  <c r="T29" i="1"/>
  <c r="U29" i="1" s="1"/>
  <c r="AT29" i="1"/>
  <c r="S18" i="1"/>
  <c r="AW20" i="1"/>
  <c r="S22" i="1"/>
  <c r="AW24" i="1"/>
  <c r="S26" i="1"/>
  <c r="AW28" i="1"/>
  <c r="T25" i="1"/>
  <c r="U25" i="1" s="1"/>
  <c r="Q25" i="1" s="1"/>
  <c r="O25" i="1" s="1"/>
  <c r="R25" i="1" s="1"/>
  <c r="L25" i="1" s="1"/>
  <c r="M25" i="1" s="1"/>
  <c r="N21" i="1"/>
  <c r="N29" i="1"/>
  <c r="K25" i="1"/>
  <c r="N25" i="1"/>
  <c r="AE17" i="1"/>
  <c r="J17" i="1" s="1"/>
  <c r="AE21" i="1"/>
  <c r="J21" i="1" s="1"/>
  <c r="AE25" i="1"/>
  <c r="J25" i="1" s="1"/>
  <c r="S27" i="1"/>
  <c r="AE29" i="1"/>
  <c r="J29" i="1" s="1"/>
  <c r="AT21" i="1"/>
  <c r="N17" i="1"/>
  <c r="AF29" i="1"/>
  <c r="I29" i="1" s="1"/>
  <c r="H29" i="1" s="1"/>
  <c r="AT17" i="1"/>
  <c r="AC23" i="1" l="1"/>
  <c r="V23" i="1"/>
  <c r="Z23" i="1" s="1"/>
  <c r="AB23" i="1"/>
  <c r="AC28" i="1"/>
  <c r="AB28" i="1"/>
  <c r="V28" i="1"/>
  <c r="Z28" i="1" s="1"/>
  <c r="T18" i="1"/>
  <c r="U18" i="1" s="1"/>
  <c r="AA24" i="1"/>
  <c r="Q24" i="1"/>
  <c r="O24" i="1" s="1"/>
  <c r="R24" i="1" s="1"/>
  <c r="L24" i="1" s="1"/>
  <c r="M24" i="1" s="1"/>
  <c r="AA20" i="1"/>
  <c r="AB24" i="1"/>
  <c r="V24" i="1"/>
  <c r="Z24" i="1" s="1"/>
  <c r="AC24" i="1"/>
  <c r="AD24" i="1" s="1"/>
  <c r="T20" i="1"/>
  <c r="U20" i="1" s="1"/>
  <c r="Q20" i="1" s="1"/>
  <c r="O20" i="1" s="1"/>
  <c r="R20" i="1" s="1"/>
  <c r="L20" i="1" s="1"/>
  <c r="M20" i="1" s="1"/>
  <c r="V25" i="1"/>
  <c r="Z25" i="1" s="1"/>
  <c r="AC25" i="1"/>
  <c r="AD25" i="1" s="1"/>
  <c r="AB25" i="1"/>
  <c r="V29" i="1"/>
  <c r="Z29" i="1" s="1"/>
  <c r="AC29" i="1"/>
  <c r="AB29" i="1"/>
  <c r="AA27" i="1"/>
  <c r="Q27" i="1"/>
  <c r="O27" i="1" s="1"/>
  <c r="R27" i="1" s="1"/>
  <c r="L27" i="1" s="1"/>
  <c r="M27" i="1" s="1"/>
  <c r="T26" i="1"/>
  <c r="U26" i="1" s="1"/>
  <c r="AB21" i="1"/>
  <c r="V21" i="1"/>
  <c r="Z21" i="1" s="1"/>
  <c r="AC21" i="1"/>
  <c r="AD21" i="1" s="1"/>
  <c r="AC19" i="1"/>
  <c r="V19" i="1"/>
  <c r="Z19" i="1" s="1"/>
  <c r="AA19" i="1"/>
  <c r="Q19" i="1"/>
  <c r="O19" i="1" s="1"/>
  <c r="R19" i="1" s="1"/>
  <c r="L19" i="1" s="1"/>
  <c r="M19" i="1" s="1"/>
  <c r="AA23" i="1"/>
  <c r="Q23" i="1"/>
  <c r="O23" i="1" s="1"/>
  <c r="R23" i="1" s="1"/>
  <c r="L23" i="1" s="1"/>
  <c r="M23" i="1" s="1"/>
  <c r="T27" i="1"/>
  <c r="U27" i="1" s="1"/>
  <c r="AB17" i="1"/>
  <c r="V17" i="1"/>
  <c r="Z17" i="1" s="1"/>
  <c r="AC17" i="1"/>
  <c r="AD17" i="1" s="1"/>
  <c r="Q17" i="1"/>
  <c r="O17" i="1" s="1"/>
  <c r="R17" i="1" s="1"/>
  <c r="L17" i="1" s="1"/>
  <c r="M17" i="1" s="1"/>
  <c r="Q29" i="1"/>
  <c r="O29" i="1" s="1"/>
  <c r="R29" i="1" s="1"/>
  <c r="L29" i="1" s="1"/>
  <c r="M29" i="1" s="1"/>
  <c r="AA29" i="1"/>
  <c r="T22" i="1"/>
  <c r="U22" i="1" s="1"/>
  <c r="Q21" i="1"/>
  <c r="O21" i="1" s="1"/>
  <c r="R21" i="1" s="1"/>
  <c r="L21" i="1" s="1"/>
  <c r="M21" i="1" s="1"/>
  <c r="AA28" i="1"/>
  <c r="Q28" i="1"/>
  <c r="O28" i="1" s="1"/>
  <c r="R28" i="1" s="1"/>
  <c r="L28" i="1" s="1"/>
  <c r="M28" i="1" s="1"/>
  <c r="AB19" i="1"/>
  <c r="AC27" i="1" l="1"/>
  <c r="V27" i="1"/>
  <c r="Z27" i="1" s="1"/>
  <c r="AB27" i="1"/>
  <c r="AD29" i="1"/>
  <c r="V22" i="1"/>
  <c r="Z22" i="1" s="1"/>
  <c r="AC22" i="1"/>
  <c r="Q22" i="1"/>
  <c r="O22" i="1" s="1"/>
  <c r="R22" i="1" s="1"/>
  <c r="L22" i="1" s="1"/>
  <c r="M22" i="1" s="1"/>
  <c r="AB22" i="1"/>
  <c r="AD28" i="1"/>
  <c r="AC20" i="1"/>
  <c r="AD20" i="1" s="1"/>
  <c r="AB20" i="1"/>
  <c r="V20" i="1"/>
  <c r="Z20" i="1" s="1"/>
  <c r="AD19" i="1"/>
  <c r="V26" i="1"/>
  <c r="Z26" i="1" s="1"/>
  <c r="AC26" i="1"/>
  <c r="AD26" i="1" s="1"/>
  <c r="Q26" i="1"/>
  <c r="O26" i="1" s="1"/>
  <c r="R26" i="1" s="1"/>
  <c r="L26" i="1" s="1"/>
  <c r="M26" i="1" s="1"/>
  <c r="AB26" i="1"/>
  <c r="V18" i="1"/>
  <c r="Z18" i="1" s="1"/>
  <c r="AC18" i="1"/>
  <c r="Q18" i="1"/>
  <c r="O18" i="1" s="1"/>
  <c r="R18" i="1" s="1"/>
  <c r="L18" i="1" s="1"/>
  <c r="M18" i="1" s="1"/>
  <c r="AB18" i="1"/>
  <c r="AD23" i="1"/>
  <c r="AD22" i="1" l="1"/>
  <c r="AD18" i="1"/>
  <c r="AD27" i="1"/>
</calcChain>
</file>

<file path=xl/sharedStrings.xml><?xml version="1.0" encoding="utf-8"?>
<sst xmlns="http://schemas.openxmlformats.org/spreadsheetml/2006/main" count="818" uniqueCount="370">
  <si>
    <t>File opened</t>
  </si>
  <si>
    <t>2025-06-16 11:57:27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</si>
  <si>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</si>
  <si>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</si>
  <si>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</si>
  <si>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</si>
  <si>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</si>
  <si>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</si>
  <si>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</si>
  <si>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</si>
  <si>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</si>
  <si>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</si>
  <si>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</si>
  <si>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</si>
  <si>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</si>
  <si>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</si>
  <si>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</si>
  <si>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</si>
  <si>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</si>
  <si>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</si>
  <si>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</si>
  <si>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</si>
  <si>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</si>
  <si>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</si>
  <si>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</si>
  <si>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</si>
  <si>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</si>
  <si>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</si>
  <si>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11:57:27</t>
  </si>
  <si>
    <t>Stability Definition:	F (FlrLS): Per=20	ΔH2O (Meas2): Slp&lt;0.1 Per=20	ΔCO2 (Meas2): Slp&lt;0.5 Per=20</t>
  </si>
  <si>
    <t>11:58:36</t>
  </si>
  <si>
    <t>Config file loaded: 18 topics from file /home/licor/configs/Tinko/configs aci curve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</si>
  <si>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</si>
  <si>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</si>
  <si>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</si>
  <si>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</si>
  <si>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</si>
  <si>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</si>
  <si>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</si>
  <si>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</si>
  <si>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</si>
  <si>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</si>
  <si>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</si>
  <si>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</si>
  <si>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</si>
  <si>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</si>
  <si>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</si>
  <si>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</si>
  <si>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</si>
  <si>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</si>
  <si>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</si>
  <si>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</si>
  <si>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</si>
  <si>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</si>
  <si>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</si>
  <si>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</si>
  <si>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</si>
  <si>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</si>
  <si>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</si>
  <si>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</si>
  <si>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</si>
  <si>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</si>
  <si>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</si>
  <si>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</si>
  <si>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</si>
  <si>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</si>
  <si>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</si>
  <si>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</si>
  <si>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</si>
  <si>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</si>
  <si>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</si>
  <si>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</si>
  <si>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</si>
  <si>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</si>
  <si>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</si>
  <si>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</si>
  <si>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</si>
  <si>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</si>
  <si>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</si>
  <si>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</si>
  <si>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</si>
  <si>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</si>
  <si>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2.66235 161.504 338.922 587.29 851.003 1058.84 1303.06 1495.31</t>
  </si>
  <si>
    <t>Fs_true</t>
  </si>
  <si>
    <t>-0.858296 203.85 383.506 594.574 807.337 1001.36 1200.94 1400.96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</si>
  <si>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</si>
  <si>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</si>
  <si>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</si>
  <si>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</si>
  <si>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</si>
  <si>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</si>
  <si>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</si>
  <si>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</si>
  <si>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</si>
  <si>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</si>
  <si>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</si>
  <si>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</si>
  <si>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</si>
  <si>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</si>
  <si>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</si>
  <si>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</si>
  <si>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</si>
  <si>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</si>
  <si>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</si>
  <si>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</si>
  <si>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</si>
  <si>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</si>
  <si>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</si>
  <si>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</si>
  <si>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</si>
  <si>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</si>
  <si>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</si>
  <si>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</si>
  <si>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</si>
  <si>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</si>
  <si>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</si>
  <si>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</si>
  <si>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</si>
  <si>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</si>
  <si>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</si>
  <si>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</si>
  <si>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</si>
  <si>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</si>
  <si>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</si>
  <si>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</si>
  <si>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</si>
  <si>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</si>
  <si>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</si>
  <si>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</si>
  <si>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</si>
  <si>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</si>
  <si>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</si>
  <si>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</si>
  <si>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</si>
  <si>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</si>
  <si>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</si>
  <si>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</si>
  <si>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</si>
  <si>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</si>
  <si>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</si>
  <si>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</si>
  <si>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</si>
  <si>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</si>
  <si>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</si>
  <si>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</si>
  <si>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</si>
  <si>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</si>
  <si>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</si>
  <si>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</si>
  <si>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</si>
  <si>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</si>
  <si>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</si>
  <si>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</si>
  <si>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</si>
  <si>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</si>
  <si>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</si>
  <si>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</si>
  <si>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</si>
  <si>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</si>
  <si>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</si>
  <si>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</si>
  <si>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</si>
  <si>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</si>
  <si>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</si>
  <si>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</si>
  <si>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</si>
  <si>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</si>
  <si>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</si>
  <si>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</si>
  <si>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</si>
  <si>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</si>
  <si>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</si>
  <si>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</si>
  <si>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</si>
  <si>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</si>
  <si>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</si>
  <si>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</si>
  <si>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</si>
  <si>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</si>
  <si>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</si>
  <si>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</si>
  <si>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</si>
  <si>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</si>
  <si>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</si>
  <si>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</si>
  <si>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</si>
  <si>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</si>
  <si>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</si>
  <si>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</si>
  <si>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</si>
  <si>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</si>
  <si>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</si>
  <si>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</si>
  <si>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</si>
  <si>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</si>
  <si>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</si>
  <si>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</si>
  <si>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</si>
  <si>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</si>
  <si>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</si>
  <si>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</si>
  <si>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</si>
  <si>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</si>
  <si>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</si>
  <si>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</si>
  <si>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</si>
  <si>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</si>
  <si>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</si>
  <si>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</si>
  <si>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</si>
  <si>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</si>
  <si>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</si>
  <si>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</si>
  <si>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</si>
  <si>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</si>
  <si>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</si>
  <si>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</si>
  <si>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</si>
  <si>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</si>
  <si>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</si>
  <si>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</si>
  <si>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</si>
  <si>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</si>
  <si>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</si>
  <si>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</si>
  <si>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</si>
  <si>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</si>
  <si>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</si>
  <si>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</si>
  <si>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</si>
  <si>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</si>
  <si>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</si>
  <si>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</si>
  <si>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</si>
  <si>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</si>
  <si>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</si>
  <si>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</si>
  <si>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</si>
  <si>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</si>
  <si>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</si>
  <si>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</si>
  <si>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</si>
  <si>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</si>
  <si>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</si>
  <si>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</si>
  <si>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</si>
  <si>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</si>
  <si>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</si>
  <si>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</si>
  <si>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</si>
  <si>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</si>
  <si>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</si>
  <si>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</si>
  <si>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</si>
  <si>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</si>
  <si>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</si>
  <si>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</si>
  <si>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</si>
  <si>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</si>
  <si>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</si>
  <si>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</si>
  <si>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</si>
  <si>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</si>
  <si>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</si>
  <si>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</si>
  <si>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</si>
  <si>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</si>
  <si>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</si>
  <si>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</si>
  <si>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</si>
  <si>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</si>
  <si>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</si>
  <si>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</si>
  <si>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</si>
  <si>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</si>
  <si>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</si>
  <si>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</si>
  <si>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</si>
  <si>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</si>
  <si>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</si>
  <si>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</si>
  <si>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</si>
  <si>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</si>
  <si>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</si>
  <si>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</si>
  <si>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</si>
  <si>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</si>
  <si>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</si>
  <si>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</si>
  <si>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</si>
  <si>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</si>
  <si>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</si>
  <si>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</si>
  <si>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</si>
  <si>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</si>
  <si>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</si>
  <si>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</si>
  <si>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</si>
  <si>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</si>
  <si>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</si>
  <si>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</si>
  <si>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</si>
  <si>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</si>
  <si>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</si>
  <si>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</si>
  <si>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</si>
  <si>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</si>
  <si>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</si>
  <si>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</si>
  <si>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</si>
  <si>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</si>
  <si>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</si>
  <si>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</si>
  <si>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</si>
  <si>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</si>
  <si>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</si>
  <si>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</si>
  <si>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</si>
  <si>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</si>
  <si>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</si>
  <si>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</si>
  <si>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</si>
  <si>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</si>
  <si>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</si>
  <si>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</si>
  <si>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</si>
  <si>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</si>
  <si>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</si>
  <si>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</si>
  <si>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</si>
  <si>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</si>
  <si>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</si>
  <si>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</si>
  <si>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</si>
  <si>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</si>
  <si>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</si>
  <si>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20250616 12:26:28</t>
  </si>
  <si>
    <t>12:26:28</t>
  </si>
  <si>
    <t>0: Broadleaf</t>
  </si>
  <si>
    <t>09:49:26</t>
  </si>
  <si>
    <t>2/2</t>
  </si>
  <si>
    <t>11111111</t>
  </si>
  <si>
    <t>oooooooo</t>
  </si>
  <si>
    <t>on</t>
  </si>
  <si>
    <t>20250616 12:29:28</t>
  </si>
  <si>
    <t>12:29:28</t>
  </si>
  <si>
    <t>1/2</t>
  </si>
  <si>
    <t>20250616 12:32:29</t>
  </si>
  <si>
    <t>12:32:29</t>
  </si>
  <si>
    <t>20250616 12:35:29</t>
  </si>
  <si>
    <t>12:35:29</t>
  </si>
  <si>
    <t>20250616 12:38:30</t>
  </si>
  <si>
    <t>12:38:30</t>
  </si>
  <si>
    <t>20250616 12:41:30</t>
  </si>
  <si>
    <t>12:41:30</t>
  </si>
  <si>
    <t>0/2</t>
  </si>
  <si>
    <t>20250616 12:44:31</t>
  </si>
  <si>
    <t>12:44:31</t>
  </si>
  <si>
    <t>20250616 12:47:31</t>
  </si>
  <si>
    <t>12:47:31</t>
  </si>
  <si>
    <t>20250616 12:50:32</t>
  </si>
  <si>
    <t>12:50:32</t>
  </si>
  <si>
    <t>20250616 12:53:32</t>
  </si>
  <si>
    <t>12:53:32</t>
  </si>
  <si>
    <t>20250616 12:56:33</t>
  </si>
  <si>
    <t>12:56:33</t>
  </si>
  <si>
    <t>20250616 12:59:33</t>
  </si>
  <si>
    <t>12:59:33</t>
  </si>
  <si>
    <t>20250616 13:02:34</t>
  </si>
  <si>
    <t>13:02:34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</si>
</sst>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W7" workbookViewId="0">
      <selection activeCell="BC10" sqref="BC10"/>
    </sheetView>
  </sheetViews>
  <sheetFormatPr defaultRowHeight="14.4" x14ac:dyDescent="0.3"/>
  <sheetData>
    <row r="2" spans="1:210" x14ac:dyDescent="0.3">
      <c r="A2" t="s">
        <v>32</v>
      </c>
      <c r="B2" t="s">
        <v>33</v>
      </c>
      <c r="C2" t="s">
        <v>34</v>
      </c>
    </row>
    <row r="3" spans="1:210" x14ac:dyDescent="0.3">
      <c r="B3">
        <v>5</v>
      </c>
      <c r="C3">
        <v>21</v>
      </c>
    </row>
    <row r="4" spans="1:210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0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1.5</v>
      </c>
    </row>
    <row r="14" spans="1:210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90</v>
      </c>
      <c r="AW14" t="s">
        <v>90</v>
      </c>
      <c r="AX14" t="s">
        <v>90</v>
      </c>
      <c r="AY14" t="s">
        <v>90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96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</row>
    <row r="15" spans="1:210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132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89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108</v>
      </c>
      <c r="BF15" t="s">
        <v>157</v>
      </c>
      <c r="BG15" t="s">
        <v>158</v>
      </c>
      <c r="BH15" t="s">
        <v>159</v>
      </c>
      <c r="BI15" t="s">
        <v>160</v>
      </c>
      <c r="BJ15" t="s">
        <v>161</v>
      </c>
      <c r="BK15" t="s">
        <v>162</v>
      </c>
      <c r="BL15" t="s">
        <v>163</v>
      </c>
      <c r="BM15" t="s">
        <v>164</v>
      </c>
      <c r="BN15" t="s">
        <v>165</v>
      </c>
      <c r="BO15" t="s">
        <v>166</v>
      </c>
      <c r="BP15" t="s">
        <v>167</v>
      </c>
      <c r="BQ15" t="s">
        <v>168</v>
      </c>
      <c r="BR15" t="s">
        <v>169</v>
      </c>
      <c r="BS15" t="s">
        <v>170</v>
      </c>
      <c r="BT15" t="s">
        <v>171</v>
      </c>
      <c r="BU15" t="s">
        <v>172</v>
      </c>
      <c r="BV15" t="s">
        <v>173</v>
      </c>
      <c r="BW15" t="s">
        <v>174</v>
      </c>
      <c r="BX15" t="s">
        <v>175</v>
      </c>
      <c r="BY15" t="s">
        <v>176</v>
      </c>
      <c r="BZ15" t="s">
        <v>177</v>
      </c>
      <c r="CA15" t="s">
        <v>178</v>
      </c>
      <c r="CB15" t="s">
        <v>179</v>
      </c>
      <c r="CC15" t="s">
        <v>180</v>
      </c>
      <c r="CD15" t="s">
        <v>181</v>
      </c>
      <c r="CE15" t="s">
        <v>182</v>
      </c>
      <c r="CF15" t="s">
        <v>183</v>
      </c>
      <c r="CG15" t="s">
        <v>103</v>
      </c>
      <c r="CH15" t="s">
        <v>106</v>
      </c>
      <c r="CI15" t="s">
        <v>184</v>
      </c>
      <c r="CJ15" t="s">
        <v>185</v>
      </c>
      <c r="CK15" t="s">
        <v>186</v>
      </c>
      <c r="CL15" t="s">
        <v>187</v>
      </c>
      <c r="CM15" t="s">
        <v>188</v>
      </c>
      <c r="CN15" t="s">
        <v>189</v>
      </c>
      <c r="CO15" t="s">
        <v>190</v>
      </c>
      <c r="CP15" t="s">
        <v>191</v>
      </c>
      <c r="CQ15" t="s">
        <v>192</v>
      </c>
      <c r="CR15" t="s">
        <v>193</v>
      </c>
      <c r="CS15" t="s">
        <v>194</v>
      </c>
      <c r="CT15" t="s">
        <v>195</v>
      </c>
      <c r="CU15" t="s">
        <v>196</v>
      </c>
      <c r="CV15" t="s">
        <v>197</v>
      </c>
      <c r="CW15" t="s">
        <v>198</v>
      </c>
      <c r="CX15" t="s">
        <v>199</v>
      </c>
      <c r="CY15" t="s">
        <v>200</v>
      </c>
      <c r="CZ15" t="s">
        <v>201</v>
      </c>
      <c r="DA15" t="s">
        <v>202</v>
      </c>
      <c r="DB15" t="s">
        <v>203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244</v>
      </c>
      <c r="ER15" t="s">
        <v>245</v>
      </c>
      <c r="ES15" t="s">
        <v>246</v>
      </c>
      <c r="ET15" t="s">
        <v>247</v>
      </c>
      <c r="EU15" t="s">
        <v>248</v>
      </c>
      <c r="EV15" t="s">
        <v>249</v>
      </c>
      <c r="EW15" t="s">
        <v>250</v>
      </c>
      <c r="EX15" t="s">
        <v>251</v>
      </c>
      <c r="EY15" t="s">
        <v>252</v>
      </c>
      <c r="EZ15" t="s">
        <v>253</v>
      </c>
      <c r="FA15" t="s">
        <v>254</v>
      </c>
      <c r="FB15" t="s">
        <v>255</v>
      </c>
      <c r="FC15" t="s">
        <v>256</v>
      </c>
      <c r="FD15" t="s">
        <v>257</v>
      </c>
      <c r="FE15" t="s">
        <v>258</v>
      </c>
      <c r="FF15" t="s">
        <v>259</v>
      </c>
      <c r="FG15" t="s">
        <v>260</v>
      </c>
      <c r="FH15" t="s">
        <v>261</v>
      </c>
      <c r="FI15" t="s">
        <v>262</v>
      </c>
      <c r="FJ15" t="s">
        <v>263</v>
      </c>
      <c r="FK15" t="s">
        <v>264</v>
      </c>
      <c r="FL15" t="s">
        <v>265</v>
      </c>
      <c r="FM15" t="s">
        <v>266</v>
      </c>
      <c r="FN15" t="s">
        <v>267</v>
      </c>
      <c r="FO15" t="s">
        <v>268</v>
      </c>
      <c r="FP15" t="s">
        <v>269</v>
      </c>
      <c r="FQ15" t="s">
        <v>270</v>
      </c>
      <c r="FR15" t="s">
        <v>271</v>
      </c>
      <c r="FS15" t="s">
        <v>272</v>
      </c>
      <c r="FT15" t="s">
        <v>273</v>
      </c>
      <c r="FU15" t="s">
        <v>274</v>
      </c>
      <c r="FV15" t="s">
        <v>275</v>
      </c>
      <c r="FW15" t="s">
        <v>276</v>
      </c>
      <c r="FX15" t="s">
        <v>277</v>
      </c>
      <c r="FY15" t="s">
        <v>278</v>
      </c>
      <c r="FZ15" t="s">
        <v>279</v>
      </c>
      <c r="GA15" t="s">
        <v>280</v>
      </c>
      <c r="GB15" t="s">
        <v>281</v>
      </c>
      <c r="GC15" t="s">
        <v>282</v>
      </c>
      <c r="GD15" t="s">
        <v>283</v>
      </c>
      <c r="GE15" t="s">
        <v>284</v>
      </c>
      <c r="GF15" t="s">
        <v>285</v>
      </c>
      <c r="GG15" t="s">
        <v>286</v>
      </c>
      <c r="GH15" t="s">
        <v>287</v>
      </c>
      <c r="GI15" t="s">
        <v>288</v>
      </c>
      <c r="GJ15" t="s">
        <v>289</v>
      </c>
      <c r="GK15" t="s">
        <v>290</v>
      </c>
      <c r="GL15" t="s">
        <v>291</v>
      </c>
      <c r="GM15" t="s">
        <v>292</v>
      </c>
      <c r="GN15" t="s">
        <v>293</v>
      </c>
      <c r="GO15" t="s">
        <v>294</v>
      </c>
      <c r="GP15" t="s">
        <v>295</v>
      </c>
      <c r="GQ15" t="s">
        <v>296</v>
      </c>
      <c r="GR15" t="s">
        <v>297</v>
      </c>
      <c r="GS15" t="s">
        <v>298</v>
      </c>
      <c r="GT15" t="s">
        <v>299</v>
      </c>
      <c r="GU15" t="s">
        <v>300</v>
      </c>
      <c r="GV15" t="s">
        <v>301</v>
      </c>
      <c r="GW15" t="s">
        <v>302</v>
      </c>
      <c r="GX15" t="s">
        <v>303</v>
      </c>
      <c r="GY15" t="s">
        <v>304</v>
      </c>
      <c r="GZ15" t="s">
        <v>305</v>
      </c>
      <c r="HA15" t="s">
        <v>306</v>
      </c>
      <c r="HB15" t="s">
        <v>307</v>
      </c>
    </row>
    <row r="16" spans="1:210" x14ac:dyDescent="0.3">
      <c r="B16" t="s">
        <v>308</v>
      </c>
      <c r="C16" t="s">
        <v>308</v>
      </c>
      <c r="F16" t="s">
        <v>308</v>
      </c>
      <c r="G16" t="s">
        <v>308</v>
      </c>
      <c r="H16" t="s">
        <v>309</v>
      </c>
      <c r="I16" t="s">
        <v>310</v>
      </c>
      <c r="J16" t="s">
        <v>311</v>
      </c>
      <c r="K16" t="s">
        <v>312</v>
      </c>
      <c r="L16" t="s">
        <v>312</v>
      </c>
      <c r="M16" t="s">
        <v>164</v>
      </c>
      <c r="N16" t="s">
        <v>164</v>
      </c>
      <c r="O16" t="s">
        <v>309</v>
      </c>
      <c r="P16" t="s">
        <v>309</v>
      </c>
      <c r="Q16" t="s">
        <v>309</v>
      </c>
      <c r="R16" t="s">
        <v>309</v>
      </c>
      <c r="S16" t="s">
        <v>313</v>
      </c>
      <c r="T16" t="s">
        <v>314</v>
      </c>
      <c r="U16" t="s">
        <v>314</v>
      </c>
      <c r="V16" t="s">
        <v>315</v>
      </c>
      <c r="W16" t="s">
        <v>316</v>
      </c>
      <c r="X16" t="s">
        <v>315</v>
      </c>
      <c r="Y16" t="s">
        <v>315</v>
      </c>
      <c r="Z16" t="s">
        <v>315</v>
      </c>
      <c r="AA16" t="s">
        <v>313</v>
      </c>
      <c r="AB16" t="s">
        <v>313</v>
      </c>
      <c r="AC16" t="s">
        <v>313</v>
      </c>
      <c r="AD16" t="s">
        <v>313</v>
      </c>
      <c r="AE16" t="s">
        <v>311</v>
      </c>
      <c r="AF16" t="s">
        <v>310</v>
      </c>
      <c r="AG16" t="s">
        <v>311</v>
      </c>
      <c r="AH16" t="s">
        <v>312</v>
      </c>
      <c r="AI16" t="s">
        <v>312</v>
      </c>
      <c r="AJ16" t="s">
        <v>317</v>
      </c>
      <c r="AK16" t="s">
        <v>318</v>
      </c>
      <c r="AL16" t="s">
        <v>310</v>
      </c>
      <c r="AM16" t="s">
        <v>319</v>
      </c>
      <c r="AN16" t="s">
        <v>319</v>
      </c>
      <c r="AO16" t="s">
        <v>320</v>
      </c>
      <c r="AP16" t="s">
        <v>318</v>
      </c>
      <c r="AQ16" t="s">
        <v>321</v>
      </c>
      <c r="AR16" t="s">
        <v>316</v>
      </c>
      <c r="AT16" t="s">
        <v>316</v>
      </c>
      <c r="AU16" t="s">
        <v>321</v>
      </c>
      <c r="AV16" t="s">
        <v>311</v>
      </c>
      <c r="AW16" t="s">
        <v>311</v>
      </c>
      <c r="AY16" t="s">
        <v>322</v>
      </c>
      <c r="AZ16" t="s">
        <v>323</v>
      </c>
      <c r="BC16" t="s">
        <v>309</v>
      </c>
      <c r="BE16" t="s">
        <v>308</v>
      </c>
      <c r="BF16" t="s">
        <v>312</v>
      </c>
      <c r="BG16" t="s">
        <v>312</v>
      </c>
      <c r="BH16" t="s">
        <v>319</v>
      </c>
      <c r="BI16" t="s">
        <v>319</v>
      </c>
      <c r="BJ16" t="s">
        <v>312</v>
      </c>
      <c r="BK16" t="s">
        <v>319</v>
      </c>
      <c r="BL16" t="s">
        <v>321</v>
      </c>
      <c r="BM16" t="s">
        <v>315</v>
      </c>
      <c r="BN16" t="s">
        <v>315</v>
      </c>
      <c r="BO16" t="s">
        <v>314</v>
      </c>
      <c r="BP16" t="s">
        <v>314</v>
      </c>
      <c r="BQ16" t="s">
        <v>314</v>
      </c>
      <c r="BR16" t="s">
        <v>314</v>
      </c>
      <c r="BS16" t="s">
        <v>314</v>
      </c>
      <c r="BT16" t="s">
        <v>324</v>
      </c>
      <c r="BU16" t="s">
        <v>311</v>
      </c>
      <c r="BV16" t="s">
        <v>311</v>
      </c>
      <c r="BW16" t="s">
        <v>312</v>
      </c>
      <c r="BX16" t="s">
        <v>312</v>
      </c>
      <c r="BY16" t="s">
        <v>312</v>
      </c>
      <c r="BZ16" t="s">
        <v>319</v>
      </c>
      <c r="CA16" t="s">
        <v>312</v>
      </c>
      <c r="CB16" t="s">
        <v>319</v>
      </c>
      <c r="CC16" t="s">
        <v>315</v>
      </c>
      <c r="CD16" t="s">
        <v>315</v>
      </c>
      <c r="CE16" t="s">
        <v>314</v>
      </c>
      <c r="CF16" t="s">
        <v>314</v>
      </c>
      <c r="CG16" t="s">
        <v>325</v>
      </c>
      <c r="CI16" t="s">
        <v>308</v>
      </c>
      <c r="CJ16" t="s">
        <v>308</v>
      </c>
      <c r="CL16" t="s">
        <v>326</v>
      </c>
      <c r="CM16" t="s">
        <v>327</v>
      </c>
      <c r="CN16" t="s">
        <v>326</v>
      </c>
      <c r="CO16" t="s">
        <v>327</v>
      </c>
      <c r="CP16" t="s">
        <v>326</v>
      </c>
      <c r="CQ16" t="s">
        <v>327</v>
      </c>
      <c r="CR16" t="s">
        <v>316</v>
      </c>
      <c r="CS16" t="s">
        <v>316</v>
      </c>
      <c r="CT16" t="s">
        <v>312</v>
      </c>
      <c r="CU16" t="s">
        <v>328</v>
      </c>
      <c r="CV16" t="s">
        <v>312</v>
      </c>
      <c r="CY16" t="s">
        <v>329</v>
      </c>
      <c r="DB16" t="s">
        <v>319</v>
      </c>
      <c r="DC16" t="s">
        <v>330</v>
      </c>
      <c r="DD16" t="s">
        <v>319</v>
      </c>
      <c r="DI16" t="s">
        <v>331</v>
      </c>
      <c r="DJ16" t="s">
        <v>331</v>
      </c>
      <c r="DW16" t="s">
        <v>331</v>
      </c>
      <c r="DX16" t="s">
        <v>331</v>
      </c>
      <c r="DY16" t="s">
        <v>332</v>
      </c>
      <c r="DZ16" t="s">
        <v>332</v>
      </c>
      <c r="EA16" t="s">
        <v>314</v>
      </c>
      <c r="EB16" t="s">
        <v>314</v>
      </c>
      <c r="EC16" t="s">
        <v>316</v>
      </c>
      <c r="ED16" t="s">
        <v>314</v>
      </c>
      <c r="EE16" t="s">
        <v>319</v>
      </c>
      <c r="EF16" t="s">
        <v>316</v>
      </c>
      <c r="EG16" t="s">
        <v>316</v>
      </c>
      <c r="EI16" t="s">
        <v>331</v>
      </c>
      <c r="EJ16" t="s">
        <v>331</v>
      </c>
      <c r="EK16" t="s">
        <v>331</v>
      </c>
      <c r="EL16" t="s">
        <v>331</v>
      </c>
      <c r="EM16" t="s">
        <v>331</v>
      </c>
      <c r="EN16" t="s">
        <v>331</v>
      </c>
      <c r="EO16" t="s">
        <v>331</v>
      </c>
      <c r="EP16" t="s">
        <v>333</v>
      </c>
      <c r="EQ16" t="s">
        <v>333</v>
      </c>
      <c r="ER16" t="s">
        <v>333</v>
      </c>
      <c r="ES16" t="s">
        <v>334</v>
      </c>
      <c r="ET16" t="s">
        <v>331</v>
      </c>
      <c r="EU16" t="s">
        <v>331</v>
      </c>
      <c r="EV16" t="s">
        <v>331</v>
      </c>
      <c r="EW16" t="s">
        <v>331</v>
      </c>
      <c r="EX16" t="s">
        <v>331</v>
      </c>
      <c r="EY16" t="s">
        <v>331</v>
      </c>
      <c r="EZ16" t="s">
        <v>331</v>
      </c>
      <c r="FA16" t="s">
        <v>331</v>
      </c>
      <c r="FB16" t="s">
        <v>331</v>
      </c>
      <c r="FC16" t="s">
        <v>331</v>
      </c>
      <c r="FD16" t="s">
        <v>331</v>
      </c>
      <c r="FE16" t="s">
        <v>331</v>
      </c>
      <c r="FL16" t="s">
        <v>331</v>
      </c>
      <c r="FM16" t="s">
        <v>316</v>
      </c>
      <c r="FN16" t="s">
        <v>316</v>
      </c>
      <c r="FO16" t="s">
        <v>326</v>
      </c>
      <c r="FP16" t="s">
        <v>327</v>
      </c>
      <c r="FQ16" t="s">
        <v>326</v>
      </c>
      <c r="FU16" t="s">
        <v>327</v>
      </c>
      <c r="FY16" t="s">
        <v>312</v>
      </c>
      <c r="FZ16" t="s">
        <v>312</v>
      </c>
      <c r="GA16" t="s">
        <v>319</v>
      </c>
      <c r="GB16" t="s">
        <v>319</v>
      </c>
      <c r="GC16" t="s">
        <v>335</v>
      </c>
      <c r="GD16" t="s">
        <v>335</v>
      </c>
      <c r="GE16" t="s">
        <v>331</v>
      </c>
      <c r="GF16" t="s">
        <v>331</v>
      </c>
      <c r="GG16" t="s">
        <v>331</v>
      </c>
      <c r="GH16" t="s">
        <v>331</v>
      </c>
      <c r="GI16" t="s">
        <v>331</v>
      </c>
      <c r="GJ16" t="s">
        <v>331</v>
      </c>
      <c r="GK16" t="s">
        <v>314</v>
      </c>
      <c r="GL16" t="s">
        <v>331</v>
      </c>
      <c r="GN16" t="s">
        <v>321</v>
      </c>
      <c r="GO16" t="s">
        <v>321</v>
      </c>
      <c r="GP16" t="s">
        <v>314</v>
      </c>
      <c r="GQ16" t="s">
        <v>314</v>
      </c>
      <c r="GR16" t="s">
        <v>314</v>
      </c>
      <c r="GS16" t="s">
        <v>314</v>
      </c>
      <c r="GT16" t="s">
        <v>314</v>
      </c>
      <c r="GU16" t="s">
        <v>316</v>
      </c>
      <c r="GV16" t="s">
        <v>316</v>
      </c>
      <c r="GW16" t="s">
        <v>316</v>
      </c>
      <c r="GX16" t="s">
        <v>314</v>
      </c>
      <c r="GY16" t="s">
        <v>312</v>
      </c>
      <c r="GZ16" t="s">
        <v>319</v>
      </c>
      <c r="HA16" t="s">
        <v>316</v>
      </c>
      <c r="HB16" t="s">
        <v>316</v>
      </c>
    </row>
    <row r="17" spans="1:210" x14ac:dyDescent="0.3">
      <c r="A17">
        <v>1</v>
      </c>
      <c r="B17">
        <v>1750069588</v>
      </c>
      <c r="C17">
        <v>0</v>
      </c>
      <c r="D17" t="s">
        <v>336</v>
      </c>
      <c r="E17" t="s">
        <v>337</v>
      </c>
      <c r="F17">
        <v>15</v>
      </c>
      <c r="G17">
        <v>1750069580</v>
      </c>
      <c r="H17">
        <f t="shared" ref="H17:H29" si="0">(I17)/1000</f>
        <v>2.2424605229481023E-3</v>
      </c>
      <c r="I17">
        <f t="shared" ref="I17:I29" si="1">IF(BD17, AL17, AF17)</f>
        <v>2.2424605229481025</v>
      </c>
      <c r="J17">
        <f t="shared" ref="J17:J29" si="2">IF(BD17, AG17, AE17)</f>
        <v>19.783046005935429</v>
      </c>
      <c r="K17">
        <f t="shared" ref="K17:K29" si="3">BF17 - IF(AS17&gt;1, J17*AZ17*100/(AU17), 0)</f>
        <v>403.44764516129032</v>
      </c>
      <c r="L17">
        <f t="shared" ref="L17:L29" si="4">((R17-H17/2)*K17-J17)/(R17+H17/2)</f>
        <v>269.73486942914758</v>
      </c>
      <c r="M17">
        <f t="shared" ref="M17:M29" si="5">L17*(BM17+BN17)/1000</f>
        <v>27.705197352306545</v>
      </c>
      <c r="N17">
        <f t="shared" ref="N17:N29" si="6">(BF17 - IF(AS17&gt;1, J17*AZ17*100/(AU17), 0))*(BM17+BN17)/1000</f>
        <v>41.439197884102114</v>
      </c>
      <c r="O17">
        <f t="shared" ref="O17:O29" si="7">2/((1/Q17-1/P17)+SIGN(Q17)*SQRT((1/Q17-1/P17)*(1/Q17-1/P17) + 4*BA17/((BA17+1)*(BA17+1))*(2*1/Q17*1/P17-1/P17*1/P17)))</f>
        <v>0.26578858103161629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2.436398981065786</v>
      </c>
      <c r="Q17">
        <f t="shared" ref="Q17:Q29" si="9">H17*(1000-(1000*0.61365*EXP(17.502*U17/(240.97+U17))/(BM17+BN17)+BH17)/2)/(1000*0.61365*EXP(17.502*U17/(240.97+U17))/(BM17+BN17)-BH17)</f>
        <v>0.24270086045917647</v>
      </c>
      <c r="R17">
        <f t="shared" ref="R17:R29" si="10">1/((BA17+1)/(O17/1.6)+1/(P17/1.37)) + BA17/((BA17+1)/(O17/1.6) + BA17/(P17/1.37))</f>
        <v>0.15359668139663335</v>
      </c>
      <c r="S17">
        <f t="shared" ref="S17:S29" si="11">(AV17*AY17)</f>
        <v>177.86324741935482</v>
      </c>
      <c r="T17">
        <f t="shared" ref="T17:T29" si="12">(BO17+(S17+2*0.95*0.0000000567*(((BO17+$B$7)+273)^4-(BO17+273)^4)-44100*H17)/(1.84*29.3*P17+8*0.95*0.0000000567*(BO17+273)^3))</f>
        <v>27.461979600421863</v>
      </c>
      <c r="U17">
        <f t="shared" ref="U17:U29" si="13">($C$7*BP17+$D$7*BQ17+$E$7*T17)</f>
        <v>26.296425806451609</v>
      </c>
      <c r="V17">
        <f t="shared" ref="V17:V29" si="14">0.61365*EXP(17.502*U17/(240.97+U17))</f>
        <v>3.4338999092703846</v>
      </c>
      <c r="W17">
        <f t="shared" ref="W17:W29" si="15">(X17/Y17*100)</f>
        <v>70.56735344258901</v>
      </c>
      <c r="X17">
        <f t="shared" ref="X17:X29" si="16">BH17*(BM17+BN17)/1000</f>
        <v>2.5123454097584803</v>
      </c>
      <c r="Y17">
        <f t="shared" ref="Y17:Y29" si="17">0.61365*EXP(17.502*BO17/(240.97+BO17))</f>
        <v>3.5602092004235808</v>
      </c>
      <c r="Z17">
        <f t="shared" ref="Z17:Z29" si="18">(V17-BH17*(BM17+BN17)/1000)</f>
        <v>0.92155449951190427</v>
      </c>
      <c r="AA17">
        <f t="shared" ref="AA17:AA29" si="19">(-H17*44100)</f>
        <v>-98.892509062011314</v>
      </c>
      <c r="AB17">
        <f t="shared" ref="AB17:AB29" si="20">2*29.3*P17*0.92*(BO17-U17)</f>
        <v>80.546638759783036</v>
      </c>
      <c r="AC17">
        <f t="shared" ref="AC17:AC29" si="21">2*0.95*0.0000000567*(((BO17+$B$7)+273)^4-(U17+273)^4)</f>
        <v>7.1063942198553578</v>
      </c>
      <c r="AD17">
        <f t="shared" ref="AD17:AD29" si="22">S17+AC17+AA17+AB17</f>
        <v>166.62377133698192</v>
      </c>
      <c r="AE17">
        <f t="shared" ref="AE17:AE29" si="23">BL17*AS17*(BG17-BF17*(1000-AS17*BI17)/(1000-AS17*BH17))/(100*AZ17)</f>
        <v>19.783046005935429</v>
      </c>
      <c r="AF17">
        <f t="shared" ref="AF17:AF29" si="24">1000*BL17*AS17*(BH17-BI17)/(100*AZ17*(1000-AS17*BH17))</f>
        <v>2.2424605229481025</v>
      </c>
      <c r="AG17">
        <f t="shared" ref="AG17:AG29" si="25">(AH17 - AI17 - BM17*1000/(8.314*(BO17+273.15)) * AK17/BL17 * AJ17) * BL17/(100*AZ17) * (1000 - BI17)/1000</f>
        <v>19.792651144184497</v>
      </c>
      <c r="AH17">
        <v>458.96276365607929</v>
      </c>
      <c r="AI17">
        <v>413.54564848484819</v>
      </c>
      <c r="AJ17">
        <v>-1.507946443707391E-5</v>
      </c>
      <c r="AK17">
        <v>83.942381885923893</v>
      </c>
      <c r="AL17">
        <f t="shared" ref="AL17:AL29" si="26">(AN17 - AM17 + BM17*1000/(8.314*(BO17+273.15)) * AP17/BL17 * AO17) * BL17/(100*AZ17) * 1000/(1000 - AN17)</f>
        <v>2.2425525882159669</v>
      </c>
      <c r="AM17">
        <v>19.537822843128222</v>
      </c>
      <c r="AN17">
        <v>24.459759966120849</v>
      </c>
      <c r="AO17">
        <v>-9.0202121231016396E-7</v>
      </c>
      <c r="AP17">
        <v>90.565554332150427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54290.980746502297</v>
      </c>
      <c r="AV17">
        <f t="shared" ref="AV17:AV29" si="30">$B$11*BU17+$C$11*BV17</f>
        <v>936.12235483870961</v>
      </c>
      <c r="AW17">
        <f t="shared" ref="AW17:AW29" si="31">AV17*AX17</f>
        <v>748.89788387096769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14.19</v>
      </c>
      <c r="BB17" t="s">
        <v>338</v>
      </c>
      <c r="BC17">
        <v>2</v>
      </c>
      <c r="BD17" t="b">
        <v>0</v>
      </c>
      <c r="BE17">
        <v>1750069580</v>
      </c>
      <c r="BF17">
        <v>403.44764516129032</v>
      </c>
      <c r="BG17">
        <v>449.99135483870981</v>
      </c>
      <c r="BH17">
        <v>24.45992903225806</v>
      </c>
      <c r="BI17">
        <v>19.538203225806459</v>
      </c>
      <c r="BJ17">
        <v>401.20609677419361</v>
      </c>
      <c r="BK17">
        <v>24.274596774193551</v>
      </c>
      <c r="BL17">
        <v>400.03225806451621</v>
      </c>
      <c r="BM17">
        <v>102.6126774193549</v>
      </c>
      <c r="BN17">
        <v>0.10002491290322579</v>
      </c>
      <c r="BO17">
        <v>26.909641935483869</v>
      </c>
      <c r="BP17">
        <v>26.296425806451609</v>
      </c>
      <c r="BQ17">
        <v>999.90000000000032</v>
      </c>
      <c r="BR17">
        <v>0</v>
      </c>
      <c r="BS17">
        <v>0</v>
      </c>
      <c r="BT17">
        <v>10003.06451612903</v>
      </c>
      <c r="BU17">
        <v>936.12235483870961</v>
      </c>
      <c r="BV17">
        <v>18.022254838709671</v>
      </c>
      <c r="BW17">
        <v>-46.543751612903229</v>
      </c>
      <c r="BX17">
        <v>413.56335483870959</v>
      </c>
      <c r="BY17">
        <v>458.95861290322591</v>
      </c>
      <c r="BZ17">
        <v>4.9217261290322583</v>
      </c>
      <c r="CA17">
        <v>449.99135483870981</v>
      </c>
      <c r="CB17">
        <v>19.538203225806459</v>
      </c>
      <c r="CC17">
        <v>2.509899032258065</v>
      </c>
      <c r="CD17">
        <v>2.0048670967741939</v>
      </c>
      <c r="CE17">
        <v>21.09083225806452</v>
      </c>
      <c r="CF17">
        <v>17.482825806451611</v>
      </c>
      <c r="CG17">
        <v>1750060166.5999999</v>
      </c>
      <c r="CH17" t="s">
        <v>339</v>
      </c>
      <c r="CI17">
        <v>1750060157.0999999</v>
      </c>
      <c r="CJ17">
        <v>1750060166.5999999</v>
      </c>
      <c r="CK17">
        <v>4</v>
      </c>
      <c r="CL17">
        <v>-0.13200000000000001</v>
      </c>
      <c r="CM17">
        <v>-8.9999999999999993E-3</v>
      </c>
      <c r="CN17">
        <v>2.6520000000000001</v>
      </c>
      <c r="CO17">
        <v>0.185</v>
      </c>
      <c r="CP17">
        <v>450</v>
      </c>
      <c r="CQ17">
        <v>19</v>
      </c>
      <c r="CR17">
        <v>0.35</v>
      </c>
      <c r="CS17">
        <v>0.02</v>
      </c>
      <c r="CT17">
        <v>-46.554126829268291</v>
      </c>
      <c r="CU17">
        <v>0.12981533101039289</v>
      </c>
      <c r="CV17">
        <v>2.5731199856283402E-2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4.9216017073170732</v>
      </c>
      <c r="DC17">
        <v>1.4216027880783761E-5</v>
      </c>
      <c r="DD17">
        <v>9.7650921951616075E-4</v>
      </c>
      <c r="DE17">
        <v>1</v>
      </c>
      <c r="DF17">
        <v>2</v>
      </c>
      <c r="DG17">
        <v>2</v>
      </c>
      <c r="DH17" t="s">
        <v>340</v>
      </c>
      <c r="DI17">
        <v>3.0245000000000002</v>
      </c>
      <c r="DJ17">
        <v>2.6910699999999999</v>
      </c>
      <c r="DK17">
        <v>9.4727199999999998E-2</v>
      </c>
      <c r="DL17">
        <v>0.10378900000000001</v>
      </c>
      <c r="DM17">
        <v>0.122931</v>
      </c>
      <c r="DN17">
        <v>0.10591399999999999</v>
      </c>
      <c r="DO17">
        <v>25235.7</v>
      </c>
      <c r="DP17">
        <v>16860</v>
      </c>
      <c r="DQ17">
        <v>26449.5</v>
      </c>
      <c r="DR17">
        <v>17097.900000000001</v>
      </c>
      <c r="DS17">
        <v>32988.6</v>
      </c>
      <c r="DT17">
        <v>19939.900000000001</v>
      </c>
      <c r="DU17">
        <v>38528.699999999997</v>
      </c>
      <c r="DV17">
        <v>22627.200000000001</v>
      </c>
      <c r="DW17">
        <v>1.8058399999999999</v>
      </c>
      <c r="DX17">
        <v>2.2010200000000002</v>
      </c>
      <c r="DY17">
        <v>7.0735800000000001E-2</v>
      </c>
      <c r="DZ17">
        <v>0</v>
      </c>
      <c r="EA17">
        <v>25.1312</v>
      </c>
      <c r="EB17">
        <v>999.9</v>
      </c>
      <c r="EC17">
        <v>53.3</v>
      </c>
      <c r="ED17">
        <v>32.299999999999997</v>
      </c>
      <c r="EE17">
        <v>25.226299999999998</v>
      </c>
      <c r="EF17">
        <v>62.752299999999998</v>
      </c>
      <c r="EG17">
        <v>34.739600000000003</v>
      </c>
      <c r="EH17">
        <v>1</v>
      </c>
      <c r="EI17">
        <v>3.7416699999999997E-2</v>
      </c>
      <c r="EJ17">
        <v>1.47473E-2</v>
      </c>
      <c r="EK17">
        <v>20.327000000000002</v>
      </c>
      <c r="EL17">
        <v>5.2520300000000004</v>
      </c>
      <c r="EM17">
        <v>11.962</v>
      </c>
      <c r="EN17">
        <v>4.9894400000000001</v>
      </c>
      <c r="EO17">
        <v>3.2911199999999998</v>
      </c>
      <c r="EP17">
        <v>9999</v>
      </c>
      <c r="EQ17">
        <v>9999</v>
      </c>
      <c r="ER17">
        <v>9999</v>
      </c>
      <c r="ES17">
        <v>999.9</v>
      </c>
      <c r="ET17">
        <v>4.9727199999999998</v>
      </c>
      <c r="EU17">
        <v>1.87195</v>
      </c>
      <c r="EV17">
        <v>1.8721699999999999</v>
      </c>
      <c r="EW17">
        <v>1.8772500000000001</v>
      </c>
      <c r="EX17">
        <v>1.8713500000000001</v>
      </c>
      <c r="EY17">
        <v>1.87212</v>
      </c>
      <c r="EZ17">
        <v>1.8717999999999999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341</v>
      </c>
      <c r="FG17" t="s">
        <v>342</v>
      </c>
      <c r="FH17" t="s">
        <v>343</v>
      </c>
      <c r="FI17" t="s">
        <v>343</v>
      </c>
      <c r="FJ17" t="s">
        <v>343</v>
      </c>
      <c r="FK17" t="s">
        <v>343</v>
      </c>
      <c r="FL17">
        <v>0</v>
      </c>
      <c r="FM17">
        <v>100</v>
      </c>
      <c r="FN17">
        <v>100</v>
      </c>
      <c r="FO17">
        <v>2.2410000000000001</v>
      </c>
      <c r="FP17">
        <v>0.18529999999999999</v>
      </c>
      <c r="FQ17">
        <v>-1.0803177837955851</v>
      </c>
      <c r="FR17">
        <v>7.6898218637449396E-3</v>
      </c>
      <c r="FS17">
        <v>1.5097418776848419E-6</v>
      </c>
      <c r="FT17">
        <v>-9.8458676114205118E-11</v>
      </c>
      <c r="FU17">
        <v>0.18532499999999891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157.19999999999999</v>
      </c>
      <c r="GD17">
        <v>157</v>
      </c>
      <c r="GE17">
        <v>1.1059600000000001</v>
      </c>
      <c r="GF17">
        <v>2.6135299999999999</v>
      </c>
      <c r="GG17">
        <v>1.7981</v>
      </c>
      <c r="GH17">
        <v>2.3718300000000001</v>
      </c>
      <c r="GI17">
        <v>1.5979000000000001</v>
      </c>
      <c r="GJ17">
        <v>2.5756800000000002</v>
      </c>
      <c r="GK17">
        <v>35.801000000000002</v>
      </c>
      <c r="GL17">
        <v>24.1663</v>
      </c>
      <c r="GM17">
        <v>18</v>
      </c>
      <c r="GN17">
        <v>368.41500000000002</v>
      </c>
      <c r="GO17">
        <v>680.89200000000005</v>
      </c>
      <c r="GP17">
        <v>25.830100000000002</v>
      </c>
      <c r="GQ17">
        <v>27.573699999999999</v>
      </c>
      <c r="GR17">
        <v>30.0001</v>
      </c>
      <c r="GS17">
        <v>27.509899999999998</v>
      </c>
      <c r="GT17">
        <v>27.528500000000001</v>
      </c>
      <c r="GU17">
        <v>22.087199999999999</v>
      </c>
      <c r="GV17">
        <v>28.188600000000001</v>
      </c>
      <c r="GW17">
        <v>0</v>
      </c>
      <c r="GX17">
        <v>25.83</v>
      </c>
      <c r="GY17">
        <v>450</v>
      </c>
      <c r="GZ17">
        <v>19.5</v>
      </c>
      <c r="HA17">
        <v>100.503</v>
      </c>
      <c r="HB17">
        <v>70.668800000000005</v>
      </c>
    </row>
    <row r="18" spans="1:210" x14ac:dyDescent="0.3">
      <c r="A18">
        <v>2</v>
      </c>
      <c r="B18">
        <v>1750069768.5</v>
      </c>
      <c r="C18">
        <v>180.5</v>
      </c>
      <c r="D18" t="s">
        <v>344</v>
      </c>
      <c r="E18" t="s">
        <v>345</v>
      </c>
      <c r="F18">
        <v>15</v>
      </c>
      <c r="G18">
        <v>1750069760.75</v>
      </c>
      <c r="H18">
        <f t="shared" si="0"/>
        <v>2.3290369593381367E-3</v>
      </c>
      <c r="I18">
        <f t="shared" si="1"/>
        <v>2.3290369593381368</v>
      </c>
      <c r="J18">
        <f t="shared" si="2"/>
        <v>12.975745306323928</v>
      </c>
      <c r="K18">
        <f t="shared" si="3"/>
        <v>269.37486666666672</v>
      </c>
      <c r="L18">
        <f t="shared" si="4"/>
        <v>185.9146901836674</v>
      </c>
      <c r="M18">
        <f t="shared" si="5"/>
        <v>19.095701843695998</v>
      </c>
      <c r="N18">
        <f t="shared" si="6"/>
        <v>27.668077939243574</v>
      </c>
      <c r="O18">
        <f t="shared" si="7"/>
        <v>0.2812509453748514</v>
      </c>
      <c r="P18">
        <f t="shared" si="8"/>
        <v>2.436146746350087</v>
      </c>
      <c r="Q18">
        <f t="shared" si="9"/>
        <v>0.2555340647365219</v>
      </c>
      <c r="R18">
        <f t="shared" si="10"/>
        <v>0.16182494427899538</v>
      </c>
      <c r="S18">
        <f t="shared" si="11"/>
        <v>177.80619899999996</v>
      </c>
      <c r="T18">
        <f t="shared" si="12"/>
        <v>27.451294260176088</v>
      </c>
      <c r="U18">
        <f t="shared" si="13"/>
        <v>26.321893333333339</v>
      </c>
      <c r="V18">
        <f t="shared" si="14"/>
        <v>3.4390667062165745</v>
      </c>
      <c r="W18">
        <f t="shared" si="15"/>
        <v>70.997992777107626</v>
      </c>
      <c r="X18">
        <f t="shared" si="16"/>
        <v>2.5301106723345095</v>
      </c>
      <c r="Y18">
        <f t="shared" si="17"/>
        <v>3.5636369048876975</v>
      </c>
      <c r="Z18">
        <f t="shared" si="18"/>
        <v>0.90895603388206503</v>
      </c>
      <c r="AA18">
        <f t="shared" si="19"/>
        <v>-102.71052990681183</v>
      </c>
      <c r="AB18">
        <f t="shared" si="20"/>
        <v>79.344074504110026</v>
      </c>
      <c r="AC18">
        <f t="shared" si="21"/>
        <v>7.0024868129036442</v>
      </c>
      <c r="AD18">
        <f t="shared" si="22"/>
        <v>161.4422304102018</v>
      </c>
      <c r="AE18">
        <f t="shared" si="23"/>
        <v>12.975745306323928</v>
      </c>
      <c r="AF18">
        <f t="shared" si="24"/>
        <v>2.3290369593381368</v>
      </c>
      <c r="AG18">
        <f t="shared" si="25"/>
        <v>13.006763393160297</v>
      </c>
      <c r="AH18">
        <v>305.96545596268538</v>
      </c>
      <c r="AI18">
        <v>276.11799393939378</v>
      </c>
      <c r="AJ18">
        <v>-5.0052129993081892E-5</v>
      </c>
      <c r="AK18">
        <v>83.942381885923893</v>
      </c>
      <c r="AL18">
        <f t="shared" si="26"/>
        <v>2.3356364608935096</v>
      </c>
      <c r="AM18">
        <v>19.520262094257038</v>
      </c>
      <c r="AN18">
        <v>24.64588565782044</v>
      </c>
      <c r="AO18">
        <v>4.1424912836918196E-6</v>
      </c>
      <c r="AP18">
        <v>90.565554332150427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54279.516390929974</v>
      </c>
      <c r="AV18">
        <f t="shared" si="30"/>
        <v>935.82209999999986</v>
      </c>
      <c r="AW18">
        <f t="shared" si="31"/>
        <v>748.65767999999991</v>
      </c>
      <c r="AX18">
        <f t="shared" si="32"/>
        <v>0.8</v>
      </c>
      <c r="AY18">
        <f t="shared" si="33"/>
        <v>0.19</v>
      </c>
      <c r="AZ18">
        <v>9</v>
      </c>
      <c r="BA18">
        <v>14.19</v>
      </c>
      <c r="BB18" t="s">
        <v>338</v>
      </c>
      <c r="BC18">
        <v>2</v>
      </c>
      <c r="BD18" t="b">
        <v>0</v>
      </c>
      <c r="BE18">
        <v>1750069760.75</v>
      </c>
      <c r="BF18">
        <v>269.37486666666672</v>
      </c>
      <c r="BG18">
        <v>299.9819</v>
      </c>
      <c r="BH18">
        <v>24.633016666666659</v>
      </c>
      <c r="BI18">
        <v>19.52177</v>
      </c>
      <c r="BJ18">
        <v>268.28543333333329</v>
      </c>
      <c r="BK18">
        <v>24.44770333333334</v>
      </c>
      <c r="BL18">
        <v>400.00009999999997</v>
      </c>
      <c r="BM18">
        <v>102.6121666666666</v>
      </c>
      <c r="BN18">
        <v>0.1000064533333333</v>
      </c>
      <c r="BO18">
        <v>26.926016666666669</v>
      </c>
      <c r="BP18">
        <v>26.321893333333339</v>
      </c>
      <c r="BQ18">
        <v>999.9000000000002</v>
      </c>
      <c r="BR18">
        <v>0</v>
      </c>
      <c r="BS18">
        <v>0</v>
      </c>
      <c r="BT18">
        <v>10001.48333333333</v>
      </c>
      <c r="BU18">
        <v>935.82209999999986</v>
      </c>
      <c r="BV18">
        <v>18.01639999999999</v>
      </c>
      <c r="BW18">
        <v>-30.60686333333333</v>
      </c>
      <c r="BX18">
        <v>276.17806666666672</v>
      </c>
      <c r="BY18">
        <v>305.95460000000008</v>
      </c>
      <c r="BZ18">
        <v>5.1112513333333336</v>
      </c>
      <c r="CA18">
        <v>299.9819</v>
      </c>
      <c r="CB18">
        <v>19.52177</v>
      </c>
      <c r="CC18">
        <v>2.5276483333333331</v>
      </c>
      <c r="CD18">
        <v>2.003171</v>
      </c>
      <c r="CE18">
        <v>21.205629999999999</v>
      </c>
      <c r="CF18">
        <v>17.469413333333328</v>
      </c>
      <c r="CG18">
        <v>1750060166.5999999</v>
      </c>
      <c r="CH18" t="s">
        <v>339</v>
      </c>
      <c r="CI18">
        <v>1750060157.0999999</v>
      </c>
      <c r="CJ18">
        <v>1750060166.5999999</v>
      </c>
      <c r="CK18">
        <v>4</v>
      </c>
      <c r="CL18">
        <v>-0.13200000000000001</v>
      </c>
      <c r="CM18">
        <v>-8.9999999999999993E-3</v>
      </c>
      <c r="CN18">
        <v>2.6520000000000001</v>
      </c>
      <c r="CO18">
        <v>0.185</v>
      </c>
      <c r="CP18">
        <v>450</v>
      </c>
      <c r="CQ18">
        <v>19</v>
      </c>
      <c r="CR18">
        <v>0.35</v>
      </c>
      <c r="CS18">
        <v>0.02</v>
      </c>
      <c r="CT18">
        <v>-30.583825000000001</v>
      </c>
      <c r="CU18">
        <v>-0.42169080675413778</v>
      </c>
      <c r="CV18">
        <v>4.5655923766801568E-2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5.1030402500000003</v>
      </c>
      <c r="DC18">
        <v>0.14193174484052459</v>
      </c>
      <c r="DD18">
        <v>1.373220074997087E-2</v>
      </c>
      <c r="DE18">
        <v>0</v>
      </c>
      <c r="DF18">
        <v>1</v>
      </c>
      <c r="DG18">
        <v>2</v>
      </c>
      <c r="DH18" t="s">
        <v>346</v>
      </c>
      <c r="DI18">
        <v>3.0245000000000002</v>
      </c>
      <c r="DJ18">
        <v>2.6913299999999998</v>
      </c>
      <c r="DK18">
        <v>6.8706299999999998E-2</v>
      </c>
      <c r="DL18">
        <v>7.5723499999999999E-2</v>
      </c>
      <c r="DM18">
        <v>0.123596</v>
      </c>
      <c r="DN18">
        <v>0.105853</v>
      </c>
      <c r="DO18">
        <v>25960.400000000001</v>
      </c>
      <c r="DP18">
        <v>17388</v>
      </c>
      <c r="DQ18">
        <v>26448.9</v>
      </c>
      <c r="DR18">
        <v>17098.099999999999</v>
      </c>
      <c r="DS18">
        <v>32961.699999999997</v>
      </c>
      <c r="DT18">
        <v>19940.900000000001</v>
      </c>
      <c r="DU18">
        <v>38528</v>
      </c>
      <c r="DV18">
        <v>22627.3</v>
      </c>
      <c r="DW18">
        <v>1.8064199999999999</v>
      </c>
      <c r="DX18">
        <v>2.20004</v>
      </c>
      <c r="DY18">
        <v>7.03931E-2</v>
      </c>
      <c r="DZ18">
        <v>0</v>
      </c>
      <c r="EA18">
        <v>25.163799999999998</v>
      </c>
      <c r="EB18">
        <v>999.9</v>
      </c>
      <c r="EC18">
        <v>53.2</v>
      </c>
      <c r="ED18">
        <v>32.299999999999997</v>
      </c>
      <c r="EE18">
        <v>25.177499999999998</v>
      </c>
      <c r="EF18">
        <v>62.722299999999997</v>
      </c>
      <c r="EG18">
        <v>34.855800000000002</v>
      </c>
      <c r="EH18">
        <v>1</v>
      </c>
      <c r="EI18">
        <v>3.8128000000000002E-2</v>
      </c>
      <c r="EJ18">
        <v>3.3485800000000003E-2</v>
      </c>
      <c r="EK18">
        <v>20.327000000000002</v>
      </c>
      <c r="EL18">
        <v>5.2519099999999996</v>
      </c>
      <c r="EM18">
        <v>11.962</v>
      </c>
      <c r="EN18">
        <v>4.9896799999999999</v>
      </c>
      <c r="EO18">
        <v>3.2910200000000001</v>
      </c>
      <c r="EP18">
        <v>9999</v>
      </c>
      <c r="EQ18">
        <v>9999</v>
      </c>
      <c r="ER18">
        <v>9999</v>
      </c>
      <c r="ES18">
        <v>999.9</v>
      </c>
      <c r="ET18">
        <v>4.9727300000000003</v>
      </c>
      <c r="EU18">
        <v>1.87195</v>
      </c>
      <c r="EV18">
        <v>1.87222</v>
      </c>
      <c r="EW18">
        <v>1.8772800000000001</v>
      </c>
      <c r="EX18">
        <v>1.8713500000000001</v>
      </c>
      <c r="EY18">
        <v>1.8721099999999999</v>
      </c>
      <c r="EZ18">
        <v>1.8717999999999999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341</v>
      </c>
      <c r="FG18" t="s">
        <v>342</v>
      </c>
      <c r="FH18" t="s">
        <v>343</v>
      </c>
      <c r="FI18" t="s">
        <v>343</v>
      </c>
      <c r="FJ18" t="s">
        <v>343</v>
      </c>
      <c r="FK18" t="s">
        <v>343</v>
      </c>
      <c r="FL18">
        <v>0</v>
      </c>
      <c r="FM18">
        <v>100</v>
      </c>
      <c r="FN18">
        <v>100</v>
      </c>
      <c r="FO18">
        <v>1.089</v>
      </c>
      <c r="FP18">
        <v>0.18529999999999999</v>
      </c>
      <c r="FQ18">
        <v>-1.0803177837955851</v>
      </c>
      <c r="FR18">
        <v>7.6898218637449396E-3</v>
      </c>
      <c r="FS18">
        <v>1.5097418776848419E-6</v>
      </c>
      <c r="FT18">
        <v>-9.8458676114205118E-11</v>
      </c>
      <c r="FU18">
        <v>0.18532499999999891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160.19999999999999</v>
      </c>
      <c r="GD18">
        <v>160</v>
      </c>
      <c r="GE18">
        <v>0.80200199999999999</v>
      </c>
      <c r="GF18">
        <v>2.6245099999999999</v>
      </c>
      <c r="GG18">
        <v>1.7981</v>
      </c>
      <c r="GH18">
        <v>2.3718300000000001</v>
      </c>
      <c r="GI18">
        <v>1.5979000000000001</v>
      </c>
      <c r="GJ18">
        <v>2.5317400000000001</v>
      </c>
      <c r="GK18">
        <v>35.824399999999997</v>
      </c>
      <c r="GL18">
        <v>24.1663</v>
      </c>
      <c r="GM18">
        <v>18</v>
      </c>
      <c r="GN18">
        <v>368.73</v>
      </c>
      <c r="GO18">
        <v>680.05600000000004</v>
      </c>
      <c r="GP18">
        <v>25.829899999999999</v>
      </c>
      <c r="GQ18">
        <v>27.578299999999999</v>
      </c>
      <c r="GR18">
        <v>30.0002</v>
      </c>
      <c r="GS18">
        <v>27.5122</v>
      </c>
      <c r="GT18">
        <v>27.5305</v>
      </c>
      <c r="GU18">
        <v>16.0138</v>
      </c>
      <c r="GV18">
        <v>28.188600000000001</v>
      </c>
      <c r="GW18">
        <v>0</v>
      </c>
      <c r="GX18">
        <v>25.83</v>
      </c>
      <c r="GY18">
        <v>300</v>
      </c>
      <c r="GZ18">
        <v>19.5</v>
      </c>
      <c r="HA18">
        <v>100.501</v>
      </c>
      <c r="HB18">
        <v>70.6691</v>
      </c>
    </row>
    <row r="19" spans="1:210" x14ac:dyDescent="0.3">
      <c r="A19">
        <v>3</v>
      </c>
      <c r="B19">
        <v>1750069949.0999999</v>
      </c>
      <c r="C19">
        <v>361.09999990463263</v>
      </c>
      <c r="D19" t="s">
        <v>347</v>
      </c>
      <c r="E19" t="s">
        <v>348</v>
      </c>
      <c r="F19">
        <v>15</v>
      </c>
      <c r="G19">
        <v>1750069941.099999</v>
      </c>
      <c r="H19">
        <f t="shared" si="0"/>
        <v>2.5522999107840923E-3</v>
      </c>
      <c r="I19">
        <f t="shared" si="1"/>
        <v>2.5522999107840922</v>
      </c>
      <c r="J19">
        <f t="shared" si="2"/>
        <v>8.2156428617511654</v>
      </c>
      <c r="K19">
        <f t="shared" si="3"/>
        <v>180.4734838709677</v>
      </c>
      <c r="L19">
        <f t="shared" si="4"/>
        <v>134.67010757381578</v>
      </c>
      <c r="M19">
        <f t="shared" si="5"/>
        <v>13.832105261890872</v>
      </c>
      <c r="N19">
        <f t="shared" si="6"/>
        <v>18.536617151769146</v>
      </c>
      <c r="O19">
        <f t="shared" si="7"/>
        <v>0.33162562462723166</v>
      </c>
      <c r="P19">
        <f t="shared" si="8"/>
        <v>2.43589773252407</v>
      </c>
      <c r="Q19">
        <f t="shared" si="9"/>
        <v>0.29647795302103142</v>
      </c>
      <c r="R19">
        <f t="shared" si="10"/>
        <v>0.188147993414437</v>
      </c>
      <c r="S19">
        <f t="shared" si="11"/>
        <v>177.75537032258066</v>
      </c>
      <c r="T19">
        <f t="shared" si="12"/>
        <v>27.388895729252081</v>
      </c>
      <c r="U19">
        <f t="shared" si="13"/>
        <v>26.310806451612908</v>
      </c>
      <c r="V19">
        <f t="shared" si="14"/>
        <v>3.4368165897554084</v>
      </c>
      <c r="W19">
        <f t="shared" si="15"/>
        <v>72.326915515000437</v>
      </c>
      <c r="X19">
        <f t="shared" si="16"/>
        <v>2.5784967568108095</v>
      </c>
      <c r="Y19">
        <f t="shared" si="17"/>
        <v>3.5650583720468978</v>
      </c>
      <c r="Z19">
        <f t="shared" si="18"/>
        <v>0.8583198329445989</v>
      </c>
      <c r="AA19">
        <f t="shared" si="19"/>
        <v>-112.55642606557846</v>
      </c>
      <c r="AB19">
        <f t="shared" si="20"/>
        <v>81.683178115541111</v>
      </c>
      <c r="AC19">
        <f t="shared" si="21"/>
        <v>7.2095058522850515</v>
      </c>
      <c r="AD19">
        <f t="shared" si="22"/>
        <v>154.09162822482836</v>
      </c>
      <c r="AE19">
        <f t="shared" si="23"/>
        <v>8.2156428617511654</v>
      </c>
      <c r="AF19">
        <f t="shared" si="24"/>
        <v>2.5522999107840922</v>
      </c>
      <c r="AG19">
        <f t="shared" si="25"/>
        <v>8.2401575073863409</v>
      </c>
      <c r="AH19">
        <v>203.94397577132131</v>
      </c>
      <c r="AI19">
        <v>185.05612121212101</v>
      </c>
      <c r="AJ19">
        <v>-2.312454328105098E-3</v>
      </c>
      <c r="AK19">
        <v>83.942381885923893</v>
      </c>
      <c r="AL19">
        <f t="shared" si="26"/>
        <v>2.5616789808283702</v>
      </c>
      <c r="AM19">
        <v>19.505947885224831</v>
      </c>
      <c r="AN19">
        <v>25.12446143421797</v>
      </c>
      <c r="AO19">
        <v>4.2004164349073482E-6</v>
      </c>
      <c r="AP19">
        <v>90.565554332150427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54269.883343769856</v>
      </c>
      <c r="AV19">
        <f t="shared" si="30"/>
        <v>935.55458064516131</v>
      </c>
      <c r="AW19">
        <f t="shared" si="31"/>
        <v>748.44366451612905</v>
      </c>
      <c r="AX19">
        <f t="shared" si="32"/>
        <v>0.8</v>
      </c>
      <c r="AY19">
        <f t="shared" si="33"/>
        <v>0.19</v>
      </c>
      <c r="AZ19">
        <v>9</v>
      </c>
      <c r="BA19">
        <v>14.19</v>
      </c>
      <c r="BB19" t="s">
        <v>338</v>
      </c>
      <c r="BC19">
        <v>2</v>
      </c>
      <c r="BD19" t="b">
        <v>0</v>
      </c>
      <c r="BE19">
        <v>1750069941.099999</v>
      </c>
      <c r="BF19">
        <v>180.4734838709677</v>
      </c>
      <c r="BG19">
        <v>199.99364516129029</v>
      </c>
      <c r="BH19">
        <v>25.104380645161289</v>
      </c>
      <c r="BI19">
        <v>19.506283870967739</v>
      </c>
      <c r="BJ19">
        <v>180.12029032258059</v>
      </c>
      <c r="BK19">
        <v>24.919058064516129</v>
      </c>
      <c r="BL19">
        <v>400.02941935483869</v>
      </c>
      <c r="BM19">
        <v>102.6110322580645</v>
      </c>
      <c r="BN19">
        <v>9.9996277419354837E-2</v>
      </c>
      <c r="BO19">
        <v>26.932803225806449</v>
      </c>
      <c r="BP19">
        <v>26.310806451612908</v>
      </c>
      <c r="BQ19">
        <v>999.90000000000032</v>
      </c>
      <c r="BR19">
        <v>0</v>
      </c>
      <c r="BS19">
        <v>0</v>
      </c>
      <c r="BT19">
        <v>9999.9838709677424</v>
      </c>
      <c r="BU19">
        <v>935.55458064516131</v>
      </c>
      <c r="BV19">
        <v>18.01639999999999</v>
      </c>
      <c r="BW19">
        <v>-19.520112903225812</v>
      </c>
      <c r="BX19">
        <v>185.12090322580639</v>
      </c>
      <c r="BY19">
        <v>203.9723225806452</v>
      </c>
      <c r="BZ19">
        <v>5.5981048387096779</v>
      </c>
      <c r="CA19">
        <v>199.99364516129029</v>
      </c>
      <c r="CB19">
        <v>19.506283870967739</v>
      </c>
      <c r="CC19">
        <v>2.5759861290322581</v>
      </c>
      <c r="CD19">
        <v>2.0015577419354842</v>
      </c>
      <c r="CE19">
        <v>21.514725806451619</v>
      </c>
      <c r="CF19">
        <v>17.456670967741928</v>
      </c>
      <c r="CG19">
        <v>1750060166.5999999</v>
      </c>
      <c r="CH19" t="s">
        <v>339</v>
      </c>
      <c r="CI19">
        <v>1750060157.0999999</v>
      </c>
      <c r="CJ19">
        <v>1750060166.5999999</v>
      </c>
      <c r="CK19">
        <v>4</v>
      </c>
      <c r="CL19">
        <v>-0.13200000000000001</v>
      </c>
      <c r="CM19">
        <v>-8.9999999999999993E-3</v>
      </c>
      <c r="CN19">
        <v>2.6520000000000001</v>
      </c>
      <c r="CO19">
        <v>0.185</v>
      </c>
      <c r="CP19">
        <v>450</v>
      </c>
      <c r="CQ19">
        <v>19</v>
      </c>
      <c r="CR19">
        <v>0.35</v>
      </c>
      <c r="CS19">
        <v>0.02</v>
      </c>
      <c r="CT19">
        <v>-19.495717073170731</v>
      </c>
      <c r="CU19">
        <v>-0.40754359452022187</v>
      </c>
      <c r="CV19">
        <v>4.4192786644809641E-2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5.5885970731707317</v>
      </c>
      <c r="DC19">
        <v>0.1675925031333485</v>
      </c>
      <c r="DD19">
        <v>1.6477143110752129E-2</v>
      </c>
      <c r="DE19">
        <v>0</v>
      </c>
      <c r="DF19">
        <v>1</v>
      </c>
      <c r="DG19">
        <v>2</v>
      </c>
      <c r="DH19" t="s">
        <v>346</v>
      </c>
      <c r="DI19">
        <v>3.0243699999999998</v>
      </c>
      <c r="DJ19">
        <v>2.6913</v>
      </c>
      <c r="DK19">
        <v>4.8595800000000001E-2</v>
      </c>
      <c r="DL19">
        <v>5.3623900000000002E-2</v>
      </c>
      <c r="DM19">
        <v>0.12526100000000001</v>
      </c>
      <c r="DN19">
        <v>0.105798</v>
      </c>
      <c r="DO19">
        <v>26520.6</v>
      </c>
      <c r="DP19">
        <v>17803.5</v>
      </c>
      <c r="DQ19">
        <v>26448.6</v>
      </c>
      <c r="DR19">
        <v>17097.900000000001</v>
      </c>
      <c r="DS19">
        <v>32896.699999999997</v>
      </c>
      <c r="DT19">
        <v>19941.7</v>
      </c>
      <c r="DU19">
        <v>38527.599999999999</v>
      </c>
      <c r="DV19">
        <v>22627.1</v>
      </c>
      <c r="DW19">
        <v>1.8059799999999999</v>
      </c>
      <c r="DX19">
        <v>2.1995800000000001</v>
      </c>
      <c r="DY19">
        <v>6.85751E-2</v>
      </c>
      <c r="DZ19">
        <v>0</v>
      </c>
      <c r="EA19">
        <v>25.178599999999999</v>
      </c>
      <c r="EB19">
        <v>999.9</v>
      </c>
      <c r="EC19">
        <v>53</v>
      </c>
      <c r="ED19">
        <v>32.299999999999997</v>
      </c>
      <c r="EE19">
        <v>25.085899999999999</v>
      </c>
      <c r="EF19">
        <v>62.810499999999998</v>
      </c>
      <c r="EG19">
        <v>34.879800000000003</v>
      </c>
      <c r="EH19">
        <v>1</v>
      </c>
      <c r="EI19">
        <v>3.8912599999999999E-2</v>
      </c>
      <c r="EJ19">
        <v>4.0849700000000003E-2</v>
      </c>
      <c r="EK19">
        <v>20.327100000000002</v>
      </c>
      <c r="EL19">
        <v>5.25251</v>
      </c>
      <c r="EM19">
        <v>11.962</v>
      </c>
      <c r="EN19">
        <v>4.9897200000000002</v>
      </c>
      <c r="EO19">
        <v>3.2913600000000001</v>
      </c>
      <c r="EP19">
        <v>9999</v>
      </c>
      <c r="EQ19">
        <v>9999</v>
      </c>
      <c r="ER19">
        <v>9999</v>
      </c>
      <c r="ES19">
        <v>999.9</v>
      </c>
      <c r="ET19">
        <v>4.9727499999999996</v>
      </c>
      <c r="EU19">
        <v>1.87195</v>
      </c>
      <c r="EV19">
        <v>1.8722099999999999</v>
      </c>
      <c r="EW19">
        <v>1.8772800000000001</v>
      </c>
      <c r="EX19">
        <v>1.8713599999999999</v>
      </c>
      <c r="EY19">
        <v>1.8721099999999999</v>
      </c>
      <c r="EZ19">
        <v>1.8717999999999999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341</v>
      </c>
      <c r="FG19" t="s">
        <v>342</v>
      </c>
      <c r="FH19" t="s">
        <v>343</v>
      </c>
      <c r="FI19" t="s">
        <v>343</v>
      </c>
      <c r="FJ19" t="s">
        <v>343</v>
      </c>
      <c r="FK19" t="s">
        <v>343</v>
      </c>
      <c r="FL19">
        <v>0</v>
      </c>
      <c r="FM19">
        <v>100</v>
      </c>
      <c r="FN19">
        <v>100</v>
      </c>
      <c r="FO19">
        <v>0.35299999999999998</v>
      </c>
      <c r="FP19">
        <v>0.18529999999999999</v>
      </c>
      <c r="FQ19">
        <v>-1.0803177837955851</v>
      </c>
      <c r="FR19">
        <v>7.6898218637449396E-3</v>
      </c>
      <c r="FS19">
        <v>1.5097418776848419E-6</v>
      </c>
      <c r="FT19">
        <v>-9.8458676114205118E-11</v>
      </c>
      <c r="FU19">
        <v>0.18532499999999891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163.19999999999999</v>
      </c>
      <c r="GD19">
        <v>163</v>
      </c>
      <c r="GE19">
        <v>0.58960000000000001</v>
      </c>
      <c r="GF19">
        <v>2.65259</v>
      </c>
      <c r="GG19">
        <v>1.7981</v>
      </c>
      <c r="GH19">
        <v>2.3718300000000001</v>
      </c>
      <c r="GI19">
        <v>1.5979000000000001</v>
      </c>
      <c r="GJ19">
        <v>2.4645999999999999</v>
      </c>
      <c r="GK19">
        <v>35.871099999999998</v>
      </c>
      <c r="GL19">
        <v>24.157499999999999</v>
      </c>
      <c r="GM19">
        <v>18</v>
      </c>
      <c r="GN19">
        <v>368.56400000000002</v>
      </c>
      <c r="GO19">
        <v>679.77099999999996</v>
      </c>
      <c r="GP19">
        <v>25.83</v>
      </c>
      <c r="GQ19">
        <v>27.5901</v>
      </c>
      <c r="GR19">
        <v>30</v>
      </c>
      <c r="GS19">
        <v>27.5215</v>
      </c>
      <c r="GT19">
        <v>27.5398</v>
      </c>
      <c r="GU19">
        <v>11.7415</v>
      </c>
      <c r="GV19">
        <v>28.188600000000001</v>
      </c>
      <c r="GW19">
        <v>0</v>
      </c>
      <c r="GX19">
        <v>25.83</v>
      </c>
      <c r="GY19">
        <v>200</v>
      </c>
      <c r="GZ19">
        <v>19.5</v>
      </c>
      <c r="HA19">
        <v>100.499</v>
      </c>
      <c r="HB19">
        <v>70.668400000000005</v>
      </c>
    </row>
    <row r="20" spans="1:210" x14ac:dyDescent="0.3">
      <c r="A20">
        <v>4</v>
      </c>
      <c r="B20">
        <v>1750070129.5999999</v>
      </c>
      <c r="C20">
        <v>541.59999990463257</v>
      </c>
      <c r="D20" t="s">
        <v>349</v>
      </c>
      <c r="E20" t="s">
        <v>350</v>
      </c>
      <c r="F20">
        <v>15</v>
      </c>
      <c r="G20">
        <v>1750070121.849999</v>
      </c>
      <c r="H20">
        <f t="shared" si="0"/>
        <v>2.7713907825382589E-3</v>
      </c>
      <c r="I20">
        <f t="shared" si="1"/>
        <v>2.7713907825382589</v>
      </c>
      <c r="J20">
        <f t="shared" si="2"/>
        <v>4.230103251843893</v>
      </c>
      <c r="K20">
        <f t="shared" si="3"/>
        <v>114.7705333333333</v>
      </c>
      <c r="L20">
        <f t="shared" si="4"/>
        <v>94.025169481782683</v>
      </c>
      <c r="M20">
        <f t="shared" si="5"/>
        <v>9.657320962384258</v>
      </c>
      <c r="N20">
        <f t="shared" si="6"/>
        <v>11.788076357988039</v>
      </c>
      <c r="O20">
        <f t="shared" si="7"/>
        <v>0.39020779895501884</v>
      </c>
      <c r="P20">
        <f t="shared" si="8"/>
        <v>2.4351236143452804</v>
      </c>
      <c r="Q20">
        <f t="shared" si="9"/>
        <v>0.34247846147098066</v>
      </c>
      <c r="R20">
        <f t="shared" si="10"/>
        <v>0.21785255381836996</v>
      </c>
      <c r="S20">
        <f t="shared" si="11"/>
        <v>177.71029333333334</v>
      </c>
      <c r="T20">
        <f t="shared" si="12"/>
        <v>27.318399178696204</v>
      </c>
      <c r="U20">
        <f t="shared" si="13"/>
        <v>26.28973666666667</v>
      </c>
      <c r="V20">
        <f t="shared" si="14"/>
        <v>3.4325439555736734</v>
      </c>
      <c r="W20">
        <f t="shared" si="15"/>
        <v>73.668615586205874</v>
      </c>
      <c r="X20">
        <f t="shared" si="16"/>
        <v>2.6259114781178083</v>
      </c>
      <c r="Y20">
        <f t="shared" si="17"/>
        <v>3.564491414997486</v>
      </c>
      <c r="Z20">
        <f t="shared" si="18"/>
        <v>0.80663247745586508</v>
      </c>
      <c r="AA20">
        <f t="shared" si="19"/>
        <v>-122.21833350993722</v>
      </c>
      <c r="AB20">
        <f t="shared" si="20"/>
        <v>84.067987608158489</v>
      </c>
      <c r="AC20">
        <f t="shared" si="21"/>
        <v>7.4214692869380636</v>
      </c>
      <c r="AD20">
        <f t="shared" si="22"/>
        <v>146.98141671849268</v>
      </c>
      <c r="AE20">
        <f t="shared" si="23"/>
        <v>4.230103251843893</v>
      </c>
      <c r="AF20">
        <f t="shared" si="24"/>
        <v>2.7713907825382589</v>
      </c>
      <c r="AG20">
        <f t="shared" si="25"/>
        <v>4.2274307645228371</v>
      </c>
      <c r="AH20">
        <v>127.46570121537459</v>
      </c>
      <c r="AI20">
        <v>117.76510909090911</v>
      </c>
      <c r="AJ20">
        <v>-4.8324492468226497E-5</v>
      </c>
      <c r="AK20">
        <v>83.942381885923893</v>
      </c>
      <c r="AL20">
        <f t="shared" si="26"/>
        <v>2.7803489205987586</v>
      </c>
      <c r="AM20">
        <v>19.488946147617561</v>
      </c>
      <c r="AN20">
        <v>25.584794692264278</v>
      </c>
      <c r="AO20">
        <v>2.4963928704402972E-6</v>
      </c>
      <c r="AP20">
        <v>90.565554332150427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54244.299502885071</v>
      </c>
      <c r="AV20">
        <f t="shared" si="30"/>
        <v>935.31733333333329</v>
      </c>
      <c r="AW20">
        <f t="shared" si="31"/>
        <v>748.25386666666668</v>
      </c>
      <c r="AX20">
        <f t="shared" si="32"/>
        <v>0.8</v>
      </c>
      <c r="AY20">
        <f t="shared" si="33"/>
        <v>0.19</v>
      </c>
      <c r="AZ20">
        <v>9</v>
      </c>
      <c r="BA20">
        <v>14.19</v>
      </c>
      <c r="BB20" t="s">
        <v>338</v>
      </c>
      <c r="BC20">
        <v>2</v>
      </c>
      <c r="BD20" t="b">
        <v>0</v>
      </c>
      <c r="BE20">
        <v>1750070121.849999</v>
      </c>
      <c r="BF20">
        <v>114.7705333333333</v>
      </c>
      <c r="BG20">
        <v>125.00416666666671</v>
      </c>
      <c r="BH20">
        <v>25.566279999999999</v>
      </c>
      <c r="BI20">
        <v>19.48993333333334</v>
      </c>
      <c r="BJ20">
        <v>114.94726666666659</v>
      </c>
      <c r="BK20">
        <v>25.380949999999999</v>
      </c>
      <c r="BL20">
        <v>399.99083333333351</v>
      </c>
      <c r="BM20">
        <v>102.60996666666669</v>
      </c>
      <c r="BN20">
        <v>9.9988716666666685E-2</v>
      </c>
      <c r="BO20">
        <v>26.93009666666666</v>
      </c>
      <c r="BP20">
        <v>26.28973666666667</v>
      </c>
      <c r="BQ20">
        <v>999.9000000000002</v>
      </c>
      <c r="BR20">
        <v>0</v>
      </c>
      <c r="BS20">
        <v>0</v>
      </c>
      <c r="BT20">
        <v>9995.0833333333339</v>
      </c>
      <c r="BU20">
        <v>935.31733333333329</v>
      </c>
      <c r="BV20">
        <v>18.01639999999999</v>
      </c>
      <c r="BW20">
        <v>-10.23358333333333</v>
      </c>
      <c r="BX20">
        <v>117.7818333333333</v>
      </c>
      <c r="BY20">
        <v>127.4889666666666</v>
      </c>
      <c r="BZ20">
        <v>6.076360666666667</v>
      </c>
      <c r="CA20">
        <v>125.00416666666671</v>
      </c>
      <c r="CB20">
        <v>19.48993333333334</v>
      </c>
      <c r="CC20">
        <v>2.6233556666666669</v>
      </c>
      <c r="CD20">
        <v>1.99986</v>
      </c>
      <c r="CE20">
        <v>21.812746666666669</v>
      </c>
      <c r="CF20">
        <v>17.44323</v>
      </c>
      <c r="CG20">
        <v>1750060166.5999999</v>
      </c>
      <c r="CH20" t="s">
        <v>339</v>
      </c>
      <c r="CI20">
        <v>1750060157.0999999</v>
      </c>
      <c r="CJ20">
        <v>1750060166.5999999</v>
      </c>
      <c r="CK20">
        <v>4</v>
      </c>
      <c r="CL20">
        <v>-0.13200000000000001</v>
      </c>
      <c r="CM20">
        <v>-8.9999999999999993E-3</v>
      </c>
      <c r="CN20">
        <v>2.6520000000000001</v>
      </c>
      <c r="CO20">
        <v>0.185</v>
      </c>
      <c r="CP20">
        <v>450</v>
      </c>
      <c r="CQ20">
        <v>19</v>
      </c>
      <c r="CR20">
        <v>0.35</v>
      </c>
      <c r="CS20">
        <v>0.02</v>
      </c>
      <c r="CT20">
        <v>-10.22632682926829</v>
      </c>
      <c r="CU20">
        <v>-0.1144662020905924</v>
      </c>
      <c r="CV20">
        <v>2.1305261280705909E-2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6.0679663414634142</v>
      </c>
      <c r="DC20">
        <v>0.14693226480836849</v>
      </c>
      <c r="DD20">
        <v>1.457034705984655E-2</v>
      </c>
      <c r="DE20">
        <v>0</v>
      </c>
      <c r="DF20">
        <v>1</v>
      </c>
      <c r="DG20">
        <v>2</v>
      </c>
      <c r="DH20" t="s">
        <v>346</v>
      </c>
      <c r="DI20">
        <v>3.0244200000000001</v>
      </c>
      <c r="DJ20">
        <v>2.6913399999999998</v>
      </c>
      <c r="DK20">
        <v>3.2015099999999998E-2</v>
      </c>
      <c r="DL20">
        <v>3.4820700000000003E-2</v>
      </c>
      <c r="DM20">
        <v>0.126859</v>
      </c>
      <c r="DN20">
        <v>0.105736</v>
      </c>
      <c r="DO20">
        <v>26982.1</v>
      </c>
      <c r="DP20">
        <v>18158</v>
      </c>
      <c r="DQ20">
        <v>26447.9</v>
      </c>
      <c r="DR20">
        <v>17098.599999999999</v>
      </c>
      <c r="DS20">
        <v>32834</v>
      </c>
      <c r="DT20">
        <v>19943.7</v>
      </c>
      <c r="DU20">
        <v>38526.9</v>
      </c>
      <c r="DV20">
        <v>22628.1</v>
      </c>
      <c r="DW20">
        <v>1.8065199999999999</v>
      </c>
      <c r="DX20">
        <v>2.1990400000000001</v>
      </c>
      <c r="DY20">
        <v>6.8697300000000003E-2</v>
      </c>
      <c r="DZ20">
        <v>0</v>
      </c>
      <c r="EA20">
        <v>25.165099999999999</v>
      </c>
      <c r="EB20">
        <v>999.9</v>
      </c>
      <c r="EC20">
        <v>52.9</v>
      </c>
      <c r="ED20">
        <v>32.4</v>
      </c>
      <c r="EE20">
        <v>25.179099999999998</v>
      </c>
      <c r="EF20">
        <v>62.840499999999999</v>
      </c>
      <c r="EG20">
        <v>35.0441</v>
      </c>
      <c r="EH20">
        <v>1</v>
      </c>
      <c r="EI20">
        <v>3.84959E-2</v>
      </c>
      <c r="EJ20">
        <v>3.9607799999999999E-2</v>
      </c>
      <c r="EK20">
        <v>20.327500000000001</v>
      </c>
      <c r="EL20">
        <v>5.2523900000000001</v>
      </c>
      <c r="EM20">
        <v>11.962</v>
      </c>
      <c r="EN20">
        <v>4.9896000000000003</v>
      </c>
      <c r="EO20">
        <v>3.2912400000000002</v>
      </c>
      <c r="EP20">
        <v>9999</v>
      </c>
      <c r="EQ20">
        <v>9999</v>
      </c>
      <c r="ER20">
        <v>9999</v>
      </c>
      <c r="ES20">
        <v>999.9</v>
      </c>
      <c r="ET20">
        <v>4.9726999999999997</v>
      </c>
      <c r="EU20">
        <v>1.87195</v>
      </c>
      <c r="EV20">
        <v>1.87222</v>
      </c>
      <c r="EW20">
        <v>1.8772500000000001</v>
      </c>
      <c r="EX20">
        <v>1.8713500000000001</v>
      </c>
      <c r="EY20">
        <v>1.8721000000000001</v>
      </c>
      <c r="EZ20">
        <v>1.87181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341</v>
      </c>
      <c r="FG20" t="s">
        <v>342</v>
      </c>
      <c r="FH20" t="s">
        <v>343</v>
      </c>
      <c r="FI20" t="s">
        <v>343</v>
      </c>
      <c r="FJ20" t="s">
        <v>343</v>
      </c>
      <c r="FK20" t="s">
        <v>343</v>
      </c>
      <c r="FL20">
        <v>0</v>
      </c>
      <c r="FM20">
        <v>100</v>
      </c>
      <c r="FN20">
        <v>100</v>
      </c>
      <c r="FO20">
        <v>-0.17699999999999999</v>
      </c>
      <c r="FP20">
        <v>0.18529999999999999</v>
      </c>
      <c r="FQ20">
        <v>-1.0803177837955851</v>
      </c>
      <c r="FR20">
        <v>7.6898218637449396E-3</v>
      </c>
      <c r="FS20">
        <v>1.5097418776848419E-6</v>
      </c>
      <c r="FT20">
        <v>-9.8458676114205118E-11</v>
      </c>
      <c r="FU20">
        <v>0.18532499999999891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166.2</v>
      </c>
      <c r="GD20">
        <v>166.1</v>
      </c>
      <c r="GE20">
        <v>0.42358400000000002</v>
      </c>
      <c r="GF20">
        <v>2.6415999999999999</v>
      </c>
      <c r="GG20">
        <v>1.7981</v>
      </c>
      <c r="GH20">
        <v>2.3718300000000001</v>
      </c>
      <c r="GI20">
        <v>1.5979000000000001</v>
      </c>
      <c r="GJ20">
        <v>2.5476100000000002</v>
      </c>
      <c r="GK20">
        <v>35.9178</v>
      </c>
      <c r="GL20">
        <v>24.157499999999999</v>
      </c>
      <c r="GM20">
        <v>18</v>
      </c>
      <c r="GN20">
        <v>368.827</v>
      </c>
      <c r="GO20">
        <v>679.24800000000005</v>
      </c>
      <c r="GP20">
        <v>25.83</v>
      </c>
      <c r="GQ20">
        <v>27.5854</v>
      </c>
      <c r="GR20">
        <v>30</v>
      </c>
      <c r="GS20">
        <v>27.519100000000002</v>
      </c>
      <c r="GT20">
        <v>27.536000000000001</v>
      </c>
      <c r="GU20">
        <v>8.4426699999999997</v>
      </c>
      <c r="GV20">
        <v>28.188600000000001</v>
      </c>
      <c r="GW20">
        <v>0</v>
      </c>
      <c r="GX20">
        <v>25.83</v>
      </c>
      <c r="GY20">
        <v>125</v>
      </c>
      <c r="GZ20">
        <v>19.5</v>
      </c>
      <c r="HA20">
        <v>100.497</v>
      </c>
      <c r="HB20">
        <v>70.671499999999995</v>
      </c>
    </row>
    <row r="21" spans="1:210" x14ac:dyDescent="0.3">
      <c r="A21">
        <v>5</v>
      </c>
      <c r="B21">
        <v>1750070310.0999999</v>
      </c>
      <c r="C21">
        <v>722.09999990463257</v>
      </c>
      <c r="D21" t="s">
        <v>351</v>
      </c>
      <c r="E21" t="s">
        <v>352</v>
      </c>
      <c r="F21">
        <v>15</v>
      </c>
      <c r="G21">
        <v>1750070302.349999</v>
      </c>
      <c r="H21">
        <f t="shared" si="0"/>
        <v>2.9427437585563903E-3</v>
      </c>
      <c r="I21">
        <f t="shared" si="1"/>
        <v>2.9427437585563903</v>
      </c>
      <c r="J21">
        <f t="shared" si="2"/>
        <v>1.2615410249742827</v>
      </c>
      <c r="K21">
        <f t="shared" si="3"/>
        <v>71.674166666666665</v>
      </c>
      <c r="L21">
        <f t="shared" si="4"/>
        <v>65.669257571735599</v>
      </c>
      <c r="M21">
        <f t="shared" si="5"/>
        <v>6.7451880019355093</v>
      </c>
      <c r="N21">
        <f t="shared" si="6"/>
        <v>7.3619795156144407</v>
      </c>
      <c r="O21">
        <f t="shared" si="7"/>
        <v>0.44278187096605093</v>
      </c>
      <c r="P21">
        <f t="shared" si="8"/>
        <v>2.4359591605611248</v>
      </c>
      <c r="Q21">
        <f t="shared" si="9"/>
        <v>0.38239640453818824</v>
      </c>
      <c r="R21">
        <f t="shared" si="10"/>
        <v>0.24373795740520615</v>
      </c>
      <c r="S21">
        <f t="shared" si="11"/>
        <v>177.66412966666661</v>
      </c>
      <c r="T21">
        <f t="shared" si="12"/>
        <v>27.257128626857053</v>
      </c>
      <c r="U21">
        <f t="shared" si="13"/>
        <v>26.27254666666666</v>
      </c>
      <c r="V21">
        <f t="shared" si="14"/>
        <v>3.4290615198706842</v>
      </c>
      <c r="W21">
        <f t="shared" si="15"/>
        <v>74.717593268896607</v>
      </c>
      <c r="X21">
        <f t="shared" si="16"/>
        <v>2.6620556373258601</v>
      </c>
      <c r="Y21">
        <f t="shared" si="17"/>
        <v>3.5628230525915758</v>
      </c>
      <c r="Z21">
        <f t="shared" si="18"/>
        <v>0.76700588254482405</v>
      </c>
      <c r="AA21">
        <f t="shared" si="19"/>
        <v>-129.77499975233681</v>
      </c>
      <c r="AB21">
        <f t="shared" si="20"/>
        <v>85.308109909102114</v>
      </c>
      <c r="AC21">
        <f t="shared" si="21"/>
        <v>7.5274154688664456</v>
      </c>
      <c r="AD21">
        <f t="shared" si="22"/>
        <v>140.72465529229837</v>
      </c>
      <c r="AE21">
        <f t="shared" si="23"/>
        <v>1.2615410249742827</v>
      </c>
      <c r="AF21">
        <f t="shared" si="24"/>
        <v>2.9427437585563903</v>
      </c>
      <c r="AG21">
        <f t="shared" si="25"/>
        <v>1.2531377718163439</v>
      </c>
      <c r="AH21">
        <v>76.479514887779018</v>
      </c>
      <c r="AI21">
        <v>73.603436363636376</v>
      </c>
      <c r="AJ21">
        <v>4.9574878393103117E-5</v>
      </c>
      <c r="AK21">
        <v>83.942381885923893</v>
      </c>
      <c r="AL21">
        <f t="shared" si="26"/>
        <v>2.9503103267906554</v>
      </c>
      <c r="AM21">
        <v>19.465482081148028</v>
      </c>
      <c r="AN21">
        <v>25.931779107848701</v>
      </c>
      <c r="AO21">
        <v>1.3492291441077341E-6</v>
      </c>
      <c r="AP21">
        <v>90.565554332150427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54273.959113965684</v>
      </c>
      <c r="AV21">
        <f t="shared" si="30"/>
        <v>935.07436666666638</v>
      </c>
      <c r="AW21">
        <f t="shared" si="31"/>
        <v>748.05949333333319</v>
      </c>
      <c r="AX21">
        <f t="shared" si="32"/>
        <v>0.8</v>
      </c>
      <c r="AY21">
        <f t="shared" si="33"/>
        <v>0.19</v>
      </c>
      <c r="AZ21">
        <v>9</v>
      </c>
      <c r="BA21">
        <v>14.19</v>
      </c>
      <c r="BB21" t="s">
        <v>338</v>
      </c>
      <c r="BC21">
        <v>2</v>
      </c>
      <c r="BD21" t="b">
        <v>0</v>
      </c>
      <c r="BE21">
        <v>1750070302.349999</v>
      </c>
      <c r="BF21">
        <v>71.674166666666665</v>
      </c>
      <c r="BG21">
        <v>74.98733</v>
      </c>
      <c r="BH21">
        <v>25.917026666666668</v>
      </c>
      <c r="BI21">
        <v>19.46720333333333</v>
      </c>
      <c r="BJ21">
        <v>72.191513333333333</v>
      </c>
      <c r="BK21">
        <v>25.73169333333334</v>
      </c>
      <c r="BL21">
        <v>399.98443333333319</v>
      </c>
      <c r="BM21">
        <v>102.6146</v>
      </c>
      <c r="BN21">
        <v>9.994637000000002E-2</v>
      </c>
      <c r="BO21">
        <v>26.922129999999999</v>
      </c>
      <c r="BP21">
        <v>26.27254666666666</v>
      </c>
      <c r="BQ21">
        <v>999.9000000000002</v>
      </c>
      <c r="BR21">
        <v>0</v>
      </c>
      <c r="BS21">
        <v>0</v>
      </c>
      <c r="BT21">
        <v>10000.033333333329</v>
      </c>
      <c r="BU21">
        <v>935.07436666666638</v>
      </c>
      <c r="BV21">
        <v>18.01639999999999</v>
      </c>
      <c r="BW21">
        <v>-3.313145</v>
      </c>
      <c r="BX21">
        <v>73.581169999999986</v>
      </c>
      <c r="BY21">
        <v>76.476093333333353</v>
      </c>
      <c r="BZ21">
        <v>6.4498146666666667</v>
      </c>
      <c r="CA21">
        <v>74.98733</v>
      </c>
      <c r="CB21">
        <v>19.46720333333333</v>
      </c>
      <c r="CC21">
        <v>2.6594623333333329</v>
      </c>
      <c r="CD21">
        <v>1.9976179999999999</v>
      </c>
      <c r="CE21">
        <v>22.03676333333334</v>
      </c>
      <c r="CF21">
        <v>17.42546333333333</v>
      </c>
      <c r="CG21">
        <v>1750060166.5999999</v>
      </c>
      <c r="CH21" t="s">
        <v>339</v>
      </c>
      <c r="CI21">
        <v>1750060157.0999999</v>
      </c>
      <c r="CJ21">
        <v>1750060166.5999999</v>
      </c>
      <c r="CK21">
        <v>4</v>
      </c>
      <c r="CL21">
        <v>-0.13200000000000001</v>
      </c>
      <c r="CM21">
        <v>-8.9999999999999993E-3</v>
      </c>
      <c r="CN21">
        <v>2.6520000000000001</v>
      </c>
      <c r="CO21">
        <v>0.185</v>
      </c>
      <c r="CP21">
        <v>450</v>
      </c>
      <c r="CQ21">
        <v>19</v>
      </c>
      <c r="CR21">
        <v>0.35</v>
      </c>
      <c r="CS21">
        <v>0.02</v>
      </c>
      <c r="CT21">
        <v>-3.3152042499999999</v>
      </c>
      <c r="CU21">
        <v>1.6563714821769469E-2</v>
      </c>
      <c r="CV21">
        <v>1.5389490064245189E-2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6.4431180000000001</v>
      </c>
      <c r="DC21">
        <v>0.12523272045026321</v>
      </c>
      <c r="DD21">
        <v>1.2161658439538569E-2</v>
      </c>
      <c r="DE21">
        <v>0</v>
      </c>
      <c r="DF21">
        <v>1</v>
      </c>
      <c r="DG21">
        <v>2</v>
      </c>
      <c r="DH21" t="s">
        <v>346</v>
      </c>
      <c r="DI21">
        <v>3.02433</v>
      </c>
      <c r="DJ21">
        <v>2.6913</v>
      </c>
      <c r="DK21">
        <v>2.0391699999999999E-2</v>
      </c>
      <c r="DL21">
        <v>2.12503E-2</v>
      </c>
      <c r="DM21">
        <v>0.12806300000000001</v>
      </c>
      <c r="DN21">
        <v>0.10565099999999999</v>
      </c>
      <c r="DO21">
        <v>27305.9</v>
      </c>
      <c r="DP21">
        <v>18413.099999999999</v>
      </c>
      <c r="DQ21">
        <v>26447.7</v>
      </c>
      <c r="DR21">
        <v>17098.5</v>
      </c>
      <c r="DS21">
        <v>32787</v>
      </c>
      <c r="DT21">
        <v>19945.5</v>
      </c>
      <c r="DU21">
        <v>38526.6</v>
      </c>
      <c r="DV21">
        <v>22628.2</v>
      </c>
      <c r="DW21">
        <v>1.8071999999999999</v>
      </c>
      <c r="DX21">
        <v>2.19902</v>
      </c>
      <c r="DY21">
        <v>6.83367E-2</v>
      </c>
      <c r="DZ21">
        <v>0</v>
      </c>
      <c r="EA21">
        <v>25.155100000000001</v>
      </c>
      <c r="EB21">
        <v>999.9</v>
      </c>
      <c r="EC21">
        <v>52.8</v>
      </c>
      <c r="ED21">
        <v>32.4</v>
      </c>
      <c r="EE21">
        <v>25.1312</v>
      </c>
      <c r="EF21">
        <v>62.530500000000004</v>
      </c>
      <c r="EG21">
        <v>34.991999999999997</v>
      </c>
      <c r="EH21">
        <v>1</v>
      </c>
      <c r="EI21">
        <v>3.80244E-2</v>
      </c>
      <c r="EJ21">
        <v>3.06688E-2</v>
      </c>
      <c r="EK21">
        <v>20.327200000000001</v>
      </c>
      <c r="EL21">
        <v>5.2521500000000003</v>
      </c>
      <c r="EM21">
        <v>11.962</v>
      </c>
      <c r="EN21">
        <v>4.9896000000000003</v>
      </c>
      <c r="EO21">
        <v>3.2913199999999998</v>
      </c>
      <c r="EP21">
        <v>9999</v>
      </c>
      <c r="EQ21">
        <v>9999</v>
      </c>
      <c r="ER21">
        <v>9999</v>
      </c>
      <c r="ES21">
        <v>999.9</v>
      </c>
      <c r="ET21">
        <v>4.9727300000000003</v>
      </c>
      <c r="EU21">
        <v>1.87195</v>
      </c>
      <c r="EV21">
        <v>1.8722000000000001</v>
      </c>
      <c r="EW21">
        <v>1.8772599999999999</v>
      </c>
      <c r="EX21">
        <v>1.8713500000000001</v>
      </c>
      <c r="EY21">
        <v>1.87212</v>
      </c>
      <c r="EZ21">
        <v>1.8717999999999999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341</v>
      </c>
      <c r="FG21" t="s">
        <v>342</v>
      </c>
      <c r="FH21" t="s">
        <v>343</v>
      </c>
      <c r="FI21" t="s">
        <v>343</v>
      </c>
      <c r="FJ21" t="s">
        <v>343</v>
      </c>
      <c r="FK21" t="s">
        <v>343</v>
      </c>
      <c r="FL21">
        <v>0</v>
      </c>
      <c r="FM21">
        <v>100</v>
      </c>
      <c r="FN21">
        <v>100</v>
      </c>
      <c r="FO21">
        <v>-0.51700000000000002</v>
      </c>
      <c r="FP21">
        <v>0.18529999999999999</v>
      </c>
      <c r="FQ21">
        <v>-1.0803177837955851</v>
      </c>
      <c r="FR21">
        <v>7.6898218637449396E-3</v>
      </c>
      <c r="FS21">
        <v>1.5097418776848419E-6</v>
      </c>
      <c r="FT21">
        <v>-9.8458676114205118E-11</v>
      </c>
      <c r="FU21">
        <v>0.18532499999999891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169.2</v>
      </c>
      <c r="GD21">
        <v>169.1</v>
      </c>
      <c r="GE21">
        <v>0.31372100000000003</v>
      </c>
      <c r="GF21">
        <v>2.67822</v>
      </c>
      <c r="GG21">
        <v>1.7981</v>
      </c>
      <c r="GH21">
        <v>2.3718300000000001</v>
      </c>
      <c r="GI21">
        <v>1.5979000000000001</v>
      </c>
      <c r="GJ21">
        <v>2.4414099999999999</v>
      </c>
      <c r="GK21">
        <v>35.941200000000002</v>
      </c>
      <c r="GL21">
        <v>24.157499999999999</v>
      </c>
      <c r="GM21">
        <v>18</v>
      </c>
      <c r="GN21">
        <v>369.14699999999999</v>
      </c>
      <c r="GO21">
        <v>679.19</v>
      </c>
      <c r="GP21">
        <v>25.83</v>
      </c>
      <c r="GQ21">
        <v>27.5807</v>
      </c>
      <c r="GR21">
        <v>30.0001</v>
      </c>
      <c r="GS21">
        <v>27.514500000000002</v>
      </c>
      <c r="GT21">
        <v>27.532900000000001</v>
      </c>
      <c r="GU21">
        <v>6.2232799999999999</v>
      </c>
      <c r="GV21">
        <v>28.188600000000001</v>
      </c>
      <c r="GW21">
        <v>0</v>
      </c>
      <c r="GX21">
        <v>25.83</v>
      </c>
      <c r="GY21">
        <v>75</v>
      </c>
      <c r="GZ21">
        <v>19.5</v>
      </c>
      <c r="HA21">
        <v>100.497</v>
      </c>
      <c r="HB21">
        <v>70.671400000000006</v>
      </c>
    </row>
    <row r="22" spans="1:210" x14ac:dyDescent="0.3">
      <c r="A22">
        <v>6</v>
      </c>
      <c r="B22">
        <v>1750070490.5999999</v>
      </c>
      <c r="C22">
        <v>902.59999990463257</v>
      </c>
      <c r="D22" t="s">
        <v>353</v>
      </c>
      <c r="E22" t="s">
        <v>354</v>
      </c>
      <c r="F22">
        <v>15</v>
      </c>
      <c r="G22">
        <v>1750070482.849999</v>
      </c>
      <c r="H22">
        <f t="shared" si="0"/>
        <v>2.9953367810214007E-3</v>
      </c>
      <c r="I22">
        <f t="shared" si="1"/>
        <v>2.9953367810214009</v>
      </c>
      <c r="J22">
        <f t="shared" si="2"/>
        <v>20.78494473378781</v>
      </c>
      <c r="K22">
        <f t="shared" si="3"/>
        <v>400.51850000000002</v>
      </c>
      <c r="L22">
        <f t="shared" si="4"/>
        <v>315.23112432975677</v>
      </c>
      <c r="M22">
        <f t="shared" si="5"/>
        <v>32.379412130810096</v>
      </c>
      <c r="N22">
        <f t="shared" si="6"/>
        <v>41.139825913724586</v>
      </c>
      <c r="O22">
        <f t="shared" si="7"/>
        <v>0.46878946427134605</v>
      </c>
      <c r="P22">
        <f t="shared" si="8"/>
        <v>2.4358888330188098</v>
      </c>
      <c r="Q22">
        <f t="shared" si="9"/>
        <v>0.40166954672895117</v>
      </c>
      <c r="R22">
        <f t="shared" si="10"/>
        <v>0.25627357096992093</v>
      </c>
      <c r="S22">
        <f t="shared" si="11"/>
        <v>177.64414799999997</v>
      </c>
      <c r="T22">
        <f t="shared" si="12"/>
        <v>27.225746641045131</v>
      </c>
      <c r="U22">
        <f t="shared" si="13"/>
        <v>26.218463333333339</v>
      </c>
      <c r="V22">
        <f t="shared" si="14"/>
        <v>3.4181251646535205</v>
      </c>
      <c r="W22">
        <f t="shared" si="15"/>
        <v>75.143466519482857</v>
      </c>
      <c r="X22">
        <f t="shared" si="16"/>
        <v>2.6748649637258692</v>
      </c>
      <c r="Y22">
        <f t="shared" si="17"/>
        <v>3.5596773580206635</v>
      </c>
      <c r="Z22">
        <f t="shared" si="18"/>
        <v>0.74326020092765122</v>
      </c>
      <c r="AA22">
        <f t="shared" si="19"/>
        <v>-132.09435204304378</v>
      </c>
      <c r="AB22">
        <f t="shared" si="20"/>
        <v>90.434272854156589</v>
      </c>
      <c r="AC22">
        <f t="shared" si="21"/>
        <v>7.9772082938063384</v>
      </c>
      <c r="AD22">
        <f t="shared" si="22"/>
        <v>143.96127710491913</v>
      </c>
      <c r="AE22">
        <f t="shared" si="23"/>
        <v>20.78494473378781</v>
      </c>
      <c r="AF22">
        <f t="shared" si="24"/>
        <v>2.9953367810214009</v>
      </c>
      <c r="AG22">
        <f t="shared" si="25"/>
        <v>20.843795555877243</v>
      </c>
      <c r="AH22">
        <v>458.91947371137007</v>
      </c>
      <c r="AI22">
        <v>411.11332727272719</v>
      </c>
      <c r="AJ22">
        <v>-3.0623611238892591E-3</v>
      </c>
      <c r="AK22">
        <v>83.942381885923893</v>
      </c>
      <c r="AL22">
        <f t="shared" si="26"/>
        <v>2.986111270973395</v>
      </c>
      <c r="AM22">
        <v>19.477803677570449</v>
      </c>
      <c r="AN22">
        <v>26.022076849237731</v>
      </c>
      <c r="AO22">
        <v>-2.3799652510150068E-6</v>
      </c>
      <c r="AP22">
        <v>90.565554332150427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54274.351702066422</v>
      </c>
      <c r="AV22">
        <f t="shared" si="30"/>
        <v>934.96919999999989</v>
      </c>
      <c r="AW22">
        <f t="shared" si="31"/>
        <v>747.97535999999991</v>
      </c>
      <c r="AX22">
        <f t="shared" si="32"/>
        <v>0.8</v>
      </c>
      <c r="AY22">
        <f t="shared" si="33"/>
        <v>0.19</v>
      </c>
      <c r="AZ22">
        <v>9</v>
      </c>
      <c r="BA22">
        <v>14.19</v>
      </c>
      <c r="BB22" t="s">
        <v>338</v>
      </c>
      <c r="BC22">
        <v>2</v>
      </c>
      <c r="BD22" t="b">
        <v>0</v>
      </c>
      <c r="BE22">
        <v>1750070482.849999</v>
      </c>
      <c r="BF22">
        <v>400.51850000000002</v>
      </c>
      <c r="BG22">
        <v>449.98646666666679</v>
      </c>
      <c r="BH22">
        <v>26.041260000000001</v>
      </c>
      <c r="BI22">
        <v>19.47692</v>
      </c>
      <c r="BJ22">
        <v>398.3026333333334</v>
      </c>
      <c r="BK22">
        <v>25.855936666666661</v>
      </c>
      <c r="BL22">
        <v>399.9794333333333</v>
      </c>
      <c r="BM22">
        <v>102.6164333333333</v>
      </c>
      <c r="BN22">
        <v>9.998529333333335E-2</v>
      </c>
      <c r="BO22">
        <v>26.90710000000001</v>
      </c>
      <c r="BP22">
        <v>26.218463333333339</v>
      </c>
      <c r="BQ22">
        <v>999.9000000000002</v>
      </c>
      <c r="BR22">
        <v>0</v>
      </c>
      <c r="BS22">
        <v>0</v>
      </c>
      <c r="BT22">
        <v>9999.4</v>
      </c>
      <c r="BU22">
        <v>934.96919999999989</v>
      </c>
      <c r="BV22">
        <v>18.01639999999999</v>
      </c>
      <c r="BW22">
        <v>-49.467850000000013</v>
      </c>
      <c r="BX22">
        <v>411.22753333333333</v>
      </c>
      <c r="BY22">
        <v>458.92483333333342</v>
      </c>
      <c r="BZ22">
        <v>6.5643423333333333</v>
      </c>
      <c r="CA22">
        <v>449.98646666666679</v>
      </c>
      <c r="CB22">
        <v>19.47692</v>
      </c>
      <c r="CC22">
        <v>2.6722596666666671</v>
      </c>
      <c r="CD22">
        <v>1.998651333333334</v>
      </c>
      <c r="CE22">
        <v>22.115516666666661</v>
      </c>
      <c r="CF22">
        <v>17.433646666666661</v>
      </c>
      <c r="CG22">
        <v>1750060166.5999999</v>
      </c>
      <c r="CH22" t="s">
        <v>339</v>
      </c>
      <c r="CI22">
        <v>1750060157.0999999</v>
      </c>
      <c r="CJ22">
        <v>1750060166.5999999</v>
      </c>
      <c r="CK22">
        <v>4</v>
      </c>
      <c r="CL22">
        <v>-0.13200000000000001</v>
      </c>
      <c r="CM22">
        <v>-8.9999999999999993E-3</v>
      </c>
      <c r="CN22">
        <v>2.6520000000000001</v>
      </c>
      <c r="CO22">
        <v>0.185</v>
      </c>
      <c r="CP22">
        <v>450</v>
      </c>
      <c r="CQ22">
        <v>19</v>
      </c>
      <c r="CR22">
        <v>0.35</v>
      </c>
      <c r="CS22">
        <v>0.02</v>
      </c>
      <c r="CT22">
        <v>-49.423749999999998</v>
      </c>
      <c r="CU22">
        <v>-1.011514446528933</v>
      </c>
      <c r="CV22">
        <v>0.10138963704442409</v>
      </c>
      <c r="CW22">
        <v>0</v>
      </c>
      <c r="CX22">
        <v>0</v>
      </c>
      <c r="CY22">
        <v>0</v>
      </c>
      <c r="CZ22">
        <v>0</v>
      </c>
      <c r="DA22">
        <v>-1</v>
      </c>
      <c r="DB22">
        <v>6.5694652500000021</v>
      </c>
      <c r="DC22">
        <v>-0.13686450281426271</v>
      </c>
      <c r="DD22">
        <v>1.3320876657994359E-2</v>
      </c>
      <c r="DE22">
        <v>0</v>
      </c>
      <c r="DF22">
        <v>0</v>
      </c>
      <c r="DG22">
        <v>2</v>
      </c>
      <c r="DH22" t="s">
        <v>355</v>
      </c>
      <c r="DI22">
        <v>3.0243899999999999</v>
      </c>
      <c r="DJ22">
        <v>2.6914799999999999</v>
      </c>
      <c r="DK22">
        <v>9.4203200000000001E-2</v>
      </c>
      <c r="DL22">
        <v>0.103797</v>
      </c>
      <c r="DM22">
        <v>0.12837399999999999</v>
      </c>
      <c r="DN22">
        <v>0.10569199999999999</v>
      </c>
      <c r="DO22">
        <v>25249.3</v>
      </c>
      <c r="DP22">
        <v>16861.2</v>
      </c>
      <c r="DQ22">
        <v>26448.3</v>
      </c>
      <c r="DR22">
        <v>17099.3</v>
      </c>
      <c r="DS22">
        <v>32777.699999999997</v>
      </c>
      <c r="DT22">
        <v>19947</v>
      </c>
      <c r="DU22">
        <v>38527.699999999997</v>
      </c>
      <c r="DV22">
        <v>22629.5</v>
      </c>
      <c r="DW22">
        <v>1.8071600000000001</v>
      </c>
      <c r="DX22">
        <v>2.2000600000000001</v>
      </c>
      <c r="DY22">
        <v>6.6846600000000006E-2</v>
      </c>
      <c r="DZ22">
        <v>0</v>
      </c>
      <c r="EA22">
        <v>25.129100000000001</v>
      </c>
      <c r="EB22">
        <v>999.9</v>
      </c>
      <c r="EC22">
        <v>52.7</v>
      </c>
      <c r="ED22">
        <v>32.4</v>
      </c>
      <c r="EE22">
        <v>25.081399999999999</v>
      </c>
      <c r="EF22">
        <v>62.710599999999999</v>
      </c>
      <c r="EG22">
        <v>34.943899999999999</v>
      </c>
      <c r="EH22">
        <v>1</v>
      </c>
      <c r="EI22">
        <v>3.7412599999999997E-2</v>
      </c>
      <c r="EJ22">
        <v>1.7618700000000001E-2</v>
      </c>
      <c r="EK22">
        <v>20.327200000000001</v>
      </c>
      <c r="EL22">
        <v>5.25251</v>
      </c>
      <c r="EM22">
        <v>11.962</v>
      </c>
      <c r="EN22">
        <v>4.9898800000000003</v>
      </c>
      <c r="EO22">
        <v>3.29122</v>
      </c>
      <c r="EP22">
        <v>9999</v>
      </c>
      <c r="EQ22">
        <v>9999</v>
      </c>
      <c r="ER22">
        <v>9999</v>
      </c>
      <c r="ES22">
        <v>999.9</v>
      </c>
      <c r="ET22">
        <v>4.9727399999999999</v>
      </c>
      <c r="EU22">
        <v>1.87195</v>
      </c>
      <c r="EV22">
        <v>1.8722300000000001</v>
      </c>
      <c r="EW22">
        <v>1.8772599999999999</v>
      </c>
      <c r="EX22">
        <v>1.8713599999999999</v>
      </c>
      <c r="EY22">
        <v>1.8721300000000001</v>
      </c>
      <c r="EZ22">
        <v>1.8717999999999999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341</v>
      </c>
      <c r="FG22" t="s">
        <v>342</v>
      </c>
      <c r="FH22" t="s">
        <v>343</v>
      </c>
      <c r="FI22" t="s">
        <v>343</v>
      </c>
      <c r="FJ22" t="s">
        <v>343</v>
      </c>
      <c r="FK22" t="s">
        <v>343</v>
      </c>
      <c r="FL22">
        <v>0</v>
      </c>
      <c r="FM22">
        <v>100</v>
      </c>
      <c r="FN22">
        <v>100</v>
      </c>
      <c r="FO22">
        <v>2.2149999999999999</v>
      </c>
      <c r="FP22">
        <v>0.18540000000000001</v>
      </c>
      <c r="FQ22">
        <v>-1.0803177837955851</v>
      </c>
      <c r="FR22">
        <v>7.6898218637449396E-3</v>
      </c>
      <c r="FS22">
        <v>1.5097418776848419E-6</v>
      </c>
      <c r="FT22">
        <v>-9.8458676114205118E-11</v>
      </c>
      <c r="FU22">
        <v>0.18532499999999891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172.2</v>
      </c>
      <c r="GD22">
        <v>172.1</v>
      </c>
      <c r="GE22">
        <v>1.1059600000000001</v>
      </c>
      <c r="GF22">
        <v>2.65015</v>
      </c>
      <c r="GG22">
        <v>1.7981</v>
      </c>
      <c r="GH22">
        <v>2.3718300000000001</v>
      </c>
      <c r="GI22">
        <v>1.5979000000000001</v>
      </c>
      <c r="GJ22">
        <v>2.4304199999999998</v>
      </c>
      <c r="GK22">
        <v>35.987900000000003</v>
      </c>
      <c r="GL22">
        <v>24.157499999999999</v>
      </c>
      <c r="GM22">
        <v>18</v>
      </c>
      <c r="GN22">
        <v>369.08100000000002</v>
      </c>
      <c r="GO22">
        <v>680.01400000000001</v>
      </c>
      <c r="GP22">
        <v>25.829899999999999</v>
      </c>
      <c r="GQ22">
        <v>27.573699999999999</v>
      </c>
      <c r="GR22">
        <v>30</v>
      </c>
      <c r="GS22">
        <v>27.5076</v>
      </c>
      <c r="GT22">
        <v>27.5258</v>
      </c>
      <c r="GU22">
        <v>22.093499999999999</v>
      </c>
      <c r="GV22">
        <v>28.188600000000001</v>
      </c>
      <c r="GW22">
        <v>0</v>
      </c>
      <c r="GX22">
        <v>25.83</v>
      </c>
      <c r="GY22">
        <v>450</v>
      </c>
      <c r="GZ22">
        <v>19.5</v>
      </c>
      <c r="HA22">
        <v>100.499</v>
      </c>
      <c r="HB22">
        <v>70.675399999999996</v>
      </c>
    </row>
    <row r="23" spans="1:210" x14ac:dyDescent="0.3">
      <c r="A23">
        <v>7</v>
      </c>
      <c r="B23">
        <v>1750070671.0999999</v>
      </c>
      <c r="C23">
        <v>1083.099999904633</v>
      </c>
      <c r="D23" t="s">
        <v>356</v>
      </c>
      <c r="E23" t="s">
        <v>357</v>
      </c>
      <c r="F23">
        <v>15</v>
      </c>
      <c r="G23">
        <v>1750070663.349999</v>
      </c>
      <c r="H23">
        <f t="shared" si="0"/>
        <v>2.5407202619081807E-3</v>
      </c>
      <c r="I23">
        <f t="shared" si="1"/>
        <v>2.5407202619081808</v>
      </c>
      <c r="J23">
        <f t="shared" si="2"/>
        <v>20.668793229119398</v>
      </c>
      <c r="K23">
        <f t="shared" si="3"/>
        <v>401.19369999999992</v>
      </c>
      <c r="L23">
        <f t="shared" si="4"/>
        <v>286.47102643132592</v>
      </c>
      <c r="M23">
        <f t="shared" si="5"/>
        <v>29.425179541286433</v>
      </c>
      <c r="N23">
        <f t="shared" si="6"/>
        <v>41.209042325831845</v>
      </c>
      <c r="O23">
        <f t="shared" si="7"/>
        <v>0.3309048438928115</v>
      </c>
      <c r="P23">
        <f t="shared" si="8"/>
        <v>2.4360900397792951</v>
      </c>
      <c r="Q23">
        <f t="shared" si="9"/>
        <v>0.2959037048695663</v>
      </c>
      <c r="R23">
        <f t="shared" si="10"/>
        <v>0.18777783336914428</v>
      </c>
      <c r="S23">
        <f t="shared" si="11"/>
        <v>177.66540266666669</v>
      </c>
      <c r="T23">
        <f t="shared" si="12"/>
        <v>27.384654812348455</v>
      </c>
      <c r="U23">
        <f t="shared" si="13"/>
        <v>26.27709333333333</v>
      </c>
      <c r="V23">
        <f t="shared" si="14"/>
        <v>3.4299823059825085</v>
      </c>
      <c r="W23">
        <f t="shared" si="15"/>
        <v>72.22568374119561</v>
      </c>
      <c r="X23">
        <f t="shared" si="16"/>
        <v>2.573805661791825</v>
      </c>
      <c r="Y23">
        <f t="shared" si="17"/>
        <v>3.5635601194368407</v>
      </c>
      <c r="Z23">
        <f t="shared" si="18"/>
        <v>0.85617664419068351</v>
      </c>
      <c r="AA23">
        <f t="shared" si="19"/>
        <v>-112.04576355015077</v>
      </c>
      <c r="AB23">
        <f t="shared" si="20"/>
        <v>85.177856604194346</v>
      </c>
      <c r="AC23">
        <f t="shared" si="21"/>
        <v>7.5158218955663543</v>
      </c>
      <c r="AD23">
        <f t="shared" si="22"/>
        <v>158.31331761627661</v>
      </c>
      <c r="AE23">
        <f t="shared" si="23"/>
        <v>20.668793229119398</v>
      </c>
      <c r="AF23">
        <f t="shared" si="24"/>
        <v>2.5407202619081808</v>
      </c>
      <c r="AG23">
        <f t="shared" si="25"/>
        <v>20.638306529172748</v>
      </c>
      <c r="AH23">
        <v>458.9519628053672</v>
      </c>
      <c r="AI23">
        <v>411.57802424242419</v>
      </c>
      <c r="AJ23">
        <v>1.744452085242768E-3</v>
      </c>
      <c r="AK23">
        <v>83.942381885923893</v>
      </c>
      <c r="AL23">
        <f t="shared" si="26"/>
        <v>2.5272976647848955</v>
      </c>
      <c r="AM23">
        <v>19.484335638689231</v>
      </c>
      <c r="AN23">
        <v>25.033202315076231</v>
      </c>
      <c r="AO23">
        <v>-5.1571254224823794E-4</v>
      </c>
      <c r="AP23">
        <v>90.565554332150427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54277.759350891232</v>
      </c>
      <c r="AV23">
        <f t="shared" si="30"/>
        <v>935.08106666666674</v>
      </c>
      <c r="AW23">
        <f t="shared" si="31"/>
        <v>748.06485333333342</v>
      </c>
      <c r="AX23">
        <f t="shared" si="32"/>
        <v>0.8</v>
      </c>
      <c r="AY23">
        <f t="shared" si="33"/>
        <v>0.19</v>
      </c>
      <c r="AZ23">
        <v>9</v>
      </c>
      <c r="BA23">
        <v>14.19</v>
      </c>
      <c r="BB23" t="s">
        <v>338</v>
      </c>
      <c r="BC23">
        <v>2</v>
      </c>
      <c r="BD23" t="b">
        <v>0</v>
      </c>
      <c r="BE23">
        <v>1750070663.349999</v>
      </c>
      <c r="BF23">
        <v>401.19369999999992</v>
      </c>
      <c r="BG23">
        <v>449.99189999999999</v>
      </c>
      <c r="BH23">
        <v>25.05747666666667</v>
      </c>
      <c r="BI23">
        <v>19.484106666666669</v>
      </c>
      <c r="BJ23">
        <v>398.97179999999992</v>
      </c>
      <c r="BK23">
        <v>24.87215333333334</v>
      </c>
      <c r="BL23">
        <v>400.00046666666668</v>
      </c>
      <c r="BM23">
        <v>102.6161</v>
      </c>
      <c r="BN23">
        <v>9.9975366666666662E-2</v>
      </c>
      <c r="BO23">
        <v>26.925650000000001</v>
      </c>
      <c r="BP23">
        <v>26.27709333333333</v>
      </c>
      <c r="BQ23">
        <v>999.9000000000002</v>
      </c>
      <c r="BR23">
        <v>0</v>
      </c>
      <c r="BS23">
        <v>0</v>
      </c>
      <c r="BT23">
        <v>10000.73333333333</v>
      </c>
      <c r="BU23">
        <v>935.08106666666674</v>
      </c>
      <c r="BV23">
        <v>18.01639999999999</v>
      </c>
      <c r="BW23">
        <v>-48.798279999999998</v>
      </c>
      <c r="BX23">
        <v>411.50496666666658</v>
      </c>
      <c r="BY23">
        <v>458.93386666666669</v>
      </c>
      <c r="BZ23">
        <v>5.5733666666666668</v>
      </c>
      <c r="CA23">
        <v>449.99189999999999</v>
      </c>
      <c r="CB23">
        <v>19.484106666666669</v>
      </c>
      <c r="CC23">
        <v>2.5712996666666661</v>
      </c>
      <c r="CD23">
        <v>1.999382</v>
      </c>
      <c r="CE23">
        <v>21.48498</v>
      </c>
      <c r="CF23">
        <v>17.439446666666669</v>
      </c>
      <c r="CG23">
        <v>1750060166.5999999</v>
      </c>
      <c r="CH23" t="s">
        <v>339</v>
      </c>
      <c r="CI23">
        <v>1750060157.0999999</v>
      </c>
      <c r="CJ23">
        <v>1750060166.5999999</v>
      </c>
      <c r="CK23">
        <v>4</v>
      </c>
      <c r="CL23">
        <v>-0.13200000000000001</v>
      </c>
      <c r="CM23">
        <v>-8.9999999999999993E-3</v>
      </c>
      <c r="CN23">
        <v>2.6520000000000001</v>
      </c>
      <c r="CO23">
        <v>0.185</v>
      </c>
      <c r="CP23">
        <v>450</v>
      </c>
      <c r="CQ23">
        <v>19</v>
      </c>
      <c r="CR23">
        <v>0.35</v>
      </c>
      <c r="CS23">
        <v>0.02</v>
      </c>
      <c r="CT23">
        <v>-48.836334999999998</v>
      </c>
      <c r="CU23">
        <v>0.59916472795495368</v>
      </c>
      <c r="CV23">
        <v>7.1409013961824142E-2</v>
      </c>
      <c r="CW23">
        <v>0</v>
      </c>
      <c r="CX23">
        <v>0</v>
      </c>
      <c r="CY23">
        <v>0</v>
      </c>
      <c r="CZ23">
        <v>0</v>
      </c>
      <c r="DA23">
        <v>-1</v>
      </c>
      <c r="DB23">
        <v>5.5848504999999999</v>
      </c>
      <c r="DC23">
        <v>-0.22377455909946009</v>
      </c>
      <c r="DD23">
        <v>2.15842957899951E-2</v>
      </c>
      <c r="DE23">
        <v>0</v>
      </c>
      <c r="DF23">
        <v>0</v>
      </c>
      <c r="DG23">
        <v>2</v>
      </c>
      <c r="DH23" t="s">
        <v>355</v>
      </c>
      <c r="DI23">
        <v>3.02434</v>
      </c>
      <c r="DJ23">
        <v>2.6913800000000001</v>
      </c>
      <c r="DK23">
        <v>9.4354199999999999E-2</v>
      </c>
      <c r="DL23">
        <v>0.103796</v>
      </c>
      <c r="DM23">
        <v>0.124946</v>
      </c>
      <c r="DN23">
        <v>0.105716</v>
      </c>
      <c r="DO23">
        <v>25245.9</v>
      </c>
      <c r="DP23">
        <v>16861.2</v>
      </c>
      <c r="DQ23">
        <v>26449.1</v>
      </c>
      <c r="DR23">
        <v>17099.3</v>
      </c>
      <c r="DS23">
        <v>32911</v>
      </c>
      <c r="DT23">
        <v>19946.3</v>
      </c>
      <c r="DU23">
        <v>38529</v>
      </c>
      <c r="DV23">
        <v>22629.4</v>
      </c>
      <c r="DW23">
        <v>1.80646</v>
      </c>
      <c r="DX23">
        <v>2.19984</v>
      </c>
      <c r="DY23">
        <v>6.8050600000000003E-2</v>
      </c>
      <c r="DZ23">
        <v>0</v>
      </c>
      <c r="EA23">
        <v>25.165600000000001</v>
      </c>
      <c r="EB23">
        <v>999.9</v>
      </c>
      <c r="EC23">
        <v>52.6</v>
      </c>
      <c r="ED23">
        <v>32.5</v>
      </c>
      <c r="EE23">
        <v>25.177600000000002</v>
      </c>
      <c r="EF23">
        <v>62.430599999999998</v>
      </c>
      <c r="EG23">
        <v>35.1843</v>
      </c>
      <c r="EH23">
        <v>1</v>
      </c>
      <c r="EI23">
        <v>3.6337399999999999E-2</v>
      </c>
      <c r="EJ23">
        <v>1.9302799999999998E-2</v>
      </c>
      <c r="EK23">
        <v>20.327000000000002</v>
      </c>
      <c r="EL23">
        <v>5.2521500000000003</v>
      </c>
      <c r="EM23">
        <v>11.962</v>
      </c>
      <c r="EN23">
        <v>4.9896399999999996</v>
      </c>
      <c r="EO23">
        <v>3.2915000000000001</v>
      </c>
      <c r="EP23">
        <v>9999</v>
      </c>
      <c r="EQ23">
        <v>9999</v>
      </c>
      <c r="ER23">
        <v>9999</v>
      </c>
      <c r="ES23">
        <v>999.9</v>
      </c>
      <c r="ET23">
        <v>4.9727399999999999</v>
      </c>
      <c r="EU23">
        <v>1.87195</v>
      </c>
      <c r="EV23">
        <v>1.8722000000000001</v>
      </c>
      <c r="EW23">
        <v>1.8772500000000001</v>
      </c>
      <c r="EX23">
        <v>1.8713599999999999</v>
      </c>
      <c r="EY23">
        <v>1.87212</v>
      </c>
      <c r="EZ23">
        <v>1.8717999999999999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341</v>
      </c>
      <c r="FG23" t="s">
        <v>342</v>
      </c>
      <c r="FH23" t="s">
        <v>343</v>
      </c>
      <c r="FI23" t="s">
        <v>343</v>
      </c>
      <c r="FJ23" t="s">
        <v>343</v>
      </c>
      <c r="FK23" t="s">
        <v>343</v>
      </c>
      <c r="FL23">
        <v>0</v>
      </c>
      <c r="FM23">
        <v>100</v>
      </c>
      <c r="FN23">
        <v>100</v>
      </c>
      <c r="FO23">
        <v>2.2229999999999999</v>
      </c>
      <c r="FP23">
        <v>0.18529999999999999</v>
      </c>
      <c r="FQ23">
        <v>-1.0803177837955851</v>
      </c>
      <c r="FR23">
        <v>7.6898218637449396E-3</v>
      </c>
      <c r="FS23">
        <v>1.5097418776848419E-6</v>
      </c>
      <c r="FT23">
        <v>-9.8458676114205118E-11</v>
      </c>
      <c r="FU23">
        <v>0.18532499999999891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175.2</v>
      </c>
      <c r="GD23">
        <v>175.1</v>
      </c>
      <c r="GE23">
        <v>1.1059600000000001</v>
      </c>
      <c r="GF23">
        <v>2.65137</v>
      </c>
      <c r="GG23">
        <v>1.79932</v>
      </c>
      <c r="GH23">
        <v>2.3718300000000001</v>
      </c>
      <c r="GI23">
        <v>1.5979000000000001</v>
      </c>
      <c r="GJ23">
        <v>2.4401899999999999</v>
      </c>
      <c r="GK23">
        <v>35.987900000000003</v>
      </c>
      <c r="GL23">
        <v>24.157499999999999</v>
      </c>
      <c r="GM23">
        <v>18</v>
      </c>
      <c r="GN23">
        <v>368.63200000000001</v>
      </c>
      <c r="GO23">
        <v>679.67200000000003</v>
      </c>
      <c r="GP23">
        <v>25.83</v>
      </c>
      <c r="GQ23">
        <v>27.5608</v>
      </c>
      <c r="GR23">
        <v>30</v>
      </c>
      <c r="GS23">
        <v>27.494399999999999</v>
      </c>
      <c r="GT23">
        <v>27.514099999999999</v>
      </c>
      <c r="GU23">
        <v>22.089700000000001</v>
      </c>
      <c r="GV23">
        <v>28.188600000000001</v>
      </c>
      <c r="GW23">
        <v>0</v>
      </c>
      <c r="GX23">
        <v>25.83</v>
      </c>
      <c r="GY23">
        <v>450</v>
      </c>
      <c r="GZ23">
        <v>19.5</v>
      </c>
      <c r="HA23">
        <v>100.503</v>
      </c>
      <c r="HB23">
        <v>70.6751</v>
      </c>
    </row>
    <row r="24" spans="1:210" x14ac:dyDescent="0.3">
      <c r="A24">
        <v>8</v>
      </c>
      <c r="B24">
        <v>1750070851.5999999</v>
      </c>
      <c r="C24">
        <v>1263.599999904633</v>
      </c>
      <c r="D24" t="s">
        <v>358</v>
      </c>
      <c r="E24" t="s">
        <v>359</v>
      </c>
      <c r="F24">
        <v>15</v>
      </c>
      <c r="G24">
        <v>1750070843.849999</v>
      </c>
      <c r="H24">
        <f t="shared" si="0"/>
        <v>2.4139799078424524E-3</v>
      </c>
      <c r="I24">
        <f t="shared" si="1"/>
        <v>2.4139799078424522</v>
      </c>
      <c r="J24">
        <f t="shared" si="2"/>
        <v>20.374788318516281</v>
      </c>
      <c r="K24">
        <f t="shared" si="3"/>
        <v>401.96423333333342</v>
      </c>
      <c r="L24">
        <f t="shared" si="4"/>
        <v>278.6203397081814</v>
      </c>
      <c r="M24">
        <f t="shared" si="5"/>
        <v>28.618538440446642</v>
      </c>
      <c r="N24">
        <f t="shared" si="6"/>
        <v>41.287828718403048</v>
      </c>
      <c r="O24">
        <f t="shared" si="7"/>
        <v>0.30026309652961175</v>
      </c>
      <c r="P24">
        <f t="shared" si="8"/>
        <v>2.4361424903686433</v>
      </c>
      <c r="Q24">
        <f t="shared" si="9"/>
        <v>0.27114247642235323</v>
      </c>
      <c r="R24">
        <f t="shared" si="10"/>
        <v>0.17184674845264397</v>
      </c>
      <c r="S24">
        <f t="shared" si="11"/>
        <v>177.65868933333331</v>
      </c>
      <c r="T24">
        <f t="shared" si="12"/>
        <v>27.431994383642159</v>
      </c>
      <c r="U24">
        <f t="shared" si="13"/>
        <v>26.296526666666669</v>
      </c>
      <c r="V24">
        <f t="shared" si="14"/>
        <v>3.4339203581960813</v>
      </c>
      <c r="W24">
        <f t="shared" si="15"/>
        <v>71.412450197806635</v>
      </c>
      <c r="X24">
        <f t="shared" si="16"/>
        <v>2.5460675976534919</v>
      </c>
      <c r="Y24">
        <f t="shared" si="17"/>
        <v>3.5652993148969028</v>
      </c>
      <c r="Z24">
        <f t="shared" si="18"/>
        <v>0.88785276054258944</v>
      </c>
      <c r="AA24">
        <f t="shared" si="19"/>
        <v>-106.45651393585214</v>
      </c>
      <c r="AB24">
        <f t="shared" si="20"/>
        <v>83.717906234208044</v>
      </c>
      <c r="AC24">
        <f t="shared" si="21"/>
        <v>7.3878670435145004</v>
      </c>
      <c r="AD24">
        <f t="shared" si="22"/>
        <v>162.3079486752037</v>
      </c>
      <c r="AE24">
        <f t="shared" si="23"/>
        <v>20.374788318516281</v>
      </c>
      <c r="AF24">
        <f t="shared" si="24"/>
        <v>2.4139799078424522</v>
      </c>
      <c r="AG24">
        <f t="shared" si="25"/>
        <v>20.351899340308623</v>
      </c>
      <c r="AH24">
        <v>458.92724969988387</v>
      </c>
      <c r="AI24">
        <v>412.23132727272719</v>
      </c>
      <c r="AJ24">
        <v>1.200490124557833E-4</v>
      </c>
      <c r="AK24">
        <v>83.942381885923893</v>
      </c>
      <c r="AL24">
        <f t="shared" si="26"/>
        <v>2.4116164338865858</v>
      </c>
      <c r="AM24">
        <v>19.492496740007461</v>
      </c>
      <c r="AN24">
        <v>24.783404404291371</v>
      </c>
      <c r="AO24">
        <v>-6.7859990391018552E-6</v>
      </c>
      <c r="AP24">
        <v>90.565554332150427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54278.001035030073</v>
      </c>
      <c r="AV24">
        <f t="shared" si="30"/>
        <v>935.04573333333326</v>
      </c>
      <c r="AW24">
        <f t="shared" si="31"/>
        <v>748.03658666666661</v>
      </c>
      <c r="AX24">
        <f t="shared" si="32"/>
        <v>0.8</v>
      </c>
      <c r="AY24">
        <f t="shared" si="33"/>
        <v>0.19</v>
      </c>
      <c r="AZ24">
        <v>9</v>
      </c>
      <c r="BA24">
        <v>14.19</v>
      </c>
      <c r="BB24" t="s">
        <v>338</v>
      </c>
      <c r="BC24">
        <v>2</v>
      </c>
      <c r="BD24" t="b">
        <v>0</v>
      </c>
      <c r="BE24">
        <v>1750070843.849999</v>
      </c>
      <c r="BF24">
        <v>401.96423333333342</v>
      </c>
      <c r="BG24">
        <v>449.9833666666666</v>
      </c>
      <c r="BH24">
        <v>24.787646666666671</v>
      </c>
      <c r="BI24">
        <v>19.49164</v>
      </c>
      <c r="BJ24">
        <v>399.73559999999998</v>
      </c>
      <c r="BK24">
        <v>24.602329999999998</v>
      </c>
      <c r="BL24">
        <v>400.06156666666658</v>
      </c>
      <c r="BM24">
        <v>102.6151333333333</v>
      </c>
      <c r="BN24">
        <v>0.10004701000000001</v>
      </c>
      <c r="BO24">
        <v>26.933953333333331</v>
      </c>
      <c r="BP24">
        <v>26.296526666666669</v>
      </c>
      <c r="BQ24">
        <v>999.9000000000002</v>
      </c>
      <c r="BR24">
        <v>0</v>
      </c>
      <c r="BS24">
        <v>0</v>
      </c>
      <c r="BT24">
        <v>10001.16666666667</v>
      </c>
      <c r="BU24">
        <v>935.04573333333326</v>
      </c>
      <c r="BV24">
        <v>18.01639999999999</v>
      </c>
      <c r="BW24">
        <v>-48.019279999999988</v>
      </c>
      <c r="BX24">
        <v>412.18113333333332</v>
      </c>
      <c r="BY24">
        <v>458.9287666666666</v>
      </c>
      <c r="BZ24">
        <v>5.2960076666666662</v>
      </c>
      <c r="CA24">
        <v>449.9833666666666</v>
      </c>
      <c r="CB24">
        <v>19.49164</v>
      </c>
      <c r="CC24">
        <v>2.543586666666668</v>
      </c>
      <c r="CD24">
        <v>2.000137333333333</v>
      </c>
      <c r="CE24">
        <v>21.308113333333338</v>
      </c>
      <c r="CF24">
        <v>17.44541666666667</v>
      </c>
      <c r="CG24">
        <v>1750060166.5999999</v>
      </c>
      <c r="CH24" t="s">
        <v>339</v>
      </c>
      <c r="CI24">
        <v>1750060157.0999999</v>
      </c>
      <c r="CJ24">
        <v>1750060166.5999999</v>
      </c>
      <c r="CK24">
        <v>4</v>
      </c>
      <c r="CL24">
        <v>-0.13200000000000001</v>
      </c>
      <c r="CM24">
        <v>-8.9999999999999993E-3</v>
      </c>
      <c r="CN24">
        <v>2.6520000000000001</v>
      </c>
      <c r="CO24">
        <v>0.185</v>
      </c>
      <c r="CP24">
        <v>450</v>
      </c>
      <c r="CQ24">
        <v>19</v>
      </c>
      <c r="CR24">
        <v>0.35</v>
      </c>
      <c r="CS24">
        <v>0.02</v>
      </c>
      <c r="CT24">
        <v>-48.027247500000001</v>
      </c>
      <c r="CU24">
        <v>0.21292570356477319</v>
      </c>
      <c r="CV24">
        <v>4.3842593373909687E-2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5.2975359999999991</v>
      </c>
      <c r="DC24">
        <v>-3.3643227016906092E-2</v>
      </c>
      <c r="DD24">
        <v>3.4287197319115351E-3</v>
      </c>
      <c r="DE24">
        <v>1</v>
      </c>
      <c r="DF24">
        <v>2</v>
      </c>
      <c r="DG24">
        <v>2</v>
      </c>
      <c r="DH24" t="s">
        <v>340</v>
      </c>
      <c r="DI24">
        <v>3.0244300000000002</v>
      </c>
      <c r="DJ24">
        <v>2.6913</v>
      </c>
      <c r="DK24">
        <v>9.4481499999999996E-2</v>
      </c>
      <c r="DL24">
        <v>0.1038</v>
      </c>
      <c r="DM24">
        <v>0.12408</v>
      </c>
      <c r="DN24">
        <v>0.105742</v>
      </c>
      <c r="DO24">
        <v>25242.9</v>
      </c>
      <c r="DP24">
        <v>16861.5</v>
      </c>
      <c r="DQ24">
        <v>26449.7</v>
      </c>
      <c r="DR24">
        <v>17099.599999999999</v>
      </c>
      <c r="DS24">
        <v>32944.9</v>
      </c>
      <c r="DT24">
        <v>19945.8</v>
      </c>
      <c r="DU24">
        <v>38529.699999999997</v>
      </c>
      <c r="DV24">
        <v>22629.599999999999</v>
      </c>
      <c r="DW24">
        <v>1.8063800000000001</v>
      </c>
      <c r="DX24">
        <v>2.19998</v>
      </c>
      <c r="DY24">
        <v>6.9946099999999997E-2</v>
      </c>
      <c r="DZ24">
        <v>0</v>
      </c>
      <c r="EA24">
        <v>25.151199999999999</v>
      </c>
      <c r="EB24">
        <v>999.9</v>
      </c>
      <c r="EC24">
        <v>52.5</v>
      </c>
      <c r="ED24">
        <v>32.5</v>
      </c>
      <c r="EE24">
        <v>25.130800000000001</v>
      </c>
      <c r="EF24">
        <v>63.060600000000001</v>
      </c>
      <c r="EG24">
        <v>34.895800000000001</v>
      </c>
      <c r="EH24">
        <v>1</v>
      </c>
      <c r="EI24">
        <v>3.5435000000000001E-2</v>
      </c>
      <c r="EJ24">
        <v>2.03704E-2</v>
      </c>
      <c r="EK24">
        <v>20.327300000000001</v>
      </c>
      <c r="EL24">
        <v>5.2526299999999999</v>
      </c>
      <c r="EM24">
        <v>11.962</v>
      </c>
      <c r="EN24">
        <v>4.9896399999999996</v>
      </c>
      <c r="EO24">
        <v>3.2915000000000001</v>
      </c>
      <c r="EP24">
        <v>9999</v>
      </c>
      <c r="EQ24">
        <v>9999</v>
      </c>
      <c r="ER24">
        <v>9999</v>
      </c>
      <c r="ES24">
        <v>999.9</v>
      </c>
      <c r="ET24">
        <v>4.9727199999999998</v>
      </c>
      <c r="EU24">
        <v>1.87195</v>
      </c>
      <c r="EV24">
        <v>1.8722300000000001</v>
      </c>
      <c r="EW24">
        <v>1.87724</v>
      </c>
      <c r="EX24">
        <v>1.8713500000000001</v>
      </c>
      <c r="EY24">
        <v>1.87212</v>
      </c>
      <c r="EZ24">
        <v>1.8717999999999999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341</v>
      </c>
      <c r="FG24" t="s">
        <v>342</v>
      </c>
      <c r="FH24" t="s">
        <v>343</v>
      </c>
      <c r="FI24" t="s">
        <v>343</v>
      </c>
      <c r="FJ24" t="s">
        <v>343</v>
      </c>
      <c r="FK24" t="s">
        <v>343</v>
      </c>
      <c r="FL24">
        <v>0</v>
      </c>
      <c r="FM24">
        <v>100</v>
      </c>
      <c r="FN24">
        <v>100</v>
      </c>
      <c r="FO24">
        <v>2.2280000000000002</v>
      </c>
      <c r="FP24">
        <v>0.18529999999999999</v>
      </c>
      <c r="FQ24">
        <v>-1.0803177837955851</v>
      </c>
      <c r="FR24">
        <v>7.6898218637449396E-3</v>
      </c>
      <c r="FS24">
        <v>1.5097418776848419E-6</v>
      </c>
      <c r="FT24">
        <v>-9.8458676114205118E-11</v>
      </c>
      <c r="FU24">
        <v>0.18532499999999891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178.2</v>
      </c>
      <c r="GD24">
        <v>178.1</v>
      </c>
      <c r="GE24">
        <v>1.1047400000000001</v>
      </c>
      <c r="GF24">
        <v>2.63428</v>
      </c>
      <c r="GG24">
        <v>1.7981</v>
      </c>
      <c r="GH24">
        <v>2.3718300000000001</v>
      </c>
      <c r="GI24">
        <v>1.5979000000000001</v>
      </c>
      <c r="GJ24">
        <v>2.5158700000000001</v>
      </c>
      <c r="GK24">
        <v>36.011299999999999</v>
      </c>
      <c r="GL24">
        <v>24.1663</v>
      </c>
      <c r="GM24">
        <v>18</v>
      </c>
      <c r="GN24">
        <v>368.51</v>
      </c>
      <c r="GO24">
        <v>679.62400000000002</v>
      </c>
      <c r="GP24">
        <v>25.829899999999999</v>
      </c>
      <c r="GQ24">
        <v>27.5474</v>
      </c>
      <c r="GR24">
        <v>30</v>
      </c>
      <c r="GS24">
        <v>27.482199999999999</v>
      </c>
      <c r="GT24">
        <v>27.500699999999998</v>
      </c>
      <c r="GU24">
        <v>22.088699999999999</v>
      </c>
      <c r="GV24">
        <v>28.188600000000001</v>
      </c>
      <c r="GW24">
        <v>0</v>
      </c>
      <c r="GX24">
        <v>25.83</v>
      </c>
      <c r="GY24">
        <v>450</v>
      </c>
      <c r="GZ24">
        <v>19.5</v>
      </c>
      <c r="HA24">
        <v>100.505</v>
      </c>
      <c r="HB24">
        <v>70.675899999999999</v>
      </c>
    </row>
    <row r="25" spans="1:210" x14ac:dyDescent="0.3">
      <c r="A25">
        <v>9</v>
      </c>
      <c r="B25">
        <v>1750071032.0999999</v>
      </c>
      <c r="C25">
        <v>1444.099999904633</v>
      </c>
      <c r="D25" t="s">
        <v>360</v>
      </c>
      <c r="E25" t="s">
        <v>361</v>
      </c>
      <c r="F25">
        <v>15</v>
      </c>
      <c r="G25">
        <v>1750071024.349999</v>
      </c>
      <c r="H25">
        <f t="shared" si="0"/>
        <v>2.2644082513140064E-3</v>
      </c>
      <c r="I25">
        <f t="shared" si="1"/>
        <v>2.2644082513140065</v>
      </c>
      <c r="J25">
        <f t="shared" si="2"/>
        <v>24.619962671262513</v>
      </c>
      <c r="K25">
        <f t="shared" si="3"/>
        <v>541.84426666666661</v>
      </c>
      <c r="L25">
        <f t="shared" si="4"/>
        <v>375.44474003934295</v>
      </c>
      <c r="M25">
        <f t="shared" si="5"/>
        <v>38.564523225933939</v>
      </c>
      <c r="N25">
        <f t="shared" si="6"/>
        <v>55.65656827291312</v>
      </c>
      <c r="O25">
        <f t="shared" si="7"/>
        <v>0.26692059952202701</v>
      </c>
      <c r="P25">
        <f t="shared" si="8"/>
        <v>2.4357025120393669</v>
      </c>
      <c r="Q25">
        <f t="shared" si="9"/>
        <v>0.24363887660677455</v>
      </c>
      <c r="R25">
        <f t="shared" si="10"/>
        <v>0.15419828162456817</v>
      </c>
      <c r="S25">
        <f t="shared" si="11"/>
        <v>177.64193766666665</v>
      </c>
      <c r="T25">
        <f t="shared" si="12"/>
        <v>27.488491000499533</v>
      </c>
      <c r="U25">
        <f t="shared" si="13"/>
        <v>26.3216</v>
      </c>
      <c r="V25">
        <f t="shared" si="14"/>
        <v>3.4390071567581235</v>
      </c>
      <c r="W25">
        <f t="shared" si="15"/>
        <v>70.41388393877412</v>
      </c>
      <c r="X25">
        <f t="shared" si="16"/>
        <v>2.5119988481595725</v>
      </c>
      <c r="Y25">
        <f t="shared" si="17"/>
        <v>3.5674766220022627</v>
      </c>
      <c r="Z25">
        <f t="shared" si="18"/>
        <v>0.92700830859855099</v>
      </c>
      <c r="AA25">
        <f t="shared" si="19"/>
        <v>-99.860403882947679</v>
      </c>
      <c r="AB25">
        <f t="shared" si="20"/>
        <v>81.774665133091602</v>
      </c>
      <c r="AC25">
        <f t="shared" si="21"/>
        <v>7.2189662537604899</v>
      </c>
      <c r="AD25">
        <f t="shared" si="22"/>
        <v>166.77516517057109</v>
      </c>
      <c r="AE25">
        <f t="shared" si="23"/>
        <v>24.619962671262513</v>
      </c>
      <c r="AF25">
        <f t="shared" si="24"/>
        <v>2.2644082513140065</v>
      </c>
      <c r="AG25">
        <f t="shared" si="25"/>
        <v>24.588807466869554</v>
      </c>
      <c r="AH25">
        <v>611.89987581920343</v>
      </c>
      <c r="AI25">
        <v>555.47325454545421</v>
      </c>
      <c r="AJ25">
        <v>5.6123948834814485E-4</v>
      </c>
      <c r="AK25">
        <v>83.942381885923893</v>
      </c>
      <c r="AL25">
        <f t="shared" si="26"/>
        <v>2.2540968842414086</v>
      </c>
      <c r="AM25">
        <v>19.485348852823019</v>
      </c>
      <c r="AN25">
        <v>24.433078938452859</v>
      </c>
      <c r="AO25">
        <v>-1.5926011149843991E-5</v>
      </c>
      <c r="AP25">
        <v>90.565554332150427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54261.35255411487</v>
      </c>
      <c r="AV25">
        <f t="shared" si="30"/>
        <v>934.95756666666659</v>
      </c>
      <c r="AW25">
        <f t="shared" si="31"/>
        <v>747.96605333333332</v>
      </c>
      <c r="AX25">
        <f t="shared" si="32"/>
        <v>0.8</v>
      </c>
      <c r="AY25">
        <f t="shared" si="33"/>
        <v>0.19</v>
      </c>
      <c r="AZ25">
        <v>9</v>
      </c>
      <c r="BA25">
        <v>14.19</v>
      </c>
      <c r="BB25" t="s">
        <v>338</v>
      </c>
      <c r="BC25">
        <v>2</v>
      </c>
      <c r="BD25" t="b">
        <v>0</v>
      </c>
      <c r="BE25">
        <v>1750071024.349999</v>
      </c>
      <c r="BF25">
        <v>541.84426666666661</v>
      </c>
      <c r="BG25">
        <v>599.99726666666675</v>
      </c>
      <c r="BH25">
        <v>24.455553333333331</v>
      </c>
      <c r="BI25">
        <v>19.485453333333329</v>
      </c>
      <c r="BJ25">
        <v>538.36246666666671</v>
      </c>
      <c r="BK25">
        <v>24.27022666666667</v>
      </c>
      <c r="BL25">
        <v>400.01766666666668</v>
      </c>
      <c r="BM25">
        <v>102.6169</v>
      </c>
      <c r="BN25">
        <v>0.1000090766666667</v>
      </c>
      <c r="BO25">
        <v>26.944343333333329</v>
      </c>
      <c r="BP25">
        <v>26.3216</v>
      </c>
      <c r="BQ25">
        <v>999.9000000000002</v>
      </c>
      <c r="BR25">
        <v>0</v>
      </c>
      <c r="BS25">
        <v>0</v>
      </c>
      <c r="BT25">
        <v>9998.15</v>
      </c>
      <c r="BU25">
        <v>934.95756666666659</v>
      </c>
      <c r="BV25">
        <v>18.01639999999999</v>
      </c>
      <c r="BW25">
        <v>-58.15302333333333</v>
      </c>
      <c r="BX25">
        <v>555.42756666666673</v>
      </c>
      <c r="BY25">
        <v>611.92089999999985</v>
      </c>
      <c r="BZ25">
        <v>4.9701079999999997</v>
      </c>
      <c r="CA25">
        <v>599.99726666666675</v>
      </c>
      <c r="CB25">
        <v>19.485453333333329</v>
      </c>
      <c r="CC25">
        <v>2.5095519999999998</v>
      </c>
      <c r="CD25">
        <v>1.9995346666666669</v>
      </c>
      <c r="CE25">
        <v>21.088593333333328</v>
      </c>
      <c r="CF25">
        <v>17.440656666666669</v>
      </c>
      <c r="CG25">
        <v>1750060166.5999999</v>
      </c>
      <c r="CH25" t="s">
        <v>339</v>
      </c>
      <c r="CI25">
        <v>1750060157.0999999</v>
      </c>
      <c r="CJ25">
        <v>1750060166.5999999</v>
      </c>
      <c r="CK25">
        <v>4</v>
      </c>
      <c r="CL25">
        <v>-0.13200000000000001</v>
      </c>
      <c r="CM25">
        <v>-8.9999999999999993E-3</v>
      </c>
      <c r="CN25">
        <v>2.6520000000000001</v>
      </c>
      <c r="CO25">
        <v>0.185</v>
      </c>
      <c r="CP25">
        <v>450</v>
      </c>
      <c r="CQ25">
        <v>19</v>
      </c>
      <c r="CR25">
        <v>0.35</v>
      </c>
      <c r="CS25">
        <v>0.02</v>
      </c>
      <c r="CT25">
        <v>-58.170478048780488</v>
      </c>
      <c r="CU25">
        <v>0.37607665505230731</v>
      </c>
      <c r="CV25">
        <v>5.0944285742870229E-2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4.978921707317074</v>
      </c>
      <c r="DC25">
        <v>-0.18852878048780569</v>
      </c>
      <c r="DD25">
        <v>1.860413485412413E-2</v>
      </c>
      <c r="DE25">
        <v>0</v>
      </c>
      <c r="DF25">
        <v>1</v>
      </c>
      <c r="DG25">
        <v>2</v>
      </c>
      <c r="DH25" t="s">
        <v>346</v>
      </c>
      <c r="DI25">
        <v>3.0245099999999998</v>
      </c>
      <c r="DJ25">
        <v>2.6911900000000002</v>
      </c>
      <c r="DK25">
        <v>0.117659</v>
      </c>
      <c r="DL25">
        <v>0.127662</v>
      </c>
      <c r="DM25">
        <v>0.12284399999999999</v>
      </c>
      <c r="DN25">
        <v>0.105725</v>
      </c>
      <c r="DO25">
        <v>24597.7</v>
      </c>
      <c r="DP25">
        <v>16412.7</v>
      </c>
      <c r="DQ25">
        <v>26450.5</v>
      </c>
      <c r="DR25">
        <v>17099.8</v>
      </c>
      <c r="DS25">
        <v>32994.1</v>
      </c>
      <c r="DT25">
        <v>19946.099999999999</v>
      </c>
      <c r="DU25">
        <v>38530.800000000003</v>
      </c>
      <c r="DV25">
        <v>22629.1</v>
      </c>
      <c r="DW25">
        <v>1.80674</v>
      </c>
      <c r="DX25">
        <v>2.20004</v>
      </c>
      <c r="DY25">
        <v>7.0735800000000001E-2</v>
      </c>
      <c r="DZ25">
        <v>0</v>
      </c>
      <c r="EA25">
        <v>25.163</v>
      </c>
      <c r="EB25">
        <v>999.9</v>
      </c>
      <c r="EC25">
        <v>52.4</v>
      </c>
      <c r="ED25">
        <v>32.5</v>
      </c>
      <c r="EE25">
        <v>25.078600000000002</v>
      </c>
      <c r="EF25">
        <v>62.810600000000001</v>
      </c>
      <c r="EG25">
        <v>34.8598</v>
      </c>
      <c r="EH25">
        <v>1</v>
      </c>
      <c r="EI25">
        <v>3.4782500000000001E-2</v>
      </c>
      <c r="EJ25">
        <v>2.05142E-2</v>
      </c>
      <c r="EK25">
        <v>20.327300000000001</v>
      </c>
      <c r="EL25">
        <v>5.2507099999999998</v>
      </c>
      <c r="EM25">
        <v>11.962</v>
      </c>
      <c r="EN25">
        <v>4.9897600000000004</v>
      </c>
      <c r="EO25">
        <v>3.2913999999999999</v>
      </c>
      <c r="EP25">
        <v>9999</v>
      </c>
      <c r="EQ25">
        <v>9999</v>
      </c>
      <c r="ER25">
        <v>9999</v>
      </c>
      <c r="ES25">
        <v>999.9</v>
      </c>
      <c r="ET25">
        <v>4.9727199999999998</v>
      </c>
      <c r="EU25">
        <v>1.87195</v>
      </c>
      <c r="EV25">
        <v>1.8722300000000001</v>
      </c>
      <c r="EW25">
        <v>1.87723</v>
      </c>
      <c r="EX25">
        <v>1.8713500000000001</v>
      </c>
      <c r="EY25">
        <v>1.87212</v>
      </c>
      <c r="EZ25">
        <v>1.8717999999999999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341</v>
      </c>
      <c r="FG25" t="s">
        <v>342</v>
      </c>
      <c r="FH25" t="s">
        <v>343</v>
      </c>
      <c r="FI25" t="s">
        <v>343</v>
      </c>
      <c r="FJ25" t="s">
        <v>343</v>
      </c>
      <c r="FK25" t="s">
        <v>343</v>
      </c>
      <c r="FL25">
        <v>0</v>
      </c>
      <c r="FM25">
        <v>100</v>
      </c>
      <c r="FN25">
        <v>100</v>
      </c>
      <c r="FO25">
        <v>3.4820000000000002</v>
      </c>
      <c r="FP25">
        <v>0.18540000000000001</v>
      </c>
      <c r="FQ25">
        <v>-1.0803177837955851</v>
      </c>
      <c r="FR25">
        <v>7.6898218637449396E-3</v>
      </c>
      <c r="FS25">
        <v>1.5097418776848419E-6</v>
      </c>
      <c r="FT25">
        <v>-9.8458676114205118E-11</v>
      </c>
      <c r="FU25">
        <v>0.18532499999999891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181.2</v>
      </c>
      <c r="GD25">
        <v>181.1</v>
      </c>
      <c r="GE25">
        <v>1.3928199999999999</v>
      </c>
      <c r="GF25">
        <v>2.6293899999999999</v>
      </c>
      <c r="GG25">
        <v>1.7981</v>
      </c>
      <c r="GH25">
        <v>2.3718300000000001</v>
      </c>
      <c r="GI25">
        <v>1.5979000000000001</v>
      </c>
      <c r="GJ25">
        <v>2.5537100000000001</v>
      </c>
      <c r="GK25">
        <v>36.034700000000001</v>
      </c>
      <c r="GL25">
        <v>24.157499999999999</v>
      </c>
      <c r="GM25">
        <v>18</v>
      </c>
      <c r="GN25">
        <v>368.61900000000003</v>
      </c>
      <c r="GO25">
        <v>679.55</v>
      </c>
      <c r="GP25">
        <v>25.829899999999999</v>
      </c>
      <c r="GQ25">
        <v>27.538599999999999</v>
      </c>
      <c r="GR25">
        <v>30.0001</v>
      </c>
      <c r="GS25">
        <v>27.470700000000001</v>
      </c>
      <c r="GT25">
        <v>27.4908</v>
      </c>
      <c r="GU25">
        <v>27.8459</v>
      </c>
      <c r="GV25">
        <v>28.188600000000001</v>
      </c>
      <c r="GW25">
        <v>0</v>
      </c>
      <c r="GX25">
        <v>25.83</v>
      </c>
      <c r="GY25">
        <v>600</v>
      </c>
      <c r="GZ25">
        <v>19.5</v>
      </c>
      <c r="HA25">
        <v>100.508</v>
      </c>
      <c r="HB25">
        <v>70.675399999999996</v>
      </c>
    </row>
    <row r="26" spans="1:210" x14ac:dyDescent="0.3">
      <c r="A26">
        <v>10</v>
      </c>
      <c r="B26">
        <v>1750071212.5999999</v>
      </c>
      <c r="C26">
        <v>1624.599999904633</v>
      </c>
      <c r="D26" t="s">
        <v>362</v>
      </c>
      <c r="E26" t="s">
        <v>363</v>
      </c>
      <c r="F26">
        <v>15</v>
      </c>
      <c r="G26">
        <v>1750071204.849999</v>
      </c>
      <c r="H26">
        <f t="shared" si="0"/>
        <v>1.9468304540319185E-3</v>
      </c>
      <c r="I26">
        <f t="shared" si="1"/>
        <v>1.9468304540319186</v>
      </c>
      <c r="J26">
        <f t="shared" si="2"/>
        <v>27.375915036647701</v>
      </c>
      <c r="K26">
        <f t="shared" si="3"/>
        <v>834.75353333333339</v>
      </c>
      <c r="L26">
        <f t="shared" si="4"/>
        <v>599.21053489015071</v>
      </c>
      <c r="M26">
        <f t="shared" si="5"/>
        <v>61.544857279348157</v>
      </c>
      <c r="N26">
        <f t="shared" si="6"/>
        <v>85.737456338029503</v>
      </c>
      <c r="O26">
        <f t="shared" si="7"/>
        <v>0.20791886305040724</v>
      </c>
      <c r="P26">
        <f t="shared" si="8"/>
        <v>2.4361986428851186</v>
      </c>
      <c r="Q26">
        <f t="shared" si="9"/>
        <v>0.19350036635663806</v>
      </c>
      <c r="R26">
        <f t="shared" si="10"/>
        <v>0.12215076519283787</v>
      </c>
      <c r="S26">
        <f t="shared" si="11"/>
        <v>177.62383066666666</v>
      </c>
      <c r="T26">
        <f t="shared" si="12"/>
        <v>27.594304756637339</v>
      </c>
      <c r="U26">
        <f t="shared" si="13"/>
        <v>26.35416</v>
      </c>
      <c r="V26">
        <f t="shared" si="14"/>
        <v>3.4456226464199124</v>
      </c>
      <c r="W26">
        <f t="shared" si="15"/>
        <v>68.415398758451929</v>
      </c>
      <c r="X26">
        <f t="shared" si="16"/>
        <v>2.4418632907124267</v>
      </c>
      <c r="Y26">
        <f t="shared" si="17"/>
        <v>3.5691720504819289</v>
      </c>
      <c r="Z26">
        <f t="shared" si="18"/>
        <v>1.0037593557074858</v>
      </c>
      <c r="AA26">
        <f t="shared" si="19"/>
        <v>-85.855223022807607</v>
      </c>
      <c r="AB26">
        <f t="shared" si="20"/>
        <v>78.576985950795105</v>
      </c>
      <c r="AC26">
        <f t="shared" si="21"/>
        <v>6.9366771617861689</v>
      </c>
      <c r="AD26">
        <f t="shared" si="22"/>
        <v>177.28227075644034</v>
      </c>
      <c r="AE26">
        <f t="shared" si="23"/>
        <v>27.375915036647701</v>
      </c>
      <c r="AF26">
        <f t="shared" si="24"/>
        <v>1.9468304540319186</v>
      </c>
      <c r="AG26">
        <f t="shared" si="25"/>
        <v>27.369399377689845</v>
      </c>
      <c r="AH26">
        <v>917.92933435247846</v>
      </c>
      <c r="AI26">
        <v>855.12737575757626</v>
      </c>
      <c r="AJ26">
        <v>-6.5655863471650246E-4</v>
      </c>
      <c r="AK26">
        <v>83.942381885923893</v>
      </c>
      <c r="AL26">
        <f t="shared" si="26"/>
        <v>1.9302833196516576</v>
      </c>
      <c r="AM26">
        <v>19.499017566600759</v>
      </c>
      <c r="AN26">
        <v>23.745935177865611</v>
      </c>
      <c r="AO26">
        <v>-7.285984140525608E-4</v>
      </c>
      <c r="AP26">
        <v>90.565554332150427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54276.435460727596</v>
      </c>
      <c r="AV26">
        <f t="shared" si="30"/>
        <v>934.86226666666664</v>
      </c>
      <c r="AW26">
        <f t="shared" si="31"/>
        <v>747.88981333333334</v>
      </c>
      <c r="AX26">
        <f t="shared" si="32"/>
        <v>0.8</v>
      </c>
      <c r="AY26">
        <f t="shared" si="33"/>
        <v>0.19</v>
      </c>
      <c r="AZ26">
        <v>9</v>
      </c>
      <c r="BA26">
        <v>14.19</v>
      </c>
      <c r="BB26" t="s">
        <v>338</v>
      </c>
      <c r="BC26">
        <v>2</v>
      </c>
      <c r="BD26" t="b">
        <v>0</v>
      </c>
      <c r="BE26">
        <v>1750071204.849999</v>
      </c>
      <c r="BF26">
        <v>834.75353333333339</v>
      </c>
      <c r="BG26">
        <v>900.00783333333322</v>
      </c>
      <c r="BH26">
        <v>23.774370000000001</v>
      </c>
      <c r="BI26">
        <v>19.498013333333329</v>
      </c>
      <c r="BJ26">
        <v>828.48270000000014</v>
      </c>
      <c r="BK26">
        <v>23.589043333333329</v>
      </c>
      <c r="BL26">
        <v>399.98796666666658</v>
      </c>
      <c r="BM26">
        <v>102.60996666666669</v>
      </c>
      <c r="BN26">
        <v>9.9938609999999997E-2</v>
      </c>
      <c r="BO26">
        <v>26.952429999999989</v>
      </c>
      <c r="BP26">
        <v>26.35416</v>
      </c>
      <c r="BQ26">
        <v>999.9000000000002</v>
      </c>
      <c r="BR26">
        <v>0</v>
      </c>
      <c r="BS26">
        <v>0</v>
      </c>
      <c r="BT26">
        <v>10002.033333333329</v>
      </c>
      <c r="BU26">
        <v>934.86226666666664</v>
      </c>
      <c r="BV26">
        <v>18.01639999999999</v>
      </c>
      <c r="BW26">
        <v>-65.254226666666654</v>
      </c>
      <c r="BX26">
        <v>855.08263333333343</v>
      </c>
      <c r="BY26">
        <v>917.90513333333342</v>
      </c>
      <c r="BZ26">
        <v>4.2763563333333332</v>
      </c>
      <c r="CA26">
        <v>900.00783333333322</v>
      </c>
      <c r="CB26">
        <v>19.498013333333329</v>
      </c>
      <c r="CC26">
        <v>2.4394856666666671</v>
      </c>
      <c r="CD26">
        <v>2.0006893333333329</v>
      </c>
      <c r="CE26">
        <v>20.62829</v>
      </c>
      <c r="CF26">
        <v>17.449780000000001</v>
      </c>
      <c r="CG26">
        <v>1750060166.5999999</v>
      </c>
      <c r="CH26" t="s">
        <v>339</v>
      </c>
      <c r="CI26">
        <v>1750060157.0999999</v>
      </c>
      <c r="CJ26">
        <v>1750060166.5999999</v>
      </c>
      <c r="CK26">
        <v>4</v>
      </c>
      <c r="CL26">
        <v>-0.13200000000000001</v>
      </c>
      <c r="CM26">
        <v>-8.9999999999999993E-3</v>
      </c>
      <c r="CN26">
        <v>2.6520000000000001</v>
      </c>
      <c r="CO26">
        <v>0.185</v>
      </c>
      <c r="CP26">
        <v>450</v>
      </c>
      <c r="CQ26">
        <v>19</v>
      </c>
      <c r="CR26">
        <v>0.35</v>
      </c>
      <c r="CS26">
        <v>0.02</v>
      </c>
      <c r="CT26">
        <v>-65.297899999999998</v>
      </c>
      <c r="CU26">
        <v>0.88925403377123613</v>
      </c>
      <c r="CV26">
        <v>9.2805950779030741E-2</v>
      </c>
      <c r="CW26">
        <v>0</v>
      </c>
      <c r="CX26">
        <v>0</v>
      </c>
      <c r="CY26">
        <v>0</v>
      </c>
      <c r="CZ26">
        <v>0</v>
      </c>
      <c r="DA26">
        <v>-1</v>
      </c>
      <c r="DB26">
        <v>4.2862530000000003</v>
      </c>
      <c r="DC26">
        <v>-0.23035272045028179</v>
      </c>
      <c r="DD26">
        <v>2.2212694816253171E-2</v>
      </c>
      <c r="DE26">
        <v>0</v>
      </c>
      <c r="DF26">
        <v>0</v>
      </c>
      <c r="DG26">
        <v>2</v>
      </c>
      <c r="DH26" t="s">
        <v>355</v>
      </c>
      <c r="DI26">
        <v>3.0240999999999998</v>
      </c>
      <c r="DJ26">
        <v>2.6912500000000001</v>
      </c>
      <c r="DK26">
        <v>0.157857</v>
      </c>
      <c r="DL26">
        <v>0.167541</v>
      </c>
      <c r="DM26">
        <v>0.12039900000000001</v>
      </c>
      <c r="DN26">
        <v>0.105766</v>
      </c>
      <c r="DO26">
        <v>23476.6</v>
      </c>
      <c r="DP26">
        <v>15662.4</v>
      </c>
      <c r="DQ26">
        <v>26449.9</v>
      </c>
      <c r="DR26">
        <v>17099.7</v>
      </c>
      <c r="DS26">
        <v>33088.199999999997</v>
      </c>
      <c r="DT26">
        <v>19945.7</v>
      </c>
      <c r="DU26">
        <v>38529.5</v>
      </c>
      <c r="DV26">
        <v>22629.1</v>
      </c>
      <c r="DW26">
        <v>1.8059000000000001</v>
      </c>
      <c r="DX26">
        <v>2.2011799999999999</v>
      </c>
      <c r="DY26">
        <v>7.3730900000000002E-2</v>
      </c>
      <c r="DZ26">
        <v>0</v>
      </c>
      <c r="EA26">
        <v>25.139700000000001</v>
      </c>
      <c r="EB26">
        <v>999.9</v>
      </c>
      <c r="EC26">
        <v>52.4</v>
      </c>
      <c r="ED26">
        <v>32.6</v>
      </c>
      <c r="EE26">
        <v>25.223700000000001</v>
      </c>
      <c r="EF26">
        <v>62.990600000000001</v>
      </c>
      <c r="EG26">
        <v>35.080100000000002</v>
      </c>
      <c r="EH26">
        <v>1</v>
      </c>
      <c r="EI26">
        <v>3.4264200000000002E-2</v>
      </c>
      <c r="EJ26">
        <v>1.7952099999999999E-2</v>
      </c>
      <c r="EK26">
        <v>20.327100000000002</v>
      </c>
      <c r="EL26">
        <v>5.2515499999999999</v>
      </c>
      <c r="EM26">
        <v>11.962</v>
      </c>
      <c r="EN26">
        <v>4.98996</v>
      </c>
      <c r="EO26">
        <v>3.29128</v>
      </c>
      <c r="EP26">
        <v>9999</v>
      </c>
      <c r="EQ26">
        <v>9999</v>
      </c>
      <c r="ER26">
        <v>9999</v>
      </c>
      <c r="ES26">
        <v>999.9</v>
      </c>
      <c r="ET26">
        <v>4.9727100000000002</v>
      </c>
      <c r="EU26">
        <v>1.87195</v>
      </c>
      <c r="EV26">
        <v>1.8722099999999999</v>
      </c>
      <c r="EW26">
        <v>1.8772599999999999</v>
      </c>
      <c r="EX26">
        <v>1.8713500000000001</v>
      </c>
      <c r="EY26">
        <v>1.87212</v>
      </c>
      <c r="EZ26">
        <v>1.8717999999999999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341</v>
      </c>
      <c r="FG26" t="s">
        <v>342</v>
      </c>
      <c r="FH26" t="s">
        <v>343</v>
      </c>
      <c r="FI26" t="s">
        <v>343</v>
      </c>
      <c r="FJ26" t="s">
        <v>343</v>
      </c>
      <c r="FK26" t="s">
        <v>343</v>
      </c>
      <c r="FL26">
        <v>0</v>
      </c>
      <c r="FM26">
        <v>100</v>
      </c>
      <c r="FN26">
        <v>100</v>
      </c>
      <c r="FO26">
        <v>6.2720000000000002</v>
      </c>
      <c r="FP26">
        <v>0.18529999999999999</v>
      </c>
      <c r="FQ26">
        <v>-1.0803177837955851</v>
      </c>
      <c r="FR26">
        <v>7.6898218637449396E-3</v>
      </c>
      <c r="FS26">
        <v>1.5097418776848419E-6</v>
      </c>
      <c r="FT26">
        <v>-9.8458676114205118E-11</v>
      </c>
      <c r="FU26">
        <v>0.18532499999999891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184.3</v>
      </c>
      <c r="GD26">
        <v>184.1</v>
      </c>
      <c r="GE26">
        <v>1.93848</v>
      </c>
      <c r="GF26">
        <v>2.6232899999999999</v>
      </c>
      <c r="GG26">
        <v>1.79932</v>
      </c>
      <c r="GH26">
        <v>2.3718300000000001</v>
      </c>
      <c r="GI26">
        <v>1.5979000000000001</v>
      </c>
      <c r="GJ26">
        <v>2.52319</v>
      </c>
      <c r="GK26">
        <v>36.058199999999999</v>
      </c>
      <c r="GL26">
        <v>24.157499999999999</v>
      </c>
      <c r="GM26">
        <v>18</v>
      </c>
      <c r="GN26">
        <v>368.14</v>
      </c>
      <c r="GO26">
        <v>680.46199999999999</v>
      </c>
      <c r="GP26">
        <v>25.83</v>
      </c>
      <c r="GQ26">
        <v>27.531099999999999</v>
      </c>
      <c r="GR26">
        <v>30</v>
      </c>
      <c r="GS26">
        <v>27.463799999999999</v>
      </c>
      <c r="GT26">
        <v>27.483799999999999</v>
      </c>
      <c r="GU26">
        <v>38.745699999999999</v>
      </c>
      <c r="GV26">
        <v>28.188600000000001</v>
      </c>
      <c r="GW26">
        <v>0</v>
      </c>
      <c r="GX26">
        <v>25.83</v>
      </c>
      <c r="GY26">
        <v>900</v>
      </c>
      <c r="GZ26">
        <v>19.5</v>
      </c>
      <c r="HA26">
        <v>100.505</v>
      </c>
      <c r="HB26">
        <v>70.6751</v>
      </c>
    </row>
    <row r="27" spans="1:210" x14ac:dyDescent="0.3">
      <c r="A27">
        <v>11</v>
      </c>
      <c r="B27">
        <v>1750071393.0999999</v>
      </c>
      <c r="C27">
        <v>1805.099999904633</v>
      </c>
      <c r="D27" t="s">
        <v>364</v>
      </c>
      <c r="E27" t="s">
        <v>365</v>
      </c>
      <c r="F27">
        <v>15</v>
      </c>
      <c r="G27">
        <v>1750071385.349999</v>
      </c>
      <c r="H27">
        <f t="shared" si="0"/>
        <v>1.6942775868814583E-3</v>
      </c>
      <c r="I27">
        <f t="shared" si="1"/>
        <v>1.6942775868814584</v>
      </c>
      <c r="J27">
        <f t="shared" si="2"/>
        <v>27.553635426154479</v>
      </c>
      <c r="K27">
        <f t="shared" si="3"/>
        <v>1133.703</v>
      </c>
      <c r="L27">
        <f t="shared" si="4"/>
        <v>841.01189308914297</v>
      </c>
      <c r="M27">
        <f t="shared" si="5"/>
        <v>86.38248165056811</v>
      </c>
      <c r="N27">
        <f t="shared" si="6"/>
        <v>116.4455335286367</v>
      </c>
      <c r="O27">
        <f t="shared" si="7"/>
        <v>0.16801359299512994</v>
      </c>
      <c r="P27">
        <f t="shared" si="8"/>
        <v>2.4367553865674361</v>
      </c>
      <c r="Q27">
        <f t="shared" si="9"/>
        <v>0.1584659454953202</v>
      </c>
      <c r="R27">
        <f t="shared" si="10"/>
        <v>9.9854393686709383E-2</v>
      </c>
      <c r="S27">
        <f t="shared" si="11"/>
        <v>177.61067633333334</v>
      </c>
      <c r="T27">
        <f t="shared" si="12"/>
        <v>27.692528032949713</v>
      </c>
      <c r="U27">
        <f t="shared" si="13"/>
        <v>26.394179999999999</v>
      </c>
      <c r="V27">
        <f t="shared" si="14"/>
        <v>3.4537690686069271</v>
      </c>
      <c r="W27">
        <f t="shared" si="15"/>
        <v>66.792296782643774</v>
      </c>
      <c r="X27">
        <f t="shared" si="16"/>
        <v>2.3868155590932072</v>
      </c>
      <c r="Y27">
        <f t="shared" si="17"/>
        <v>3.5734892705672459</v>
      </c>
      <c r="Z27">
        <f t="shared" si="18"/>
        <v>1.0669535095137199</v>
      </c>
      <c r="AA27">
        <f t="shared" si="19"/>
        <v>-74.717641581472307</v>
      </c>
      <c r="AB27">
        <f t="shared" si="20"/>
        <v>76.040665494185603</v>
      </c>
      <c r="AC27">
        <f t="shared" si="21"/>
        <v>6.713275798385661</v>
      </c>
      <c r="AD27">
        <f t="shared" si="22"/>
        <v>185.64697604443231</v>
      </c>
      <c r="AE27">
        <f t="shared" si="23"/>
        <v>27.553635426154479</v>
      </c>
      <c r="AF27">
        <f t="shared" si="24"/>
        <v>1.6942775868814584</v>
      </c>
      <c r="AG27">
        <f t="shared" si="25"/>
        <v>27.53153340997476</v>
      </c>
      <c r="AH27">
        <v>1223.874643498518</v>
      </c>
      <c r="AI27">
        <v>1160.698303030302</v>
      </c>
      <c r="AJ27">
        <v>6.815642393796956E-4</v>
      </c>
      <c r="AK27">
        <v>83.942381885923893</v>
      </c>
      <c r="AL27">
        <f t="shared" si="26"/>
        <v>1.6853253050523616</v>
      </c>
      <c r="AM27">
        <v>19.5153343489281</v>
      </c>
      <c r="AN27">
        <v>23.218984867306631</v>
      </c>
      <c r="AO27">
        <v>-2.2313074768367751E-5</v>
      </c>
      <c r="AP27">
        <v>90.565554332150427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54291.503318782678</v>
      </c>
      <c r="AV27">
        <f t="shared" si="30"/>
        <v>934.79303333333337</v>
      </c>
      <c r="AW27">
        <f t="shared" si="31"/>
        <v>747.83442666666679</v>
      </c>
      <c r="AX27">
        <f t="shared" si="32"/>
        <v>0.8</v>
      </c>
      <c r="AY27">
        <f t="shared" si="33"/>
        <v>0.19</v>
      </c>
      <c r="AZ27">
        <v>9</v>
      </c>
      <c r="BA27">
        <v>14.19</v>
      </c>
      <c r="BB27" t="s">
        <v>338</v>
      </c>
      <c r="BC27">
        <v>2</v>
      </c>
      <c r="BD27" t="b">
        <v>0</v>
      </c>
      <c r="BE27">
        <v>1750071385.349999</v>
      </c>
      <c r="BF27">
        <v>1133.703</v>
      </c>
      <c r="BG27">
        <v>1200.011666666667</v>
      </c>
      <c r="BH27">
        <v>23.237816666666671</v>
      </c>
      <c r="BI27">
        <v>19.514773333333331</v>
      </c>
      <c r="BJ27">
        <v>1124.3673333333329</v>
      </c>
      <c r="BK27">
        <v>23.052493333333331</v>
      </c>
      <c r="BL27">
        <v>400.05326666666667</v>
      </c>
      <c r="BM27">
        <v>102.6125333333333</v>
      </c>
      <c r="BN27">
        <v>0.1000232433333333</v>
      </c>
      <c r="BO27">
        <v>26.97300666666667</v>
      </c>
      <c r="BP27">
        <v>26.394179999999999</v>
      </c>
      <c r="BQ27">
        <v>999.9000000000002</v>
      </c>
      <c r="BR27">
        <v>0</v>
      </c>
      <c r="BS27">
        <v>0</v>
      </c>
      <c r="BT27">
        <v>10005.38333333333</v>
      </c>
      <c r="BU27">
        <v>934.79303333333337</v>
      </c>
      <c r="BV27">
        <v>18.01639999999999</v>
      </c>
      <c r="BW27">
        <v>-66.309849999999997</v>
      </c>
      <c r="BX27">
        <v>1160.674666666667</v>
      </c>
      <c r="BY27">
        <v>1223.896666666667</v>
      </c>
      <c r="BZ27">
        <v>3.7230456666666658</v>
      </c>
      <c r="CA27">
        <v>1200.011666666667</v>
      </c>
      <c r="CB27">
        <v>19.514773333333331</v>
      </c>
      <c r="CC27">
        <v>2.3844923333333341</v>
      </c>
      <c r="CD27">
        <v>2.0024609999999998</v>
      </c>
      <c r="CE27">
        <v>20.258849999999999</v>
      </c>
      <c r="CF27">
        <v>17.463803333333331</v>
      </c>
      <c r="CG27">
        <v>1750060166.5999999</v>
      </c>
      <c r="CH27" t="s">
        <v>339</v>
      </c>
      <c r="CI27">
        <v>1750060157.0999999</v>
      </c>
      <c r="CJ27">
        <v>1750060166.5999999</v>
      </c>
      <c r="CK27">
        <v>4</v>
      </c>
      <c r="CL27">
        <v>-0.13200000000000001</v>
      </c>
      <c r="CM27">
        <v>-8.9999999999999993E-3</v>
      </c>
      <c r="CN27">
        <v>2.6520000000000001</v>
      </c>
      <c r="CO27">
        <v>0.185</v>
      </c>
      <c r="CP27">
        <v>450</v>
      </c>
      <c r="CQ27">
        <v>19</v>
      </c>
      <c r="CR27">
        <v>0.35</v>
      </c>
      <c r="CS27">
        <v>0.02</v>
      </c>
      <c r="CT27">
        <v>-66.31982195121951</v>
      </c>
      <c r="CU27">
        <v>-1.917073170735702E-2</v>
      </c>
      <c r="CV27">
        <v>5.9920831966101741E-2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3.7319397560975611</v>
      </c>
      <c r="DC27">
        <v>-0.13807526132403761</v>
      </c>
      <c r="DD27">
        <v>1.365323610130848E-2</v>
      </c>
      <c r="DE27">
        <v>0</v>
      </c>
      <c r="DF27">
        <v>1</v>
      </c>
      <c r="DG27">
        <v>2</v>
      </c>
      <c r="DH27" t="s">
        <v>346</v>
      </c>
      <c r="DI27">
        <v>3.0244300000000002</v>
      </c>
      <c r="DJ27">
        <v>2.6913100000000001</v>
      </c>
      <c r="DK27">
        <v>0.19181300000000001</v>
      </c>
      <c r="DL27">
        <v>0.20093</v>
      </c>
      <c r="DM27">
        <v>0.11851</v>
      </c>
      <c r="DN27">
        <v>0.105835</v>
      </c>
      <c r="DO27">
        <v>22529.599999999999</v>
      </c>
      <c r="DP27">
        <v>15033.9</v>
      </c>
      <c r="DQ27">
        <v>26449.4</v>
      </c>
      <c r="DR27">
        <v>17099.3</v>
      </c>
      <c r="DS27">
        <v>33160.9</v>
      </c>
      <c r="DT27">
        <v>19944.2</v>
      </c>
      <c r="DU27">
        <v>38528.400000000001</v>
      </c>
      <c r="DV27">
        <v>22628.5</v>
      </c>
      <c r="DW27">
        <v>1.8058000000000001</v>
      </c>
      <c r="DX27">
        <v>2.2010000000000001</v>
      </c>
      <c r="DY27">
        <v>7.4028999999999998E-2</v>
      </c>
      <c r="DZ27">
        <v>0</v>
      </c>
      <c r="EA27">
        <v>25.186900000000001</v>
      </c>
      <c r="EB27">
        <v>999.9</v>
      </c>
      <c r="EC27">
        <v>52.3</v>
      </c>
      <c r="ED27">
        <v>32.6</v>
      </c>
      <c r="EE27">
        <v>25.174399999999999</v>
      </c>
      <c r="EF27">
        <v>62.920699999999997</v>
      </c>
      <c r="EG27">
        <v>34.791699999999999</v>
      </c>
      <c r="EH27">
        <v>1</v>
      </c>
      <c r="EI27">
        <v>3.4648400000000003E-2</v>
      </c>
      <c r="EJ27">
        <v>3.7450999999999998E-2</v>
      </c>
      <c r="EK27">
        <v>20.327400000000001</v>
      </c>
      <c r="EL27">
        <v>5.2485600000000003</v>
      </c>
      <c r="EM27">
        <v>11.962</v>
      </c>
      <c r="EN27">
        <v>4.9897200000000002</v>
      </c>
      <c r="EO27">
        <v>3.2913999999999999</v>
      </c>
      <c r="EP27">
        <v>9999</v>
      </c>
      <c r="EQ27">
        <v>9999</v>
      </c>
      <c r="ER27">
        <v>9999</v>
      </c>
      <c r="ES27">
        <v>999.9</v>
      </c>
      <c r="ET27">
        <v>4.9727199999999998</v>
      </c>
      <c r="EU27">
        <v>1.87195</v>
      </c>
      <c r="EV27">
        <v>1.8721699999999999</v>
      </c>
      <c r="EW27">
        <v>1.87727</v>
      </c>
      <c r="EX27">
        <v>1.8713500000000001</v>
      </c>
      <c r="EY27">
        <v>1.87212</v>
      </c>
      <c r="EZ27">
        <v>1.8717999999999999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341</v>
      </c>
      <c r="FG27" t="s">
        <v>342</v>
      </c>
      <c r="FH27" t="s">
        <v>343</v>
      </c>
      <c r="FI27" t="s">
        <v>343</v>
      </c>
      <c r="FJ27" t="s">
        <v>343</v>
      </c>
      <c r="FK27" t="s">
        <v>343</v>
      </c>
      <c r="FL27">
        <v>0</v>
      </c>
      <c r="FM27">
        <v>100</v>
      </c>
      <c r="FN27">
        <v>100</v>
      </c>
      <c r="FO27">
        <v>9.33</v>
      </c>
      <c r="FP27">
        <v>0.18529999999999999</v>
      </c>
      <c r="FQ27">
        <v>-1.0803177837955851</v>
      </c>
      <c r="FR27">
        <v>7.6898218637449396E-3</v>
      </c>
      <c r="FS27">
        <v>1.5097418776848419E-6</v>
      </c>
      <c r="FT27">
        <v>-9.8458676114205118E-11</v>
      </c>
      <c r="FU27">
        <v>0.18532499999999891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187.3</v>
      </c>
      <c r="GD27">
        <v>187.1</v>
      </c>
      <c r="GE27">
        <v>2.4536099999999998</v>
      </c>
      <c r="GF27">
        <v>2.6049799999999999</v>
      </c>
      <c r="GG27">
        <v>1.7981</v>
      </c>
      <c r="GH27">
        <v>2.3718300000000001</v>
      </c>
      <c r="GI27">
        <v>1.5979000000000001</v>
      </c>
      <c r="GJ27">
        <v>2.5903299999999998</v>
      </c>
      <c r="GK27">
        <v>36.081600000000002</v>
      </c>
      <c r="GL27">
        <v>24.1663</v>
      </c>
      <c r="GM27">
        <v>18</v>
      </c>
      <c r="GN27">
        <v>368.089</v>
      </c>
      <c r="GO27">
        <v>680.303</v>
      </c>
      <c r="GP27">
        <v>25.83</v>
      </c>
      <c r="GQ27">
        <v>27.533899999999999</v>
      </c>
      <c r="GR27">
        <v>30.0001</v>
      </c>
      <c r="GS27">
        <v>27.463799999999999</v>
      </c>
      <c r="GT27">
        <v>27.483799999999999</v>
      </c>
      <c r="GU27">
        <v>49.064100000000003</v>
      </c>
      <c r="GV27">
        <v>28.188600000000001</v>
      </c>
      <c r="GW27">
        <v>0</v>
      </c>
      <c r="GX27">
        <v>25.83</v>
      </c>
      <c r="GY27">
        <v>1200</v>
      </c>
      <c r="GZ27">
        <v>19.5</v>
      </c>
      <c r="HA27">
        <v>100.502</v>
      </c>
      <c r="HB27">
        <v>70.673400000000001</v>
      </c>
    </row>
    <row r="28" spans="1:210" x14ac:dyDescent="0.3">
      <c r="A28">
        <v>12</v>
      </c>
      <c r="B28">
        <v>1750071573.5999999</v>
      </c>
      <c r="C28">
        <v>1985.599999904633</v>
      </c>
      <c r="D28" t="s">
        <v>366</v>
      </c>
      <c r="E28" t="s">
        <v>367</v>
      </c>
      <c r="F28">
        <v>15</v>
      </c>
      <c r="G28">
        <v>1750071565.849999</v>
      </c>
      <c r="H28">
        <f t="shared" si="0"/>
        <v>1.5110599468230769E-3</v>
      </c>
      <c r="I28">
        <f t="shared" si="1"/>
        <v>1.511059946823077</v>
      </c>
      <c r="J28">
        <f t="shared" si="2"/>
        <v>26.994704339380171</v>
      </c>
      <c r="K28">
        <f t="shared" si="3"/>
        <v>1534.0440000000001</v>
      </c>
      <c r="L28">
        <f t="shared" si="4"/>
        <v>1193.1963338877779</v>
      </c>
      <c r="M28">
        <f t="shared" si="5"/>
        <v>122.55174989227788</v>
      </c>
      <c r="N28">
        <f t="shared" si="6"/>
        <v>157.55980074058056</v>
      </c>
      <c r="O28">
        <f t="shared" si="7"/>
        <v>0.14235913257143223</v>
      </c>
      <c r="P28">
        <f t="shared" si="8"/>
        <v>2.4363753698504058</v>
      </c>
      <c r="Q28">
        <f t="shared" si="9"/>
        <v>0.135439954918603</v>
      </c>
      <c r="R28">
        <f t="shared" si="10"/>
        <v>8.52439932704806E-2</v>
      </c>
      <c r="S28">
        <f t="shared" si="11"/>
        <v>177.60158799999996</v>
      </c>
      <c r="T28">
        <f t="shared" si="12"/>
        <v>27.77122697333872</v>
      </c>
      <c r="U28">
        <f t="shared" si="13"/>
        <v>26.435359999999999</v>
      </c>
      <c r="V28">
        <f t="shared" si="14"/>
        <v>3.4621691707281568</v>
      </c>
      <c r="W28">
        <f t="shared" si="15"/>
        <v>65.640034425650256</v>
      </c>
      <c r="X28">
        <f t="shared" si="16"/>
        <v>2.3486952751232959</v>
      </c>
      <c r="Y28">
        <f t="shared" si="17"/>
        <v>3.578144490133742</v>
      </c>
      <c r="Z28">
        <f t="shared" si="18"/>
        <v>1.1134738956048609</v>
      </c>
      <c r="AA28">
        <f t="shared" si="19"/>
        <v>-66.63774365489769</v>
      </c>
      <c r="AB28">
        <f t="shared" si="20"/>
        <v>73.530970130951872</v>
      </c>
      <c r="AC28">
        <f t="shared" si="21"/>
        <v>6.4947773972587513</v>
      </c>
      <c r="AD28">
        <f t="shared" si="22"/>
        <v>190.98959187331292</v>
      </c>
      <c r="AE28">
        <f t="shared" si="23"/>
        <v>26.994704339380171</v>
      </c>
      <c r="AF28">
        <f t="shared" si="24"/>
        <v>1.511059946823077</v>
      </c>
      <c r="AG28">
        <f t="shared" si="25"/>
        <v>27.187318037113588</v>
      </c>
      <c r="AH28">
        <v>1631.8360159682211</v>
      </c>
      <c r="AI28">
        <v>1569.747333333333</v>
      </c>
      <c r="AJ28">
        <v>-3.5497490064531678E-2</v>
      </c>
      <c r="AK28">
        <v>83.942381885923893</v>
      </c>
      <c r="AL28">
        <f t="shared" si="26"/>
        <v>1.5070187957112902</v>
      </c>
      <c r="AM28">
        <v>19.536812593935629</v>
      </c>
      <c r="AN28">
        <v>22.85044607566347</v>
      </c>
      <c r="AO28">
        <v>-1.1188074162963091E-5</v>
      </c>
      <c r="AP28">
        <v>90.565554332150427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54274.625462789016</v>
      </c>
      <c r="AV28">
        <f t="shared" si="30"/>
        <v>934.74519999999984</v>
      </c>
      <c r="AW28">
        <f t="shared" si="31"/>
        <v>747.79615999999987</v>
      </c>
      <c r="AX28">
        <f t="shared" si="32"/>
        <v>0.8</v>
      </c>
      <c r="AY28">
        <f t="shared" si="33"/>
        <v>0.19</v>
      </c>
      <c r="AZ28">
        <v>9</v>
      </c>
      <c r="BA28">
        <v>14.19</v>
      </c>
      <c r="BB28" t="s">
        <v>338</v>
      </c>
      <c r="BC28">
        <v>2</v>
      </c>
      <c r="BD28" t="b">
        <v>0</v>
      </c>
      <c r="BE28">
        <v>1750071565.849999</v>
      </c>
      <c r="BF28">
        <v>1534.0440000000001</v>
      </c>
      <c r="BG28">
        <v>1600.002</v>
      </c>
      <c r="BH28">
        <v>22.867519999999999</v>
      </c>
      <c r="BI28">
        <v>19.545163333333331</v>
      </c>
      <c r="BJ28">
        <v>1520.29</v>
      </c>
      <c r="BK28">
        <v>22.682179999999999</v>
      </c>
      <c r="BL28">
        <v>399.97366666666659</v>
      </c>
      <c r="BM28">
        <v>102.6088666666667</v>
      </c>
      <c r="BN28">
        <v>9.9921830000000003E-2</v>
      </c>
      <c r="BO28">
        <v>26.995170000000002</v>
      </c>
      <c r="BP28">
        <v>26.435359999999999</v>
      </c>
      <c r="BQ28">
        <v>999.9000000000002</v>
      </c>
      <c r="BR28">
        <v>0</v>
      </c>
      <c r="BS28">
        <v>0</v>
      </c>
      <c r="BT28">
        <v>10003.283333333329</v>
      </c>
      <c r="BU28">
        <v>934.74519999999984</v>
      </c>
      <c r="BV28">
        <v>18.01639999999999</v>
      </c>
      <c r="BW28">
        <v>-65.95807666666667</v>
      </c>
      <c r="BX28">
        <v>1569.944666666667</v>
      </c>
      <c r="BY28">
        <v>1631.8973333333331</v>
      </c>
      <c r="BZ28">
        <v>3.3223440000000002</v>
      </c>
      <c r="CA28">
        <v>1600.002</v>
      </c>
      <c r="CB28">
        <v>19.545163333333331</v>
      </c>
      <c r="CC28">
        <v>2.3464096666666658</v>
      </c>
      <c r="CD28">
        <v>2.005507333333334</v>
      </c>
      <c r="CE28">
        <v>19.99860000000001</v>
      </c>
      <c r="CF28">
        <v>17.487876666666669</v>
      </c>
      <c r="CG28">
        <v>1750060166.5999999</v>
      </c>
      <c r="CH28" t="s">
        <v>339</v>
      </c>
      <c r="CI28">
        <v>1750060157.0999999</v>
      </c>
      <c r="CJ28">
        <v>1750060166.5999999</v>
      </c>
      <c r="CK28">
        <v>4</v>
      </c>
      <c r="CL28">
        <v>-0.13200000000000001</v>
      </c>
      <c r="CM28">
        <v>-8.9999999999999993E-3</v>
      </c>
      <c r="CN28">
        <v>2.6520000000000001</v>
      </c>
      <c r="CO28">
        <v>0.185</v>
      </c>
      <c r="CP28">
        <v>450</v>
      </c>
      <c r="CQ28">
        <v>19</v>
      </c>
      <c r="CR28">
        <v>0.35</v>
      </c>
      <c r="CS28">
        <v>0.02</v>
      </c>
      <c r="CT28">
        <v>-65.972459999999998</v>
      </c>
      <c r="CU28">
        <v>0.12986791744858281</v>
      </c>
      <c r="CV28">
        <v>8.1785367884481555E-2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3.3242105</v>
      </c>
      <c r="DC28">
        <v>-1.3792345215767259E-2</v>
      </c>
      <c r="DD28">
        <v>5.6120463959236713E-3</v>
      </c>
      <c r="DE28">
        <v>1</v>
      </c>
      <c r="DF28">
        <v>2</v>
      </c>
      <c r="DG28">
        <v>2</v>
      </c>
      <c r="DH28" t="s">
        <v>340</v>
      </c>
      <c r="DI28">
        <v>3.02433</v>
      </c>
      <c r="DJ28">
        <v>2.6912400000000001</v>
      </c>
      <c r="DK28">
        <v>0.23034099999999999</v>
      </c>
      <c r="DL28">
        <v>0.238926</v>
      </c>
      <c r="DM28">
        <v>0.117175</v>
      </c>
      <c r="DN28">
        <v>0.105922</v>
      </c>
      <c r="DO28">
        <v>21454.6</v>
      </c>
      <c r="DP28">
        <v>14318.9</v>
      </c>
      <c r="DQ28">
        <v>26448.3</v>
      </c>
      <c r="DR28">
        <v>17099.099999999999</v>
      </c>
      <c r="DS28">
        <v>33212.5</v>
      </c>
      <c r="DT28">
        <v>19942.8</v>
      </c>
      <c r="DU28">
        <v>38527.300000000003</v>
      </c>
      <c r="DV28">
        <v>22628.5</v>
      </c>
      <c r="DW28">
        <v>1.8053999999999999</v>
      </c>
      <c r="DX28">
        <v>2.20214</v>
      </c>
      <c r="DY28">
        <v>7.4684600000000004E-2</v>
      </c>
      <c r="DZ28">
        <v>0</v>
      </c>
      <c r="EA28">
        <v>25.212199999999999</v>
      </c>
      <c r="EB28">
        <v>999.9</v>
      </c>
      <c r="EC28">
        <v>52.3</v>
      </c>
      <c r="ED28">
        <v>32.6</v>
      </c>
      <c r="EE28">
        <v>25.178699999999999</v>
      </c>
      <c r="EF28">
        <v>62.800699999999999</v>
      </c>
      <c r="EG28">
        <v>34.8277</v>
      </c>
      <c r="EH28">
        <v>1</v>
      </c>
      <c r="EI28">
        <v>3.4636199999999999E-2</v>
      </c>
      <c r="EJ28">
        <v>3.40588E-2</v>
      </c>
      <c r="EK28">
        <v>20.327000000000002</v>
      </c>
      <c r="EL28">
        <v>5.2523900000000001</v>
      </c>
      <c r="EM28">
        <v>11.962</v>
      </c>
      <c r="EN28">
        <v>4.9893999999999998</v>
      </c>
      <c r="EO28">
        <v>3.2913199999999998</v>
      </c>
      <c r="EP28">
        <v>9999</v>
      </c>
      <c r="EQ28">
        <v>9999</v>
      </c>
      <c r="ER28">
        <v>9999</v>
      </c>
      <c r="ES28">
        <v>999.9</v>
      </c>
      <c r="ET28">
        <v>4.9727199999999998</v>
      </c>
      <c r="EU28">
        <v>1.87195</v>
      </c>
      <c r="EV28">
        <v>1.87219</v>
      </c>
      <c r="EW28">
        <v>1.87724</v>
      </c>
      <c r="EX28">
        <v>1.8713500000000001</v>
      </c>
      <c r="EY28">
        <v>1.8721099999999999</v>
      </c>
      <c r="EZ28">
        <v>1.8717999999999999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341</v>
      </c>
      <c r="FG28" t="s">
        <v>342</v>
      </c>
      <c r="FH28" t="s">
        <v>343</v>
      </c>
      <c r="FI28" t="s">
        <v>343</v>
      </c>
      <c r="FJ28" t="s">
        <v>343</v>
      </c>
      <c r="FK28" t="s">
        <v>343</v>
      </c>
      <c r="FL28">
        <v>0</v>
      </c>
      <c r="FM28">
        <v>100</v>
      </c>
      <c r="FN28">
        <v>100</v>
      </c>
      <c r="FO28">
        <v>13.75</v>
      </c>
      <c r="FP28">
        <v>0.18529999999999999</v>
      </c>
      <c r="FQ28">
        <v>-1.0803177837955851</v>
      </c>
      <c r="FR28">
        <v>7.6898218637449396E-3</v>
      </c>
      <c r="FS28">
        <v>1.5097418776848419E-6</v>
      </c>
      <c r="FT28">
        <v>-9.8458676114205118E-11</v>
      </c>
      <c r="FU28">
        <v>0.18532499999999891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190.3</v>
      </c>
      <c r="GD28">
        <v>190.1</v>
      </c>
      <c r="GE28">
        <v>3.10669</v>
      </c>
      <c r="GF28">
        <v>2.5988799999999999</v>
      </c>
      <c r="GG28">
        <v>1.7981</v>
      </c>
      <c r="GH28">
        <v>2.3718300000000001</v>
      </c>
      <c r="GI28">
        <v>1.5979000000000001</v>
      </c>
      <c r="GJ28">
        <v>2.5769000000000002</v>
      </c>
      <c r="GK28">
        <v>36.128500000000003</v>
      </c>
      <c r="GL28">
        <v>24.1663</v>
      </c>
      <c r="GM28">
        <v>18</v>
      </c>
      <c r="GN28">
        <v>367.89699999999999</v>
      </c>
      <c r="GO28">
        <v>681.33600000000001</v>
      </c>
      <c r="GP28">
        <v>25.83</v>
      </c>
      <c r="GQ28">
        <v>27.538599999999999</v>
      </c>
      <c r="GR28">
        <v>30.0001</v>
      </c>
      <c r="GS28">
        <v>27.466100000000001</v>
      </c>
      <c r="GT28">
        <v>27.4861</v>
      </c>
      <c r="GU28">
        <v>62.100099999999998</v>
      </c>
      <c r="GV28">
        <v>28.4787</v>
      </c>
      <c r="GW28">
        <v>0</v>
      </c>
      <c r="GX28">
        <v>25.83</v>
      </c>
      <c r="GY28">
        <v>1600</v>
      </c>
      <c r="GZ28">
        <v>19.5</v>
      </c>
      <c r="HA28">
        <v>100.499</v>
      </c>
      <c r="HB28">
        <v>70.673100000000005</v>
      </c>
    </row>
    <row r="29" spans="1:210" x14ac:dyDescent="0.3">
      <c r="A29">
        <v>13</v>
      </c>
      <c r="B29">
        <v>1750071754.5</v>
      </c>
      <c r="C29">
        <v>2166.5</v>
      </c>
      <c r="D29" t="s">
        <v>368</v>
      </c>
      <c r="E29" t="s">
        <v>369</v>
      </c>
      <c r="F29">
        <v>15</v>
      </c>
      <c r="G29">
        <v>1750071746.56129</v>
      </c>
      <c r="H29">
        <f t="shared" si="0"/>
        <v>1.4799705592930153E-3</v>
      </c>
      <c r="I29">
        <f t="shared" si="1"/>
        <v>1.4799705592930152</v>
      </c>
      <c r="J29">
        <f t="shared" si="2"/>
        <v>14.372967530247793</v>
      </c>
      <c r="K29">
        <f t="shared" si="3"/>
        <v>416.26729032258072</v>
      </c>
      <c r="L29">
        <f t="shared" si="4"/>
        <v>235.38600895311157</v>
      </c>
      <c r="M29">
        <f t="shared" si="5"/>
        <v>24.176077725201154</v>
      </c>
      <c r="N29">
        <f t="shared" si="6"/>
        <v>42.754071960590728</v>
      </c>
      <c r="O29">
        <f t="shared" si="7"/>
        <v>0.13693670642743333</v>
      </c>
      <c r="P29">
        <f t="shared" si="8"/>
        <v>2.4354886948014851</v>
      </c>
      <c r="Q29">
        <f t="shared" si="9"/>
        <v>0.13051978476054318</v>
      </c>
      <c r="R29">
        <f t="shared" si="10"/>
        <v>8.2126692528242368E-2</v>
      </c>
      <c r="S29">
        <f t="shared" si="11"/>
        <v>177.60832258064514</v>
      </c>
      <c r="T29">
        <f t="shared" si="12"/>
        <v>27.801594112625772</v>
      </c>
      <c r="U29">
        <f t="shared" si="13"/>
        <v>26.47143548387097</v>
      </c>
      <c r="V29">
        <f t="shared" si="14"/>
        <v>3.4695426822083428</v>
      </c>
      <c r="W29">
        <f t="shared" si="15"/>
        <v>65.258505022359941</v>
      </c>
      <c r="X29">
        <f t="shared" si="16"/>
        <v>2.3378540859823356</v>
      </c>
      <c r="Y29">
        <f t="shared" si="17"/>
        <v>3.5824511842269477</v>
      </c>
      <c r="Z29">
        <f t="shared" si="18"/>
        <v>1.1316885962260073</v>
      </c>
      <c r="AA29">
        <f t="shared" si="19"/>
        <v>-65.26670166482198</v>
      </c>
      <c r="AB29">
        <f t="shared" si="20"/>
        <v>71.456702372260452</v>
      </c>
      <c r="AC29">
        <f t="shared" si="21"/>
        <v>6.3156481861268166</v>
      </c>
      <c r="AD29">
        <f t="shared" si="22"/>
        <v>190.11397147421042</v>
      </c>
      <c r="AE29">
        <f t="shared" si="23"/>
        <v>14.372967530247793</v>
      </c>
      <c r="AF29">
        <f t="shared" si="24"/>
        <v>1.4799705592930152</v>
      </c>
      <c r="AG29">
        <f t="shared" si="25"/>
        <v>14.552895589013094</v>
      </c>
      <c r="AH29">
        <v>458.91492583560279</v>
      </c>
      <c r="AI29">
        <v>425.75426060606043</v>
      </c>
      <c r="AJ29">
        <v>-2.676886211823876E-2</v>
      </c>
      <c r="AK29">
        <v>83.942381885923893</v>
      </c>
      <c r="AL29">
        <f t="shared" si="26"/>
        <v>1.4822972854195757</v>
      </c>
      <c r="AM29">
        <v>19.50856650751566</v>
      </c>
      <c r="AN29">
        <v>22.76740585629766</v>
      </c>
      <c r="AO29">
        <v>1.759211999639572E-6</v>
      </c>
      <c r="AP29">
        <v>90.565554332150427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54241.074989465298</v>
      </c>
      <c r="AV29">
        <f t="shared" si="30"/>
        <v>934.78064516129018</v>
      </c>
      <c r="AW29">
        <f t="shared" si="31"/>
        <v>747.82451612903219</v>
      </c>
      <c r="AX29">
        <f t="shared" si="32"/>
        <v>0.8</v>
      </c>
      <c r="AY29">
        <f t="shared" si="33"/>
        <v>0.19</v>
      </c>
      <c r="AZ29">
        <v>9</v>
      </c>
      <c r="BA29">
        <v>14.19</v>
      </c>
      <c r="BB29" t="s">
        <v>338</v>
      </c>
      <c r="BC29">
        <v>2</v>
      </c>
      <c r="BD29" t="b">
        <v>0</v>
      </c>
      <c r="BE29">
        <v>1750071746.56129</v>
      </c>
      <c r="BF29">
        <v>416.26729032258072</v>
      </c>
      <c r="BG29">
        <v>449.98867741935487</v>
      </c>
      <c r="BH29">
        <v>22.76209354838711</v>
      </c>
      <c r="BI29">
        <v>19.508335483870969</v>
      </c>
      <c r="BJ29">
        <v>413.91290322580642</v>
      </c>
      <c r="BK29">
        <v>22.576764516129028</v>
      </c>
      <c r="BL29">
        <v>400.04664516129043</v>
      </c>
      <c r="BM29">
        <v>102.6082258064517</v>
      </c>
      <c r="BN29">
        <v>9.9993058064516166E-2</v>
      </c>
      <c r="BO29">
        <v>27.01565161290323</v>
      </c>
      <c r="BP29">
        <v>26.47143548387097</v>
      </c>
      <c r="BQ29">
        <v>999.90000000000032</v>
      </c>
      <c r="BR29">
        <v>0</v>
      </c>
      <c r="BS29">
        <v>0</v>
      </c>
      <c r="BT29">
        <v>9997.6129032258068</v>
      </c>
      <c r="BU29">
        <v>934.78064516129018</v>
      </c>
      <c r="BV29">
        <v>18.01639999999999</v>
      </c>
      <c r="BW29">
        <v>-33.721532258064521</v>
      </c>
      <c r="BX29">
        <v>425.96300000000002</v>
      </c>
      <c r="BY29">
        <v>458.94190322580653</v>
      </c>
      <c r="BZ29">
        <v>3.2537629032258071</v>
      </c>
      <c r="CA29">
        <v>449.98867741935487</v>
      </c>
      <c r="CB29">
        <v>19.508335483870969</v>
      </c>
      <c r="CC29">
        <v>2.3355774193548391</v>
      </c>
      <c r="CD29">
        <v>2.0017151612903228</v>
      </c>
      <c r="CE29">
        <v>19.923896774193551</v>
      </c>
      <c r="CF29">
        <v>17.457899999999999</v>
      </c>
      <c r="CG29">
        <v>1750060166.5999999</v>
      </c>
      <c r="CH29" t="s">
        <v>339</v>
      </c>
      <c r="CI29">
        <v>1750060157.0999999</v>
      </c>
      <c r="CJ29">
        <v>1750060166.5999999</v>
      </c>
      <c r="CK29">
        <v>4</v>
      </c>
      <c r="CL29">
        <v>-0.13200000000000001</v>
      </c>
      <c r="CM29">
        <v>-8.9999999999999993E-3</v>
      </c>
      <c r="CN29">
        <v>2.6520000000000001</v>
      </c>
      <c r="CO29">
        <v>0.185</v>
      </c>
      <c r="CP29">
        <v>450</v>
      </c>
      <c r="CQ29">
        <v>19</v>
      </c>
      <c r="CR29">
        <v>0.35</v>
      </c>
      <c r="CS29">
        <v>0.02</v>
      </c>
      <c r="CT29">
        <v>-33.636665853658528</v>
      </c>
      <c r="CU29">
        <v>-1.365827901040102</v>
      </c>
      <c r="CV29">
        <v>0.13655116723430691</v>
      </c>
      <c r="CW29">
        <v>0</v>
      </c>
      <c r="CX29">
        <v>0</v>
      </c>
      <c r="CY29">
        <v>0</v>
      </c>
      <c r="CZ29">
        <v>0</v>
      </c>
      <c r="DA29">
        <v>-1</v>
      </c>
      <c r="DB29">
        <v>3.252648048780487</v>
      </c>
      <c r="DC29">
        <v>2.0237185803010461E-2</v>
      </c>
      <c r="DD29">
        <v>2.3435258193400012E-3</v>
      </c>
      <c r="DE29">
        <v>1</v>
      </c>
      <c r="DF29">
        <v>1</v>
      </c>
      <c r="DG29">
        <v>2</v>
      </c>
      <c r="DH29" t="s">
        <v>346</v>
      </c>
      <c r="DI29">
        <v>3.02427</v>
      </c>
      <c r="DJ29">
        <v>2.6911700000000001</v>
      </c>
      <c r="DK29">
        <v>9.6952200000000002E-2</v>
      </c>
      <c r="DL29">
        <v>0.103796</v>
      </c>
      <c r="DM29">
        <v>0.11687599999999999</v>
      </c>
      <c r="DN29">
        <v>0.105804</v>
      </c>
      <c r="DO29">
        <v>25173.1</v>
      </c>
      <c r="DP29">
        <v>16860.8</v>
      </c>
      <c r="DQ29">
        <v>26448.799999999999</v>
      </c>
      <c r="DR29">
        <v>17098.8</v>
      </c>
      <c r="DS29">
        <v>33221.800000000003</v>
      </c>
      <c r="DT29">
        <v>19943.099999999999</v>
      </c>
      <c r="DU29">
        <v>38528.6</v>
      </c>
      <c r="DV29">
        <v>22628.1</v>
      </c>
      <c r="DW29">
        <v>1.8048999999999999</v>
      </c>
      <c r="DX29">
        <v>2.1991000000000001</v>
      </c>
      <c r="DY29">
        <v>7.4923000000000003E-2</v>
      </c>
      <c r="DZ29">
        <v>0</v>
      </c>
      <c r="EA29">
        <v>25.2394</v>
      </c>
      <c r="EB29">
        <v>999.9</v>
      </c>
      <c r="EC29">
        <v>52.3</v>
      </c>
      <c r="ED29">
        <v>32.6</v>
      </c>
      <c r="EE29">
        <v>25.175999999999998</v>
      </c>
      <c r="EF29">
        <v>63.120699999999999</v>
      </c>
      <c r="EG29">
        <v>34.8157</v>
      </c>
      <c r="EH29">
        <v>1</v>
      </c>
      <c r="EI29">
        <v>3.4498000000000001E-2</v>
      </c>
      <c r="EJ29">
        <v>3.6028299999999999E-2</v>
      </c>
      <c r="EK29">
        <v>20.327000000000002</v>
      </c>
      <c r="EL29">
        <v>5.2478400000000001</v>
      </c>
      <c r="EM29">
        <v>11.962</v>
      </c>
      <c r="EN29">
        <v>4.9897600000000004</v>
      </c>
      <c r="EO29">
        <v>3.2912599999999999</v>
      </c>
      <c r="EP29">
        <v>9999</v>
      </c>
      <c r="EQ29">
        <v>9999</v>
      </c>
      <c r="ER29">
        <v>9999</v>
      </c>
      <c r="ES29">
        <v>999.9</v>
      </c>
      <c r="ET29">
        <v>4.9727399999999999</v>
      </c>
      <c r="EU29">
        <v>1.87195</v>
      </c>
      <c r="EV29">
        <v>1.8722300000000001</v>
      </c>
      <c r="EW29">
        <v>1.8772599999999999</v>
      </c>
      <c r="EX29">
        <v>1.87134</v>
      </c>
      <c r="EY29">
        <v>1.87212</v>
      </c>
      <c r="EZ29">
        <v>1.87181</v>
      </c>
      <c r="FA29">
        <v>1.8687499999999999</v>
      </c>
      <c r="FB29">
        <v>0</v>
      </c>
      <c r="FC29">
        <v>0</v>
      </c>
      <c r="FD29">
        <v>0</v>
      </c>
      <c r="FE29">
        <v>0</v>
      </c>
      <c r="FF29" t="s">
        <v>341</v>
      </c>
      <c r="FG29" t="s">
        <v>342</v>
      </c>
      <c r="FH29" t="s">
        <v>343</v>
      </c>
      <c r="FI29" t="s">
        <v>343</v>
      </c>
      <c r="FJ29" t="s">
        <v>343</v>
      </c>
      <c r="FK29" t="s">
        <v>343</v>
      </c>
      <c r="FL29">
        <v>0</v>
      </c>
      <c r="FM29">
        <v>100</v>
      </c>
      <c r="FN29">
        <v>100</v>
      </c>
      <c r="FO29">
        <v>2.3530000000000002</v>
      </c>
      <c r="FP29">
        <v>0.18529999999999999</v>
      </c>
      <c r="FQ29">
        <v>-1.0803177837955851</v>
      </c>
      <c r="FR29">
        <v>7.6898218637449396E-3</v>
      </c>
      <c r="FS29">
        <v>1.5097418776848419E-6</v>
      </c>
      <c r="FT29">
        <v>-9.8458676114205118E-11</v>
      </c>
      <c r="FU29">
        <v>0.18532499999999891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193.3</v>
      </c>
      <c r="GD29">
        <v>193.1</v>
      </c>
      <c r="GE29">
        <v>1.1047400000000001</v>
      </c>
      <c r="GF29">
        <v>2.6110799999999998</v>
      </c>
      <c r="GG29">
        <v>1.7981</v>
      </c>
      <c r="GH29">
        <v>2.3718300000000001</v>
      </c>
      <c r="GI29">
        <v>1.5979000000000001</v>
      </c>
      <c r="GJ29">
        <v>2.5939899999999998</v>
      </c>
      <c r="GK29">
        <v>36.152000000000001</v>
      </c>
      <c r="GL29">
        <v>24.1663</v>
      </c>
      <c r="GM29">
        <v>18</v>
      </c>
      <c r="GN29">
        <v>367.64</v>
      </c>
      <c r="GO29">
        <v>678.66499999999996</v>
      </c>
      <c r="GP29">
        <v>25.83</v>
      </c>
      <c r="GQ29">
        <v>27.5367</v>
      </c>
      <c r="GR29">
        <v>30.0001</v>
      </c>
      <c r="GS29">
        <v>27.466100000000001</v>
      </c>
      <c r="GT29">
        <v>27.4861</v>
      </c>
      <c r="GU29">
        <v>22.078399999999998</v>
      </c>
      <c r="GV29">
        <v>28.748899999999999</v>
      </c>
      <c r="GW29">
        <v>0</v>
      </c>
      <c r="GX29">
        <v>25.83</v>
      </c>
      <c r="GY29">
        <v>450</v>
      </c>
      <c r="GZ29">
        <v>19.5</v>
      </c>
      <c r="HA29">
        <v>100.501</v>
      </c>
      <c r="HB29">
        <v>70.671800000000005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30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2025-06-16T11:06:17Z</dcterms:created>
  <dcterms:modified xsi:type="dcterms:W3CDTF">2025-12-01T11:38:03Z</dcterms:modified>
</cp:coreProperties>
</file>