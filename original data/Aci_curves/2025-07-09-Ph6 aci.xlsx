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D65B5EDADBDCE9D4190C655126C4FFB0" xr6:coauthVersionLast="47" xr6:coauthVersionMax="47" xr10:uidLastSave="{5BB3CBC0-6C3B-43BA-86C1-A3261AB969B0}"/>
  <bookViews>
    <workbookView xWindow="3000" yWindow="300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T29" i="1"/>
  <c r="AS29" i="1"/>
  <c r="AE29" i="1" s="1"/>
  <c r="J29" i="1" s="1"/>
  <c r="AL29" i="1"/>
  <c r="AG29" i="1"/>
  <c r="AF29" i="1"/>
  <c r="I29" i="1" s="1"/>
  <c r="H29" i="1" s="1"/>
  <c r="Y29" i="1"/>
  <c r="X29" i="1"/>
  <c r="W29" i="1" s="1"/>
  <c r="S29" i="1"/>
  <c r="P29" i="1"/>
  <c r="K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W27" i="1" s="1"/>
  <c r="AV27" i="1"/>
  <c r="AU27" i="1"/>
  <c r="AT27" i="1"/>
  <c r="AS27" i="1"/>
  <c r="AL27" i="1"/>
  <c r="AG27" i="1"/>
  <c r="AF27" i="1"/>
  <c r="I27" i="1" s="1"/>
  <c r="H27" i="1" s="1"/>
  <c r="AE27" i="1"/>
  <c r="J27" i="1" s="1"/>
  <c r="Y27" i="1"/>
  <c r="X27" i="1"/>
  <c r="W27" i="1" s="1"/>
  <c r="S27" i="1"/>
  <c r="P27" i="1"/>
  <c r="N27" i="1"/>
  <c r="K27" i="1"/>
  <c r="AY26" i="1"/>
  <c r="AX26" i="1"/>
  <c r="AV26" i="1"/>
  <c r="AW26" i="1" s="1"/>
  <c r="AU26" i="1"/>
  <c r="AS26" i="1" s="1"/>
  <c r="AL26" i="1"/>
  <c r="AG26" i="1"/>
  <c r="Y26" i="1"/>
  <c r="X26" i="1"/>
  <c r="W26" i="1" s="1"/>
  <c r="P26" i="1"/>
  <c r="AY25" i="1"/>
  <c r="AX25" i="1"/>
  <c r="AV25" i="1"/>
  <c r="AW25" i="1" s="1"/>
  <c r="AU25" i="1"/>
  <c r="AT25" i="1"/>
  <c r="AS25" i="1"/>
  <c r="AE25" i="1" s="1"/>
  <c r="J25" i="1" s="1"/>
  <c r="AL25" i="1"/>
  <c r="AG25" i="1"/>
  <c r="AF25" i="1"/>
  <c r="I25" i="1" s="1"/>
  <c r="H25" i="1" s="1"/>
  <c r="Y25" i="1"/>
  <c r="X25" i="1"/>
  <c r="W25" i="1" s="1"/>
  <c r="S25" i="1"/>
  <c r="P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 s="1"/>
  <c r="P24" i="1"/>
  <c r="AY23" i="1"/>
  <c r="AX23" i="1"/>
  <c r="AW23" i="1" s="1"/>
  <c r="AV23" i="1"/>
  <c r="S23" i="1" s="1"/>
  <c r="AU23" i="1"/>
  <c r="AT23" i="1"/>
  <c r="AS23" i="1"/>
  <c r="AL23" i="1"/>
  <c r="AG23" i="1"/>
  <c r="AF23" i="1"/>
  <c r="I23" i="1" s="1"/>
  <c r="H23" i="1" s="1"/>
  <c r="AE23" i="1"/>
  <c r="J23" i="1" s="1"/>
  <c r="Y23" i="1"/>
  <c r="X23" i="1"/>
  <c r="W23" i="1" s="1"/>
  <c r="P23" i="1"/>
  <c r="N23" i="1"/>
  <c r="K23" i="1"/>
  <c r="AY22" i="1"/>
  <c r="AX22" i="1"/>
  <c r="AV22" i="1"/>
  <c r="AW22" i="1" s="1"/>
  <c r="AU22" i="1"/>
  <c r="AS22" i="1" s="1"/>
  <c r="AL22" i="1"/>
  <c r="AG22" i="1"/>
  <c r="Y22" i="1"/>
  <c r="X22" i="1"/>
  <c r="W22" i="1" s="1"/>
  <c r="P22" i="1"/>
  <c r="AY21" i="1"/>
  <c r="AX21" i="1"/>
  <c r="AV21" i="1"/>
  <c r="AW21" i="1" s="1"/>
  <c r="AU21" i="1"/>
  <c r="AT21" i="1"/>
  <c r="AS21" i="1"/>
  <c r="AE21" i="1" s="1"/>
  <c r="J21" i="1" s="1"/>
  <c r="AL21" i="1"/>
  <c r="AG21" i="1"/>
  <c r="AF21" i="1"/>
  <c r="I21" i="1" s="1"/>
  <c r="H21" i="1" s="1"/>
  <c r="Y21" i="1"/>
  <c r="X21" i="1"/>
  <c r="W21" i="1" s="1"/>
  <c r="S21" i="1"/>
  <c r="P21" i="1"/>
  <c r="K21" i="1"/>
  <c r="AY20" i="1"/>
  <c r="AX20" i="1"/>
  <c r="AV20" i="1"/>
  <c r="S20" i="1" s="1"/>
  <c r="AU20" i="1"/>
  <c r="AS20" i="1" s="1"/>
  <c r="AL20" i="1"/>
  <c r="AG20" i="1"/>
  <c r="Y20" i="1"/>
  <c r="X20" i="1"/>
  <c r="W20" i="1" s="1"/>
  <c r="P20" i="1"/>
  <c r="AY19" i="1"/>
  <c r="AX19" i="1"/>
  <c r="AW19" i="1" s="1"/>
  <c r="AV19" i="1"/>
  <c r="S19" i="1" s="1"/>
  <c r="AU19" i="1"/>
  <c r="AT19" i="1"/>
  <c r="AS19" i="1"/>
  <c r="AL19" i="1"/>
  <c r="AG19" i="1"/>
  <c r="AF19" i="1"/>
  <c r="I19" i="1" s="1"/>
  <c r="H19" i="1" s="1"/>
  <c r="AE19" i="1"/>
  <c r="J19" i="1" s="1"/>
  <c r="Y19" i="1"/>
  <c r="X19" i="1"/>
  <c r="W19" i="1" s="1"/>
  <c r="P19" i="1"/>
  <c r="N19" i="1"/>
  <c r="K19" i="1"/>
  <c r="AY18" i="1"/>
  <c r="AX18" i="1"/>
  <c r="AV18" i="1"/>
  <c r="AW18" i="1" s="1"/>
  <c r="AU18" i="1"/>
  <c r="AS18" i="1" s="1"/>
  <c r="AL18" i="1"/>
  <c r="AG18" i="1"/>
  <c r="Y18" i="1"/>
  <c r="X18" i="1"/>
  <c r="W18" i="1" s="1"/>
  <c r="P18" i="1"/>
  <c r="AY17" i="1"/>
  <c r="AX17" i="1"/>
  <c r="AV17" i="1"/>
  <c r="AW17" i="1" s="1"/>
  <c r="AU17" i="1"/>
  <c r="AT17" i="1"/>
  <c r="AS17" i="1"/>
  <c r="AE17" i="1" s="1"/>
  <c r="J17" i="1" s="1"/>
  <c r="AL17" i="1"/>
  <c r="AG17" i="1"/>
  <c r="AF17" i="1"/>
  <c r="I17" i="1" s="1"/>
  <c r="H17" i="1" s="1"/>
  <c r="Y17" i="1"/>
  <c r="X17" i="1"/>
  <c r="W17" i="1" s="1"/>
  <c r="S17" i="1"/>
  <c r="P17" i="1"/>
  <c r="K17" i="1"/>
  <c r="AA19" i="1" l="1"/>
  <c r="AE26" i="1"/>
  <c r="J26" i="1" s="1"/>
  <c r="N26" i="1"/>
  <c r="AT26" i="1"/>
  <c r="K26" i="1"/>
  <c r="AF26" i="1"/>
  <c r="I26" i="1" s="1"/>
  <c r="H26" i="1" s="1"/>
  <c r="AE22" i="1"/>
  <c r="J22" i="1" s="1"/>
  <c r="N22" i="1"/>
  <c r="AT22" i="1"/>
  <c r="K22" i="1"/>
  <c r="AF22" i="1"/>
  <c r="I22" i="1" s="1"/>
  <c r="H22" i="1" s="1"/>
  <c r="T23" i="1"/>
  <c r="U23" i="1" s="1"/>
  <c r="K24" i="1"/>
  <c r="AF24" i="1"/>
  <c r="I24" i="1" s="1"/>
  <c r="H24" i="1" s="1"/>
  <c r="AE24" i="1"/>
  <c r="J24" i="1" s="1"/>
  <c r="AT24" i="1"/>
  <c r="N24" i="1"/>
  <c r="AE18" i="1"/>
  <c r="J18" i="1" s="1"/>
  <c r="N18" i="1"/>
  <c r="AT18" i="1"/>
  <c r="K18" i="1"/>
  <c r="AF18" i="1"/>
  <c r="I18" i="1" s="1"/>
  <c r="H18" i="1" s="1"/>
  <c r="T19" i="1"/>
  <c r="U19" i="1" s="1"/>
  <c r="AB19" i="1" s="1"/>
  <c r="K20" i="1"/>
  <c r="AF20" i="1"/>
  <c r="I20" i="1" s="1"/>
  <c r="H20" i="1" s="1"/>
  <c r="T20" i="1" s="1"/>
  <c r="U20" i="1" s="1"/>
  <c r="N20" i="1"/>
  <c r="AE20" i="1"/>
  <c r="J20" i="1" s="1"/>
  <c r="AT20" i="1"/>
  <c r="T25" i="1"/>
  <c r="U25" i="1" s="1"/>
  <c r="AA25" i="1"/>
  <c r="K28" i="1"/>
  <c r="N28" i="1"/>
  <c r="AF28" i="1"/>
  <c r="I28" i="1" s="1"/>
  <c r="H28" i="1" s="1"/>
  <c r="AE28" i="1"/>
  <c r="J28" i="1" s="1"/>
  <c r="AT28" i="1"/>
  <c r="AA17" i="1"/>
  <c r="T17" i="1"/>
  <c r="U17" i="1" s="1"/>
  <c r="T21" i="1"/>
  <c r="U21" i="1" s="1"/>
  <c r="AA21" i="1"/>
  <c r="AA23" i="1"/>
  <c r="Q23" i="1"/>
  <c r="O23" i="1" s="1"/>
  <c r="R23" i="1" s="1"/>
  <c r="L23" i="1" s="1"/>
  <c r="M23" i="1" s="1"/>
  <c r="T27" i="1"/>
  <c r="U27" i="1" s="1"/>
  <c r="AA27" i="1"/>
  <c r="T29" i="1"/>
  <c r="U29" i="1" s="1"/>
  <c r="Q29" i="1" s="1"/>
  <c r="O29" i="1" s="1"/>
  <c r="R29" i="1" s="1"/>
  <c r="L29" i="1" s="1"/>
  <c r="M29" i="1" s="1"/>
  <c r="AA29" i="1"/>
  <c r="S18" i="1"/>
  <c r="AW20" i="1"/>
  <c r="S22" i="1"/>
  <c r="AW24" i="1"/>
  <c r="S26" i="1"/>
  <c r="AW28" i="1"/>
  <c r="N17" i="1"/>
  <c r="N21" i="1"/>
  <c r="N25" i="1"/>
  <c r="N29" i="1"/>
  <c r="V20" i="1" l="1"/>
  <c r="Z20" i="1" s="1"/>
  <c r="AC20" i="1"/>
  <c r="AB20" i="1"/>
  <c r="T18" i="1"/>
  <c r="U18" i="1" s="1"/>
  <c r="AC27" i="1"/>
  <c r="AD27" i="1" s="1"/>
  <c r="V27" i="1"/>
  <c r="Z27" i="1" s="1"/>
  <c r="AA28" i="1"/>
  <c r="AA24" i="1"/>
  <c r="AB27" i="1"/>
  <c r="V17" i="1"/>
  <c r="Z17" i="1" s="1"/>
  <c r="AC17" i="1"/>
  <c r="AD17" i="1" s="1"/>
  <c r="AB17" i="1"/>
  <c r="AA20" i="1"/>
  <c r="Q20" i="1"/>
  <c r="O20" i="1" s="1"/>
  <c r="R20" i="1" s="1"/>
  <c r="L20" i="1" s="1"/>
  <c r="M20" i="1" s="1"/>
  <c r="AC23" i="1"/>
  <c r="V23" i="1"/>
  <c r="Z23" i="1" s="1"/>
  <c r="AA26" i="1"/>
  <c r="V29" i="1"/>
  <c r="Z29" i="1" s="1"/>
  <c r="AC29" i="1"/>
  <c r="AB29" i="1"/>
  <c r="T26" i="1"/>
  <c r="U26" i="1" s="1"/>
  <c r="Q26" i="1" s="1"/>
  <c r="O26" i="1" s="1"/>
  <c r="R26" i="1" s="1"/>
  <c r="L26" i="1" s="1"/>
  <c r="M26" i="1" s="1"/>
  <c r="V25" i="1"/>
  <c r="Z25" i="1" s="1"/>
  <c r="AC25" i="1"/>
  <c r="AB25" i="1"/>
  <c r="AA22" i="1"/>
  <c r="AB23" i="1"/>
  <c r="T28" i="1"/>
  <c r="U28" i="1" s="1"/>
  <c r="AB21" i="1"/>
  <c r="V21" i="1"/>
  <c r="Z21" i="1" s="1"/>
  <c r="AC21" i="1"/>
  <c r="AD21" i="1" s="1"/>
  <c r="Q17" i="1"/>
  <c r="O17" i="1" s="1"/>
  <c r="R17" i="1" s="1"/>
  <c r="L17" i="1" s="1"/>
  <c r="M17" i="1" s="1"/>
  <c r="Q25" i="1"/>
  <c r="O25" i="1" s="1"/>
  <c r="R25" i="1" s="1"/>
  <c r="L25" i="1" s="1"/>
  <c r="M25" i="1" s="1"/>
  <c r="T22" i="1"/>
  <c r="U22" i="1" s="1"/>
  <c r="Q27" i="1"/>
  <c r="O27" i="1" s="1"/>
  <c r="R27" i="1" s="1"/>
  <c r="L27" i="1" s="1"/>
  <c r="M27" i="1" s="1"/>
  <c r="Q21" i="1"/>
  <c r="O21" i="1" s="1"/>
  <c r="R21" i="1" s="1"/>
  <c r="L21" i="1" s="1"/>
  <c r="M21" i="1" s="1"/>
  <c r="T24" i="1"/>
  <c r="U24" i="1" s="1"/>
  <c r="AC19" i="1"/>
  <c r="AD19" i="1" s="1"/>
  <c r="V19" i="1"/>
  <c r="Z19" i="1" s="1"/>
  <c r="Q19" i="1"/>
  <c r="O19" i="1" s="1"/>
  <c r="R19" i="1" s="1"/>
  <c r="L19" i="1" s="1"/>
  <c r="M19" i="1" s="1"/>
  <c r="AA18" i="1"/>
  <c r="Q18" i="1"/>
  <c r="O18" i="1" s="1"/>
  <c r="R18" i="1" s="1"/>
  <c r="L18" i="1" s="1"/>
  <c r="M18" i="1" s="1"/>
  <c r="V22" i="1" l="1"/>
  <c r="Z22" i="1" s="1"/>
  <c r="AC22" i="1"/>
  <c r="AB22" i="1"/>
  <c r="Q22" i="1"/>
  <c r="O22" i="1" s="1"/>
  <c r="R22" i="1" s="1"/>
  <c r="L22" i="1" s="1"/>
  <c r="M22" i="1" s="1"/>
  <c r="AD29" i="1"/>
  <c r="V18" i="1"/>
  <c r="Z18" i="1" s="1"/>
  <c r="AC18" i="1"/>
  <c r="AB18" i="1"/>
  <c r="AD25" i="1"/>
  <c r="V24" i="1"/>
  <c r="Z24" i="1" s="1"/>
  <c r="AC24" i="1"/>
  <c r="AB24" i="1"/>
  <c r="Q24" i="1"/>
  <c r="O24" i="1" s="1"/>
  <c r="R24" i="1" s="1"/>
  <c r="L24" i="1" s="1"/>
  <c r="M24" i="1" s="1"/>
  <c r="V26" i="1"/>
  <c r="Z26" i="1" s="1"/>
  <c r="AC26" i="1"/>
  <c r="AB26" i="1"/>
  <c r="AD23" i="1"/>
  <c r="AD20" i="1"/>
  <c r="V28" i="1"/>
  <c r="Z28" i="1" s="1"/>
  <c r="AC28" i="1"/>
  <c r="AD28" i="1" s="1"/>
  <c r="AB28" i="1"/>
  <c r="Q28" i="1"/>
  <c r="O28" i="1" s="1"/>
  <c r="R28" i="1" s="1"/>
  <c r="L28" i="1" s="1"/>
  <c r="M28" i="1" s="1"/>
  <c r="AD26" i="1" l="1"/>
  <c r="AD18" i="1"/>
  <c r="AD24" i="1"/>
  <c r="AD22" i="1"/>
</calcChain>
</file>

<file path=xl/sharedStrings.xml><?xml version="1.0" encoding="utf-8"?>
<sst xmlns="http://schemas.openxmlformats.org/spreadsheetml/2006/main" count="818" uniqueCount="370">
  <si>
    <t>File opened</t>
  </si>
  <si>
    <t>2025-07-09 12:39:07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</si>
  <si>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</si>
  <si>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</si>
  <si>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</si>
  <si>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</si>
  <si>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</si>
  <si>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</si>
  <si>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</si>
  <si>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</si>
  <si>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</si>
  <si>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</si>
  <si>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</si>
  <si>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</si>
  <si>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</si>
  <si>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</si>
  <si>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</si>
  <si>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</si>
  <si>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</si>
  <si>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</si>
  <si>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</si>
  <si>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</si>
  <si>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</si>
  <si>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</si>
  <si>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</si>
  <si>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</si>
  <si>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</si>
  <si>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</si>
  <si>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12:39:07</t>
  </si>
  <si>
    <t>Stability Definition:	F (FlrLS): Per=20	ΔH2O (Meas2): Slp&lt;0.1 Per=20	ΔCO2 (Meas2): Slp&lt;0.5 Per=20</t>
  </si>
  <si>
    <t>12:39:11</t>
  </si>
  <si>
    <t>Config file loaded: 18 topics from file /home/licor/configs/Tinko/configs aci curve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</si>
  <si>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</si>
  <si>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</si>
  <si>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</si>
  <si>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</si>
  <si>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</si>
  <si>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</si>
  <si>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</si>
  <si>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</si>
  <si>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</si>
  <si>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</si>
  <si>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</si>
  <si>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</si>
  <si>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</si>
  <si>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</si>
  <si>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</si>
  <si>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</si>
  <si>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</si>
  <si>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</si>
  <si>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</si>
  <si>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</si>
  <si>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</si>
  <si>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</si>
  <si>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</si>
  <si>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</si>
  <si>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</si>
  <si>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</si>
  <si>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</si>
  <si>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</si>
  <si>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</si>
  <si>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</si>
  <si>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</si>
  <si>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</si>
  <si>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</si>
  <si>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</si>
  <si>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</si>
  <si>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</si>
  <si>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</si>
  <si>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</si>
  <si>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</si>
  <si>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</si>
  <si>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</si>
  <si>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</si>
  <si>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</si>
  <si>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</si>
  <si>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</si>
  <si>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</si>
  <si>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</si>
  <si>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</si>
  <si>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</si>
  <si>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</si>
  <si>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3.3964 165.482 349.022 597.823 863.831 1067.06 1299.19 1506.34</t>
  </si>
  <si>
    <t>Fs_true</t>
  </si>
  <si>
    <t>0.256706 202.289 385.521 595.14 805.098 1001.1 1201.35 1400.66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</si>
  <si>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</si>
  <si>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</si>
  <si>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</si>
  <si>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</si>
  <si>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</si>
  <si>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</si>
  <si>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</si>
  <si>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</si>
  <si>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</si>
  <si>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</si>
  <si>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</si>
  <si>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</si>
  <si>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</si>
  <si>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</si>
  <si>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</si>
  <si>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</si>
  <si>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</si>
  <si>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</si>
  <si>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</si>
  <si>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</si>
  <si>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</si>
  <si>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</si>
  <si>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</si>
  <si>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</si>
  <si>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</si>
  <si>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</si>
  <si>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</si>
  <si>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</si>
  <si>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</si>
  <si>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</si>
  <si>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</si>
  <si>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</si>
  <si>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</si>
  <si>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</si>
  <si>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</si>
  <si>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</si>
  <si>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</si>
  <si>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</si>
  <si>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</si>
  <si>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</si>
  <si>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</si>
  <si>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</si>
  <si>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</si>
  <si>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</si>
  <si>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</si>
  <si>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</si>
  <si>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</si>
  <si>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</si>
  <si>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</si>
  <si>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</si>
  <si>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</si>
  <si>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</si>
  <si>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</si>
  <si>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</si>
  <si>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</si>
  <si>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</si>
  <si>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</si>
  <si>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</si>
  <si>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</si>
  <si>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</si>
  <si>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</si>
  <si>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</si>
  <si>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</si>
  <si>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</si>
  <si>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</si>
  <si>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</si>
  <si>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</si>
  <si>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</si>
  <si>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</si>
  <si>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</si>
  <si>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</si>
  <si>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</si>
  <si>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</si>
  <si>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</si>
  <si>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</si>
  <si>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</si>
  <si>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</si>
  <si>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</si>
  <si>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</si>
  <si>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</si>
  <si>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</si>
  <si>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</si>
  <si>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</si>
  <si>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</si>
  <si>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</si>
  <si>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</si>
  <si>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</si>
  <si>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</si>
  <si>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</si>
  <si>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</si>
  <si>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</si>
  <si>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</si>
  <si>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</si>
  <si>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</si>
  <si>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</si>
  <si>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</si>
  <si>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</si>
  <si>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</si>
  <si>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</si>
  <si>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</si>
  <si>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</si>
  <si>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</si>
  <si>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</si>
  <si>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</si>
  <si>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</si>
  <si>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</si>
  <si>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</si>
  <si>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</si>
  <si>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</si>
  <si>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</si>
  <si>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</si>
  <si>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</si>
  <si>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</si>
  <si>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</si>
  <si>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</si>
  <si>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</si>
  <si>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</si>
  <si>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</si>
  <si>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</si>
  <si>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</si>
  <si>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</si>
  <si>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</si>
  <si>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</si>
  <si>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</si>
  <si>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</si>
  <si>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</si>
  <si>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</si>
  <si>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</si>
  <si>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</si>
  <si>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</si>
  <si>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</si>
  <si>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</si>
  <si>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</si>
  <si>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</si>
  <si>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</si>
  <si>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</si>
  <si>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</si>
  <si>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</si>
  <si>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</si>
  <si>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</si>
  <si>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</si>
  <si>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</si>
  <si>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</si>
  <si>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</si>
  <si>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</si>
  <si>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</si>
  <si>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</si>
  <si>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</si>
  <si>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</si>
  <si>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</si>
  <si>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</si>
  <si>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</si>
  <si>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</si>
  <si>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</si>
  <si>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</si>
  <si>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</si>
  <si>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</si>
  <si>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</si>
  <si>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</si>
  <si>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</si>
  <si>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</si>
  <si>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</si>
  <si>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</si>
  <si>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</si>
  <si>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</si>
  <si>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</si>
  <si>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</si>
  <si>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</si>
  <si>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</si>
  <si>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</si>
  <si>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</si>
  <si>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</si>
  <si>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</si>
  <si>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</si>
  <si>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</si>
  <si>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</si>
  <si>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</si>
  <si>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</si>
  <si>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</si>
  <si>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</si>
  <si>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</si>
  <si>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</si>
  <si>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</si>
  <si>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</si>
  <si>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</si>
  <si>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</si>
  <si>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</si>
  <si>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</si>
  <si>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</si>
  <si>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</si>
  <si>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</si>
  <si>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</si>
  <si>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</si>
  <si>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</si>
  <si>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</si>
  <si>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</si>
  <si>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</si>
  <si>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</si>
  <si>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</si>
  <si>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</si>
  <si>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</si>
  <si>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</si>
  <si>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</si>
  <si>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</si>
  <si>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</si>
  <si>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</si>
  <si>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</si>
  <si>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</si>
  <si>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</si>
  <si>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</si>
  <si>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</si>
  <si>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</si>
  <si>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</si>
  <si>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</si>
  <si>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</si>
  <si>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</si>
  <si>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</si>
  <si>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</si>
  <si>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</si>
  <si>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</si>
  <si>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</si>
  <si>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</si>
  <si>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</si>
  <si>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</si>
  <si>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</si>
  <si>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</si>
  <si>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</si>
  <si>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</si>
  <si>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</si>
  <si>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</si>
  <si>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</si>
  <si>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</si>
  <si>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</si>
  <si>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</si>
  <si>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</si>
  <si>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</si>
  <si>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</si>
  <si>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</si>
  <si>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</si>
  <si>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</si>
  <si>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</si>
  <si>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</si>
  <si>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</si>
  <si>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</si>
  <si>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</si>
  <si>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</si>
  <si>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</si>
  <si>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</si>
  <si>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</si>
  <si>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</si>
  <si>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</si>
  <si>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20250709 13:17:59</t>
  </si>
  <si>
    <t>13:17:59</t>
  </si>
  <si>
    <t>0: Broadleaf</t>
  </si>
  <si>
    <t>13:14:10</t>
  </si>
  <si>
    <t>2/2</t>
  </si>
  <si>
    <t>11111111</t>
  </si>
  <si>
    <t>oooooooo</t>
  </si>
  <si>
    <t>on</t>
  </si>
  <si>
    <t>20250709 13:21:00</t>
  </si>
  <si>
    <t>13:21:00</t>
  </si>
  <si>
    <t>20250709 13:24:00</t>
  </si>
  <si>
    <t>13:24:00</t>
  </si>
  <si>
    <t>1/2</t>
  </si>
  <si>
    <t>20250709 13:27:01</t>
  </si>
  <si>
    <t>13:27:01</t>
  </si>
  <si>
    <t>20250709 13:30:01</t>
  </si>
  <si>
    <t>13:30:01</t>
  </si>
  <si>
    <t>20250709 13:33:02</t>
  </si>
  <si>
    <t>13:33:02</t>
  </si>
  <si>
    <t>20250709 13:36:02</t>
  </si>
  <si>
    <t>13:36:02</t>
  </si>
  <si>
    <t>20250709 13:39:03</t>
  </si>
  <si>
    <t>13:39:03</t>
  </si>
  <si>
    <t>20250709 13:42:04</t>
  </si>
  <si>
    <t>13:42:04</t>
  </si>
  <si>
    <t>0/2</t>
  </si>
  <si>
    <t>20250709 13:45:04</t>
  </si>
  <si>
    <t>13:45:04</t>
  </si>
  <si>
    <t>20250709 13:48:05</t>
  </si>
  <si>
    <t>13:48:05</t>
  </si>
  <si>
    <t>20250709 13:51:05</t>
  </si>
  <si>
    <t>13:51:05</t>
  </si>
  <si>
    <t>20250709 13:54:06</t>
  </si>
  <si>
    <t>13:54:06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</si>
</sst>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N10" workbookViewId="0">
      <selection activeCell="BB17" sqref="BB17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1752059879.5999999</v>
      </c>
      <c r="C17">
        <v>0</v>
      </c>
      <c r="D17" t="s">
        <v>336</v>
      </c>
      <c r="E17" t="s">
        <v>337</v>
      </c>
      <c r="F17">
        <v>15</v>
      </c>
      <c r="G17">
        <v>1752059871.849999</v>
      </c>
      <c r="H17">
        <f t="shared" ref="H17:H29" si="0">(I17)/1000</f>
        <v>2.6610496231720244E-3</v>
      </c>
      <c r="I17">
        <f t="shared" ref="I17:I29" si="1">IF(BD17, AL17, AF17)</f>
        <v>2.6610496231720244</v>
      </c>
      <c r="J17">
        <f t="shared" ref="J17:J29" si="2">IF(BD17, AG17, AE17)</f>
        <v>19.565277779037757</v>
      </c>
      <c r="K17">
        <f t="shared" ref="K17:K29" si="3">BF17 - IF(AS17&gt;1, J17*AZ17*100/(AU17), 0)</f>
        <v>403.56169999999992</v>
      </c>
      <c r="L17">
        <f t="shared" ref="L17:L29" si="4">((R17-H17/2)*K17-J17)/(R17+H17/2)</f>
        <v>301.46999972503818</v>
      </c>
      <c r="M17">
        <f t="shared" ref="M17:M29" si="5">L17*(BM17+BN17)/1000</f>
        <v>30.79229052474556</v>
      </c>
      <c r="N17">
        <f t="shared" ref="N17:N29" si="6">(BF17 - IF(AS17&gt;1, J17*AZ17*100/(AU17), 0))*(BM17+BN17)/1000</f>
        <v>41.219985810840647</v>
      </c>
      <c r="O17">
        <f t="shared" ref="O17:O29" si="7">2/((1/Q17-1/P17)+SIGN(Q17)*SQRT((1/Q17-1/P17)*(1/Q17-1/P17) + 4*BA17/((BA17+1)*(BA17+1))*(2*1/Q17*1/P17-1/P17*1/P17)))</f>
        <v>0.35654256922905614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2.4274045033158784</v>
      </c>
      <c r="Q17">
        <f t="shared" ref="Q17:Q29" si="9">H17*(1000-(1000*0.61365*EXP(17.502*U17/(240.97+U17))/(BM17+BN17)+BH17)/2)/(1000*0.61365*EXP(17.502*U17/(240.97+U17))/(BM17+BN17)-BH17)</f>
        <v>0.31613053078104159</v>
      </c>
      <c r="R17">
        <f t="shared" ref="R17:R29" si="10">1/((BA17+1)/(O17/1.6)+1/(P17/1.37)) + BA17/((BA17+1)/(O17/1.6) + BA17/(P17/1.37))</f>
        <v>0.20083258377767554</v>
      </c>
      <c r="S17">
        <f t="shared" ref="S17:S29" si="11">(AV17*AY17)</f>
        <v>182.30733066666667</v>
      </c>
      <c r="T17">
        <f t="shared" ref="T17:T29" si="12">(BO17+(S17+2*0.95*0.0000000567*(((BO17+$B$7)+273)^4-(BO17+273)^4)-44100*H17)/(1.84*29.3*P17+8*0.95*0.0000000567*(BO17+273)^3))</f>
        <v>27.411101411354355</v>
      </c>
      <c r="U17">
        <f t="shared" ref="U17:U29" si="13">($C$7*BP17+$D$7*BQ17+$E$7*T17)</f>
        <v>26.23685</v>
      </c>
      <c r="V17">
        <f t="shared" ref="V17:V29" si="14">0.61365*EXP(17.502*U17/(240.97+U17))</f>
        <v>3.4218397659592701</v>
      </c>
      <c r="W17">
        <f t="shared" ref="W17:W29" si="15">(X17/Y17*100)</f>
        <v>72.479729898356766</v>
      </c>
      <c r="X17">
        <f t="shared" ref="X17:X29" si="16">BH17*(BM17+BN17)/1000</f>
        <v>2.5873569329531123</v>
      </c>
      <c r="Y17">
        <f t="shared" ref="Y17:Y29" si="17">0.61365*EXP(17.502*BO17/(240.97+BO17))</f>
        <v>3.569766245792497</v>
      </c>
      <c r="Z17">
        <f t="shared" ref="Z17:Z29" si="18">(V17-BH17*(BM17+BN17)/1000)</f>
        <v>0.83448283300615778</v>
      </c>
      <c r="AA17">
        <f t="shared" ref="AA17:AA29" si="19">(-H17*44100)</f>
        <v>-117.35228838188627</v>
      </c>
      <c r="AB17">
        <f t="shared" ref="AB17:AB29" si="20">2*29.3*P17*0.92*(BO17-U17)</f>
        <v>94.016045652146275</v>
      </c>
      <c r="AC17">
        <f t="shared" ref="AC17:AC29" si="21">2*0.95*0.0000000567*(((BO17+$B$7)+273)^4-(U17+273)^4)</f>
        <v>8.3249174915423563</v>
      </c>
      <c r="AD17">
        <f t="shared" ref="AD17:AD29" si="22">S17+AC17+AA17+AB17</f>
        <v>167.29600542846902</v>
      </c>
      <c r="AE17">
        <f t="shared" ref="AE17:AE29" si="23">BL17*AS17*(BG17-BF17*(1000-AS17*BI17)/(1000-AS17*BH17))/(100*AZ17)</f>
        <v>19.565277779037757</v>
      </c>
      <c r="AF17">
        <f t="shared" ref="AF17:AF29" si="24">1000*BL17*AS17*(BH17-BI17)/(100*AZ17*(1000-AS17*BH17))</f>
        <v>2.6610496231720244</v>
      </c>
      <c r="AG17">
        <f t="shared" ref="AG17:AG29" si="25">(AH17 - AI17 - BM17*1000/(8.314*(BO17+273.15)) * AK17/BL17 * AJ17) * BL17/(100*AZ17) * (1000 - BI17)/1000</f>
        <v>19.571742837676791</v>
      </c>
      <c r="AH17">
        <v>458.93652001476181</v>
      </c>
      <c r="AI17">
        <v>414.02885454545458</v>
      </c>
      <c r="AJ17">
        <v>-5.5249786881877213E-4</v>
      </c>
      <c r="AK17">
        <v>84.102609465128765</v>
      </c>
      <c r="AL17">
        <f t="shared" ref="AL17:AL29" si="26">(AN17 - AM17 + BM17*1000/(8.314*(BO17+273.15)) * AP17/BL17 * AO17) * BL17/(100*AZ17) * 1000/(1000 - AN17)</f>
        <v>2.6615673050563462</v>
      </c>
      <c r="AM17">
        <v>19.495115521278841</v>
      </c>
      <c r="AN17">
        <v>25.331961804511259</v>
      </c>
      <c r="AO17">
        <v>3.4644075248793892E-6</v>
      </c>
      <c r="AP17">
        <v>90.478574852398836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53968.076822939278</v>
      </c>
      <c r="AV17">
        <f t="shared" ref="AV17:AV29" si="30">$B$11*BU17+$C$11*BV17</f>
        <v>959.51226666666662</v>
      </c>
      <c r="AW17">
        <f t="shared" ref="AW17:AW29" si="31">AV17*AX17</f>
        <v>767.60981333333336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14.19</v>
      </c>
      <c r="BB17" t="s">
        <v>338</v>
      </c>
      <c r="BC17">
        <v>2</v>
      </c>
      <c r="BD17" t="b">
        <v>0</v>
      </c>
      <c r="BE17">
        <v>1752059871.849999</v>
      </c>
      <c r="BF17">
        <v>403.56169999999992</v>
      </c>
      <c r="BG17">
        <v>450.00026666666668</v>
      </c>
      <c r="BH17">
        <v>25.331356666666672</v>
      </c>
      <c r="BI17">
        <v>19.495609999999999</v>
      </c>
      <c r="BJ17">
        <v>402.31113333333337</v>
      </c>
      <c r="BK17">
        <v>25.079750000000001</v>
      </c>
      <c r="BL17">
        <v>399.99636666666657</v>
      </c>
      <c r="BM17">
        <v>102.0405333333333</v>
      </c>
      <c r="BN17">
        <v>9.9946823333333337E-2</v>
      </c>
      <c r="BO17">
        <v>26.955263333333331</v>
      </c>
      <c r="BP17">
        <v>26.23685</v>
      </c>
      <c r="BQ17">
        <v>999.9000000000002</v>
      </c>
      <c r="BR17">
        <v>0</v>
      </c>
      <c r="BS17">
        <v>0</v>
      </c>
      <c r="BT17">
        <v>10000.75</v>
      </c>
      <c r="BU17">
        <v>959.51226666666662</v>
      </c>
      <c r="BV17">
        <v>17.047199999999989</v>
      </c>
      <c r="BW17">
        <v>-46.43856000000001</v>
      </c>
      <c r="BX17">
        <v>414.05023333333332</v>
      </c>
      <c r="BY17">
        <v>458.94776666666661</v>
      </c>
      <c r="BZ17">
        <v>5.8357466666666671</v>
      </c>
      <c r="CA17">
        <v>450.00026666666668</v>
      </c>
      <c r="CB17">
        <v>19.495609999999999</v>
      </c>
      <c r="CC17">
        <v>2.584826333333333</v>
      </c>
      <c r="CD17">
        <v>1.9893430000000001</v>
      </c>
      <c r="CE17">
        <v>21.570703333333331</v>
      </c>
      <c r="CF17">
        <v>17.359770000000001</v>
      </c>
      <c r="CG17">
        <v>1752059650.5999999</v>
      </c>
      <c r="CH17" t="s">
        <v>339</v>
      </c>
      <c r="CI17">
        <v>1752059650.5999999</v>
      </c>
      <c r="CJ17">
        <v>1752059649.0999999</v>
      </c>
      <c r="CK17">
        <v>2</v>
      </c>
      <c r="CL17">
        <v>-0.41</v>
      </c>
      <c r="CM17">
        <v>2.1999999999999999E-2</v>
      </c>
      <c r="CN17">
        <v>1.661</v>
      </c>
      <c r="CO17">
        <v>0.252</v>
      </c>
      <c r="CP17">
        <v>450</v>
      </c>
      <c r="CQ17">
        <v>20</v>
      </c>
      <c r="CR17">
        <v>0.03</v>
      </c>
      <c r="CS17">
        <v>0.01</v>
      </c>
      <c r="CT17">
        <v>-46.443927500000008</v>
      </c>
      <c r="CU17">
        <v>8.4142964352815097E-2</v>
      </c>
      <c r="CV17">
        <v>3.0504245503700501E-2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5.8342957499999999</v>
      </c>
      <c r="DC17">
        <v>2.5852570356468232E-2</v>
      </c>
      <c r="DD17">
        <v>2.5780660265982409E-3</v>
      </c>
      <c r="DE17">
        <v>1</v>
      </c>
      <c r="DF17">
        <v>2</v>
      </c>
      <c r="DG17">
        <v>2</v>
      </c>
      <c r="DH17" t="s">
        <v>340</v>
      </c>
      <c r="DI17">
        <v>3.0245199999999999</v>
      </c>
      <c r="DJ17">
        <v>2.69129</v>
      </c>
      <c r="DK17">
        <v>9.4259800000000005E-2</v>
      </c>
      <c r="DL17">
        <v>0.103062</v>
      </c>
      <c r="DM17">
        <v>0.124862</v>
      </c>
      <c r="DN17">
        <v>0.105006</v>
      </c>
      <c r="DO17">
        <v>25206.400000000001</v>
      </c>
      <c r="DP17">
        <v>16522.900000000001</v>
      </c>
      <c r="DQ17">
        <v>26408.400000000001</v>
      </c>
      <c r="DR17">
        <v>16744</v>
      </c>
      <c r="DS17">
        <v>32873.1</v>
      </c>
      <c r="DT17">
        <v>19576.2</v>
      </c>
      <c r="DU17">
        <v>38474.400000000001</v>
      </c>
      <c r="DV17">
        <v>22189.8</v>
      </c>
      <c r="DW17">
        <v>1.79958</v>
      </c>
      <c r="DX17">
        <v>2.1818599999999999</v>
      </c>
      <c r="DY17">
        <v>6.4447500000000005E-2</v>
      </c>
      <c r="DZ17">
        <v>0</v>
      </c>
      <c r="EA17">
        <v>25.180499999999999</v>
      </c>
      <c r="EB17">
        <v>999.9</v>
      </c>
      <c r="EC17">
        <v>55.2</v>
      </c>
      <c r="ED17">
        <v>33</v>
      </c>
      <c r="EE17">
        <v>27.327999999999999</v>
      </c>
      <c r="EF17">
        <v>62.975499999999997</v>
      </c>
      <c r="EG17">
        <v>34.951900000000002</v>
      </c>
      <c r="EH17">
        <v>1</v>
      </c>
      <c r="EI17">
        <v>8.7894299999999995E-2</v>
      </c>
      <c r="EJ17">
        <v>0.16986899999999999</v>
      </c>
      <c r="EK17">
        <v>20.341899999999999</v>
      </c>
      <c r="EL17">
        <v>5.2519099999999996</v>
      </c>
      <c r="EM17">
        <v>11.962</v>
      </c>
      <c r="EN17">
        <v>4.9896799999999999</v>
      </c>
      <c r="EO17">
        <v>3.29142</v>
      </c>
      <c r="EP17">
        <v>9999</v>
      </c>
      <c r="EQ17">
        <v>9999</v>
      </c>
      <c r="ER17">
        <v>9999</v>
      </c>
      <c r="ES17">
        <v>999.9</v>
      </c>
      <c r="ET17">
        <v>4.9727199999999998</v>
      </c>
      <c r="EU17">
        <v>1.8718600000000001</v>
      </c>
      <c r="EV17">
        <v>1.87212</v>
      </c>
      <c r="EW17">
        <v>1.87714</v>
      </c>
      <c r="EX17">
        <v>1.87134</v>
      </c>
      <c r="EY17">
        <v>1.87209</v>
      </c>
      <c r="EZ17">
        <v>1.8717900000000001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341</v>
      </c>
      <c r="FG17" t="s">
        <v>342</v>
      </c>
      <c r="FH17" t="s">
        <v>343</v>
      </c>
      <c r="FI17" t="s">
        <v>343</v>
      </c>
      <c r="FJ17" t="s">
        <v>343</v>
      </c>
      <c r="FK17" t="s">
        <v>343</v>
      </c>
      <c r="FL17">
        <v>0</v>
      </c>
      <c r="FM17">
        <v>100</v>
      </c>
      <c r="FN17">
        <v>100</v>
      </c>
      <c r="FO17">
        <v>1.2509999999999999</v>
      </c>
      <c r="FP17">
        <v>0.25159999999999999</v>
      </c>
      <c r="FQ17">
        <v>-2.081102673305895</v>
      </c>
      <c r="FR17">
        <v>7.6898218637449396E-3</v>
      </c>
      <c r="FS17">
        <v>1.5097418776848419E-6</v>
      </c>
      <c r="FT17">
        <v>-9.8458676114205118E-11</v>
      </c>
      <c r="FU17">
        <v>0.25160476190476189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3.8</v>
      </c>
      <c r="GD17">
        <v>3.8</v>
      </c>
      <c r="GE17">
        <v>1.1071800000000001</v>
      </c>
      <c r="GF17">
        <v>2.63672</v>
      </c>
      <c r="GG17">
        <v>1.7981</v>
      </c>
      <c r="GH17">
        <v>2.3742700000000001</v>
      </c>
      <c r="GI17">
        <v>1.5979000000000001</v>
      </c>
      <c r="GJ17">
        <v>2.4890099999999999</v>
      </c>
      <c r="GK17">
        <v>36.034700000000001</v>
      </c>
      <c r="GL17">
        <v>24.1663</v>
      </c>
      <c r="GM17">
        <v>18</v>
      </c>
      <c r="GN17">
        <v>369.608</v>
      </c>
      <c r="GO17">
        <v>672.7</v>
      </c>
      <c r="GP17">
        <v>25.83</v>
      </c>
      <c r="GQ17">
        <v>28.2407</v>
      </c>
      <c r="GR17">
        <v>30</v>
      </c>
      <c r="GS17">
        <v>28.181799999999999</v>
      </c>
      <c r="GT17">
        <v>28.210999999999999</v>
      </c>
      <c r="GU17">
        <v>22.136700000000001</v>
      </c>
      <c r="GV17">
        <v>34.8307</v>
      </c>
      <c r="GW17">
        <v>0</v>
      </c>
      <c r="GX17">
        <v>25.83</v>
      </c>
      <c r="GY17">
        <v>450</v>
      </c>
      <c r="GZ17">
        <v>19.5</v>
      </c>
      <c r="HA17">
        <v>100.355</v>
      </c>
      <c r="HB17">
        <v>69.260999999999996</v>
      </c>
    </row>
    <row r="18" spans="1:210" x14ac:dyDescent="0.3">
      <c r="A18">
        <v>2</v>
      </c>
      <c r="B18">
        <v>1752060060.0999999</v>
      </c>
      <c r="C18">
        <v>180.5</v>
      </c>
      <c r="D18" t="s">
        <v>344</v>
      </c>
      <c r="E18" t="s">
        <v>345</v>
      </c>
      <c r="F18">
        <v>15</v>
      </c>
      <c r="G18">
        <v>1752060052.349999</v>
      </c>
      <c r="H18">
        <f t="shared" si="0"/>
        <v>2.7371958785326698E-3</v>
      </c>
      <c r="I18">
        <f t="shared" si="1"/>
        <v>2.73719587853267</v>
      </c>
      <c r="J18">
        <f t="shared" si="2"/>
        <v>13.108397690081777</v>
      </c>
      <c r="K18">
        <f t="shared" si="3"/>
        <v>268.85283333333331</v>
      </c>
      <c r="L18">
        <f t="shared" si="4"/>
        <v>203.08190769405576</v>
      </c>
      <c r="M18">
        <f t="shared" si="5"/>
        <v>20.74339182760108</v>
      </c>
      <c r="N18">
        <f t="shared" si="6"/>
        <v>27.461430361367931</v>
      </c>
      <c r="O18">
        <f t="shared" si="7"/>
        <v>0.37292976242570536</v>
      </c>
      <c r="P18">
        <f t="shared" si="8"/>
        <v>2.4278283646113303</v>
      </c>
      <c r="Q18">
        <f t="shared" si="9"/>
        <v>0.32896686757356097</v>
      </c>
      <c r="R18">
        <f t="shared" si="10"/>
        <v>0.2091241148034895</v>
      </c>
      <c r="S18">
        <f t="shared" si="11"/>
        <v>182.25736700000002</v>
      </c>
      <c r="T18">
        <f t="shared" si="12"/>
        <v>27.397105390894978</v>
      </c>
      <c r="U18">
        <f t="shared" si="13"/>
        <v>26.250276666666661</v>
      </c>
      <c r="V18">
        <f t="shared" si="14"/>
        <v>3.4245545404345075</v>
      </c>
      <c r="W18">
        <f t="shared" si="15"/>
        <v>72.783542947257104</v>
      </c>
      <c r="X18">
        <f t="shared" si="16"/>
        <v>2.5997282201393332</v>
      </c>
      <c r="Y18">
        <f t="shared" si="17"/>
        <v>3.5718626970704586</v>
      </c>
      <c r="Z18">
        <f t="shared" si="18"/>
        <v>0.82482632029517422</v>
      </c>
      <c r="AA18">
        <f t="shared" si="19"/>
        <v>-120.71033824329074</v>
      </c>
      <c r="AB18">
        <f t="shared" si="20"/>
        <v>93.58307641528728</v>
      </c>
      <c r="AC18">
        <f t="shared" si="21"/>
        <v>8.2861037140926506</v>
      </c>
      <c r="AD18">
        <f t="shared" si="22"/>
        <v>163.41620888608924</v>
      </c>
      <c r="AE18">
        <f t="shared" si="23"/>
        <v>13.108397690081777</v>
      </c>
      <c r="AF18">
        <f t="shared" si="24"/>
        <v>2.73719587853267</v>
      </c>
      <c r="AG18">
        <f t="shared" si="25"/>
        <v>13.121430740999662</v>
      </c>
      <c r="AH18">
        <v>305.96335454605179</v>
      </c>
      <c r="AI18">
        <v>275.85219393939389</v>
      </c>
      <c r="AJ18">
        <v>-1.5029671622093119E-5</v>
      </c>
      <c r="AK18">
        <v>84.102609465128765</v>
      </c>
      <c r="AL18">
        <f t="shared" si="26"/>
        <v>2.7426346450425609</v>
      </c>
      <c r="AM18">
        <v>19.448701334666861</v>
      </c>
      <c r="AN18">
        <v>25.462873383458628</v>
      </c>
      <c r="AO18">
        <v>1.297304063741148E-5</v>
      </c>
      <c r="AP18">
        <v>90.478574852398836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53980.557452302848</v>
      </c>
      <c r="AV18">
        <f t="shared" si="30"/>
        <v>959.24930000000006</v>
      </c>
      <c r="AW18">
        <f t="shared" si="31"/>
        <v>767.39944000000014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338</v>
      </c>
      <c r="BC18">
        <v>2</v>
      </c>
      <c r="BD18" t="b">
        <v>0</v>
      </c>
      <c r="BE18">
        <v>1752060052.349999</v>
      </c>
      <c r="BF18">
        <v>268.85283333333331</v>
      </c>
      <c r="BG18">
        <v>300.00506666666672</v>
      </c>
      <c r="BH18">
        <v>25.451853333333329</v>
      </c>
      <c r="BI18">
        <v>19.44942</v>
      </c>
      <c r="BJ18">
        <v>268.76006666666672</v>
      </c>
      <c r="BK18">
        <v>25.200253333333329</v>
      </c>
      <c r="BL18">
        <v>399.96716666666663</v>
      </c>
      <c r="BM18">
        <v>102.0430666666667</v>
      </c>
      <c r="BN18">
        <v>9.9916246666666667E-2</v>
      </c>
      <c r="BO18">
        <v>26.965256666666669</v>
      </c>
      <c r="BP18">
        <v>26.250276666666661</v>
      </c>
      <c r="BQ18">
        <v>999.9000000000002</v>
      </c>
      <c r="BR18">
        <v>0</v>
      </c>
      <c r="BS18">
        <v>0</v>
      </c>
      <c r="BT18">
        <v>10003.25</v>
      </c>
      <c r="BU18">
        <v>959.24930000000006</v>
      </c>
      <c r="BV18">
        <v>17.047199999999989</v>
      </c>
      <c r="BW18">
        <v>-31.152203333333329</v>
      </c>
      <c r="BX18">
        <v>275.8742666666667</v>
      </c>
      <c r="BY18">
        <v>305.95563333333331</v>
      </c>
      <c r="BZ18">
        <v>6.002438999999999</v>
      </c>
      <c r="CA18">
        <v>300.00506666666672</v>
      </c>
      <c r="CB18">
        <v>19.44942</v>
      </c>
      <c r="CC18">
        <v>2.5971849999999992</v>
      </c>
      <c r="CD18">
        <v>1.984678333333334</v>
      </c>
      <c r="CE18">
        <v>21.648683333333331</v>
      </c>
      <c r="CF18">
        <v>17.322613333333329</v>
      </c>
      <c r="CG18">
        <v>1752059650.5999999</v>
      </c>
      <c r="CH18" t="s">
        <v>339</v>
      </c>
      <c r="CI18">
        <v>1752059650.5999999</v>
      </c>
      <c r="CJ18">
        <v>1752059649.0999999</v>
      </c>
      <c r="CK18">
        <v>2</v>
      </c>
      <c r="CL18">
        <v>-0.41</v>
      </c>
      <c r="CM18">
        <v>2.1999999999999999E-2</v>
      </c>
      <c r="CN18">
        <v>1.661</v>
      </c>
      <c r="CO18">
        <v>0.252</v>
      </c>
      <c r="CP18">
        <v>450</v>
      </c>
      <c r="CQ18">
        <v>20</v>
      </c>
      <c r="CR18">
        <v>0.03</v>
      </c>
      <c r="CS18">
        <v>0.01</v>
      </c>
      <c r="CT18">
        <v>-31.130800000000001</v>
      </c>
      <c r="CU18">
        <v>-0.41403602251397148</v>
      </c>
      <c r="CV18">
        <v>4.5515502853423408E-2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5.9978324999999986</v>
      </c>
      <c r="DC18">
        <v>9.9760975609747365E-2</v>
      </c>
      <c r="DD18">
        <v>9.6977821562457753E-3</v>
      </c>
      <c r="DE18">
        <v>1</v>
      </c>
      <c r="DF18">
        <v>2</v>
      </c>
      <c r="DG18">
        <v>2</v>
      </c>
      <c r="DH18" t="s">
        <v>340</v>
      </c>
      <c r="DI18">
        <v>3.0244499999999999</v>
      </c>
      <c r="DJ18">
        <v>2.6911999999999998</v>
      </c>
      <c r="DK18">
        <v>6.8321400000000004E-2</v>
      </c>
      <c r="DL18">
        <v>7.5171399999999999E-2</v>
      </c>
      <c r="DM18">
        <v>0.12531999999999999</v>
      </c>
      <c r="DN18">
        <v>0.10482900000000001</v>
      </c>
      <c r="DO18">
        <v>25927.8</v>
      </c>
      <c r="DP18">
        <v>17036</v>
      </c>
      <c r="DQ18">
        <v>26408.1</v>
      </c>
      <c r="DR18">
        <v>16743.5</v>
      </c>
      <c r="DS18">
        <v>32854.5</v>
      </c>
      <c r="DT18">
        <v>19579.2</v>
      </c>
      <c r="DU18">
        <v>38473.9</v>
      </c>
      <c r="DV18">
        <v>22189.3</v>
      </c>
      <c r="DW18">
        <v>1.7994399999999999</v>
      </c>
      <c r="DX18">
        <v>2.1814399999999998</v>
      </c>
      <c r="DY18">
        <v>6.3210699999999995E-2</v>
      </c>
      <c r="DZ18">
        <v>0</v>
      </c>
      <c r="EA18">
        <v>25.2224</v>
      </c>
      <c r="EB18">
        <v>999.9</v>
      </c>
      <c r="EC18">
        <v>55.1</v>
      </c>
      <c r="ED18">
        <v>33</v>
      </c>
      <c r="EE18">
        <v>27.280100000000001</v>
      </c>
      <c r="EF18">
        <v>62.8155</v>
      </c>
      <c r="EG18">
        <v>34.972000000000001</v>
      </c>
      <c r="EH18">
        <v>1</v>
      </c>
      <c r="EI18">
        <v>8.8613800000000006E-2</v>
      </c>
      <c r="EJ18">
        <v>0.18104600000000001</v>
      </c>
      <c r="EK18">
        <v>20.342099999999999</v>
      </c>
      <c r="EL18">
        <v>5.2521500000000003</v>
      </c>
      <c r="EM18">
        <v>11.962</v>
      </c>
      <c r="EN18">
        <v>4.9897600000000004</v>
      </c>
      <c r="EO18">
        <v>3.2913000000000001</v>
      </c>
      <c r="EP18">
        <v>9999</v>
      </c>
      <c r="EQ18">
        <v>9999</v>
      </c>
      <c r="ER18">
        <v>9999</v>
      </c>
      <c r="ES18">
        <v>999.9</v>
      </c>
      <c r="ET18">
        <v>4.9727300000000003</v>
      </c>
      <c r="EU18">
        <v>1.87191</v>
      </c>
      <c r="EV18">
        <v>1.8721099999999999</v>
      </c>
      <c r="EW18">
        <v>1.87714</v>
      </c>
      <c r="EX18">
        <v>1.87134</v>
      </c>
      <c r="EY18">
        <v>1.8721000000000001</v>
      </c>
      <c r="EZ18">
        <v>1.8717900000000001</v>
      </c>
      <c r="FA18">
        <v>1.86873</v>
      </c>
      <c r="FB18">
        <v>0</v>
      </c>
      <c r="FC18">
        <v>0</v>
      </c>
      <c r="FD18">
        <v>0</v>
      </c>
      <c r="FE18">
        <v>0</v>
      </c>
      <c r="FF18" t="s">
        <v>341</v>
      </c>
      <c r="FG18" t="s">
        <v>342</v>
      </c>
      <c r="FH18" t="s">
        <v>343</v>
      </c>
      <c r="FI18" t="s">
        <v>343</v>
      </c>
      <c r="FJ18" t="s">
        <v>343</v>
      </c>
      <c r="FK18" t="s">
        <v>343</v>
      </c>
      <c r="FL18">
        <v>0</v>
      </c>
      <c r="FM18">
        <v>100</v>
      </c>
      <c r="FN18">
        <v>100</v>
      </c>
      <c r="FO18">
        <v>9.2999999999999999E-2</v>
      </c>
      <c r="FP18">
        <v>0.25159999999999999</v>
      </c>
      <c r="FQ18">
        <v>-2.081102673305895</v>
      </c>
      <c r="FR18">
        <v>7.6898218637449396E-3</v>
      </c>
      <c r="FS18">
        <v>1.5097418776848419E-6</v>
      </c>
      <c r="FT18">
        <v>-9.8458676114205118E-11</v>
      </c>
      <c r="FU18">
        <v>0.25160476190476189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6.8</v>
      </c>
      <c r="GD18">
        <v>6.8</v>
      </c>
      <c r="GE18">
        <v>0.80444300000000002</v>
      </c>
      <c r="GF18">
        <v>2.63062</v>
      </c>
      <c r="GG18">
        <v>1.7981</v>
      </c>
      <c r="GH18">
        <v>2.3742700000000001</v>
      </c>
      <c r="GI18">
        <v>1.5979000000000001</v>
      </c>
      <c r="GJ18">
        <v>2.5293000000000001</v>
      </c>
      <c r="GK18">
        <v>36.034700000000001</v>
      </c>
      <c r="GL18">
        <v>24.1663</v>
      </c>
      <c r="GM18">
        <v>18</v>
      </c>
      <c r="GN18">
        <v>369.56599999999997</v>
      </c>
      <c r="GO18">
        <v>672.39400000000001</v>
      </c>
      <c r="GP18">
        <v>25.83</v>
      </c>
      <c r="GQ18">
        <v>28.248000000000001</v>
      </c>
      <c r="GR18">
        <v>30.0001</v>
      </c>
      <c r="GS18">
        <v>28.186599999999999</v>
      </c>
      <c r="GT18">
        <v>28.215900000000001</v>
      </c>
      <c r="GU18">
        <v>16.058</v>
      </c>
      <c r="GV18">
        <v>34.8307</v>
      </c>
      <c r="GW18">
        <v>0</v>
      </c>
      <c r="GX18">
        <v>25.83</v>
      </c>
      <c r="GY18">
        <v>300</v>
      </c>
      <c r="GZ18">
        <v>19.5</v>
      </c>
      <c r="HA18">
        <v>100.354</v>
      </c>
      <c r="HB18">
        <v>69.259100000000004</v>
      </c>
    </row>
    <row r="19" spans="1:210" x14ac:dyDescent="0.3">
      <c r="A19">
        <v>3</v>
      </c>
      <c r="B19">
        <v>1752060240.5999999</v>
      </c>
      <c r="C19">
        <v>361</v>
      </c>
      <c r="D19" t="s">
        <v>346</v>
      </c>
      <c r="E19" t="s">
        <v>347</v>
      </c>
      <c r="F19">
        <v>15</v>
      </c>
      <c r="G19">
        <v>1752060232.849999</v>
      </c>
      <c r="H19">
        <f t="shared" si="0"/>
        <v>2.8780853386668136E-3</v>
      </c>
      <c r="I19">
        <f t="shared" si="1"/>
        <v>2.8780853386668137</v>
      </c>
      <c r="J19">
        <f t="shared" si="2"/>
        <v>8.3542821711926099</v>
      </c>
      <c r="K19">
        <f t="shared" si="3"/>
        <v>180.0391666666666</v>
      </c>
      <c r="L19">
        <f t="shared" si="4"/>
        <v>141.78338752437932</v>
      </c>
      <c r="M19">
        <f t="shared" si="5"/>
        <v>14.482313269660407</v>
      </c>
      <c r="N19">
        <f t="shared" si="6"/>
        <v>18.389909128295685</v>
      </c>
      <c r="O19">
        <f t="shared" si="7"/>
        <v>0.4158663845899872</v>
      </c>
      <c r="P19">
        <f t="shared" si="8"/>
        <v>2.4270024281051579</v>
      </c>
      <c r="Q19">
        <f t="shared" si="9"/>
        <v>0.36195631787366561</v>
      </c>
      <c r="R19">
        <f t="shared" si="10"/>
        <v>0.23048540001844545</v>
      </c>
      <c r="S19">
        <f t="shared" si="11"/>
        <v>182.23272399999999</v>
      </c>
      <c r="T19">
        <f t="shared" si="12"/>
        <v>27.350305936630338</v>
      </c>
      <c r="U19">
        <f t="shared" si="13"/>
        <v>26.240760000000002</v>
      </c>
      <c r="V19">
        <f t="shared" si="14"/>
        <v>3.4226301455294532</v>
      </c>
      <c r="W19">
        <f t="shared" si="15"/>
        <v>73.771180187307991</v>
      </c>
      <c r="X19">
        <f t="shared" si="16"/>
        <v>2.6345171681265191</v>
      </c>
      <c r="Y19">
        <f t="shared" si="17"/>
        <v>3.5712010590550052</v>
      </c>
      <c r="Z19">
        <f t="shared" si="18"/>
        <v>0.78811297740293407</v>
      </c>
      <c r="AA19">
        <f t="shared" si="19"/>
        <v>-126.92356343520647</v>
      </c>
      <c r="AB19">
        <f t="shared" si="20"/>
        <v>94.383847382971069</v>
      </c>
      <c r="AC19">
        <f t="shared" si="21"/>
        <v>8.3593201031701767</v>
      </c>
      <c r="AD19">
        <f t="shared" si="22"/>
        <v>158.05232805093476</v>
      </c>
      <c r="AE19">
        <f t="shared" si="23"/>
        <v>8.3542821711926099</v>
      </c>
      <c r="AF19">
        <f t="shared" si="24"/>
        <v>2.8780853386668137</v>
      </c>
      <c r="AG19">
        <f t="shared" si="25"/>
        <v>8.3854674503268978</v>
      </c>
      <c r="AH19">
        <v>203.97875862147291</v>
      </c>
      <c r="AI19">
        <v>184.7406424242424</v>
      </c>
      <c r="AJ19">
        <v>-1.8113154969845731E-4</v>
      </c>
      <c r="AK19">
        <v>84.102609465128765</v>
      </c>
      <c r="AL19">
        <f t="shared" si="26"/>
        <v>2.8859177226123047</v>
      </c>
      <c r="AM19">
        <v>19.482349893593199</v>
      </c>
      <c r="AN19">
        <v>25.8072072180451</v>
      </c>
      <c r="AO19">
        <v>4.8275004422796764E-6</v>
      </c>
      <c r="AP19">
        <v>90.478574852398836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53953.426147202452</v>
      </c>
      <c r="AV19">
        <f t="shared" si="30"/>
        <v>959.11959999999988</v>
      </c>
      <c r="AW19">
        <f t="shared" si="31"/>
        <v>767.29567999999995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338</v>
      </c>
      <c r="BC19">
        <v>2</v>
      </c>
      <c r="BD19" t="b">
        <v>0</v>
      </c>
      <c r="BE19">
        <v>1752060232.849999</v>
      </c>
      <c r="BF19">
        <v>180.0391666666666</v>
      </c>
      <c r="BG19">
        <v>199.99953333333329</v>
      </c>
      <c r="BH19">
        <v>25.79220333333333</v>
      </c>
      <c r="BI19">
        <v>19.484369999999998</v>
      </c>
      <c r="BJ19">
        <v>180.68206666666671</v>
      </c>
      <c r="BK19">
        <v>25.540599999999991</v>
      </c>
      <c r="BL19">
        <v>400.0530333333333</v>
      </c>
      <c r="BM19">
        <v>102.0438666666667</v>
      </c>
      <c r="BN19">
        <v>0.1000693933333333</v>
      </c>
      <c r="BO19">
        <v>26.962103333333332</v>
      </c>
      <c r="BP19">
        <v>26.240760000000002</v>
      </c>
      <c r="BQ19">
        <v>999.9000000000002</v>
      </c>
      <c r="BR19">
        <v>0</v>
      </c>
      <c r="BS19">
        <v>0</v>
      </c>
      <c r="BT19">
        <v>9997.8166666666675</v>
      </c>
      <c r="BU19">
        <v>959.11959999999988</v>
      </c>
      <c r="BV19">
        <v>17.047199999999989</v>
      </c>
      <c r="BW19">
        <v>-19.960453333333341</v>
      </c>
      <c r="BX19">
        <v>184.80556666666661</v>
      </c>
      <c r="BY19">
        <v>203.97383333333329</v>
      </c>
      <c r="BZ19">
        <v>6.3078229999999991</v>
      </c>
      <c r="CA19">
        <v>199.99953333333329</v>
      </c>
      <c r="CB19">
        <v>19.484369999999998</v>
      </c>
      <c r="CC19">
        <v>2.6319336666666659</v>
      </c>
      <c r="CD19">
        <v>1.988258333333333</v>
      </c>
      <c r="CE19">
        <v>21.866219999999991</v>
      </c>
      <c r="CF19">
        <v>17.351146666666668</v>
      </c>
      <c r="CG19">
        <v>1752059650.5999999</v>
      </c>
      <c r="CH19" t="s">
        <v>339</v>
      </c>
      <c r="CI19">
        <v>1752059650.5999999</v>
      </c>
      <c r="CJ19">
        <v>1752059649.0999999</v>
      </c>
      <c r="CK19">
        <v>2</v>
      </c>
      <c r="CL19">
        <v>-0.41</v>
      </c>
      <c r="CM19">
        <v>2.1999999999999999E-2</v>
      </c>
      <c r="CN19">
        <v>1.661</v>
      </c>
      <c r="CO19">
        <v>0.252</v>
      </c>
      <c r="CP19">
        <v>450</v>
      </c>
      <c r="CQ19">
        <v>20</v>
      </c>
      <c r="CR19">
        <v>0.03</v>
      </c>
      <c r="CS19">
        <v>0.01</v>
      </c>
      <c r="CT19">
        <v>-19.946784999999998</v>
      </c>
      <c r="CU19">
        <v>-0.24789118198871221</v>
      </c>
      <c r="CV19">
        <v>2.875176994551824E-2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6.3003985</v>
      </c>
      <c r="DC19">
        <v>0.12492697936207919</v>
      </c>
      <c r="DD19">
        <v>1.2031925770632E-2</v>
      </c>
      <c r="DE19">
        <v>0</v>
      </c>
      <c r="DF19">
        <v>1</v>
      </c>
      <c r="DG19">
        <v>2</v>
      </c>
      <c r="DH19" t="s">
        <v>348</v>
      </c>
      <c r="DI19">
        <v>3.0244399999999998</v>
      </c>
      <c r="DJ19">
        <v>2.6913499999999999</v>
      </c>
      <c r="DK19">
        <v>4.83769E-2</v>
      </c>
      <c r="DL19">
        <v>5.3224100000000003E-2</v>
      </c>
      <c r="DM19">
        <v>0.12651000000000001</v>
      </c>
      <c r="DN19">
        <v>0.104953</v>
      </c>
      <c r="DO19">
        <v>26483.1</v>
      </c>
      <c r="DP19">
        <v>17439.900000000001</v>
      </c>
      <c r="DQ19">
        <v>26408.400000000001</v>
      </c>
      <c r="DR19">
        <v>16743.099999999999</v>
      </c>
      <c r="DS19">
        <v>32808.699999999997</v>
      </c>
      <c r="DT19">
        <v>19575.7</v>
      </c>
      <c r="DU19">
        <v>38474.400000000001</v>
      </c>
      <c r="DV19">
        <v>22188.7</v>
      </c>
      <c r="DW19">
        <v>1.79952</v>
      </c>
      <c r="DX19">
        <v>2.1810999999999998</v>
      </c>
      <c r="DY19">
        <v>6.2525300000000006E-2</v>
      </c>
      <c r="DZ19">
        <v>0</v>
      </c>
      <c r="EA19">
        <v>25.214200000000002</v>
      </c>
      <c r="EB19">
        <v>999.9</v>
      </c>
      <c r="EC19">
        <v>55</v>
      </c>
      <c r="ED19">
        <v>33</v>
      </c>
      <c r="EE19">
        <v>27.230499999999999</v>
      </c>
      <c r="EF19">
        <v>62.9955</v>
      </c>
      <c r="EG19">
        <v>34.691499999999998</v>
      </c>
      <c r="EH19">
        <v>1</v>
      </c>
      <c r="EI19">
        <v>8.8648400000000002E-2</v>
      </c>
      <c r="EJ19">
        <v>0.17775199999999999</v>
      </c>
      <c r="EK19">
        <v>20.341799999999999</v>
      </c>
      <c r="EL19">
        <v>5.2532300000000003</v>
      </c>
      <c r="EM19">
        <v>11.962</v>
      </c>
      <c r="EN19">
        <v>4.9897200000000002</v>
      </c>
      <c r="EO19">
        <v>3.2913399999999999</v>
      </c>
      <c r="EP19">
        <v>9999</v>
      </c>
      <c r="EQ19">
        <v>9999</v>
      </c>
      <c r="ER19">
        <v>9999</v>
      </c>
      <c r="ES19">
        <v>999.9</v>
      </c>
      <c r="ET19">
        <v>4.9727100000000002</v>
      </c>
      <c r="EU19">
        <v>1.8718900000000001</v>
      </c>
      <c r="EV19">
        <v>1.8721099999999999</v>
      </c>
      <c r="EW19">
        <v>1.87717</v>
      </c>
      <c r="EX19">
        <v>1.87134</v>
      </c>
      <c r="EY19">
        <v>1.8721000000000001</v>
      </c>
      <c r="EZ19">
        <v>1.87178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341</v>
      </c>
      <c r="FG19" t="s">
        <v>342</v>
      </c>
      <c r="FH19" t="s">
        <v>343</v>
      </c>
      <c r="FI19" t="s">
        <v>343</v>
      </c>
      <c r="FJ19" t="s">
        <v>343</v>
      </c>
      <c r="FK19" t="s">
        <v>343</v>
      </c>
      <c r="FL19">
        <v>0</v>
      </c>
      <c r="FM19">
        <v>100</v>
      </c>
      <c r="FN19">
        <v>100</v>
      </c>
      <c r="FO19">
        <v>-0.64300000000000002</v>
      </c>
      <c r="FP19">
        <v>0.25159999999999999</v>
      </c>
      <c r="FQ19">
        <v>-2.081102673305895</v>
      </c>
      <c r="FR19">
        <v>7.6898218637449396E-3</v>
      </c>
      <c r="FS19">
        <v>1.5097418776848419E-6</v>
      </c>
      <c r="FT19">
        <v>-9.8458676114205118E-11</v>
      </c>
      <c r="FU19">
        <v>0.25160476190476189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9.8000000000000007</v>
      </c>
      <c r="GD19">
        <v>9.9</v>
      </c>
      <c r="GE19">
        <v>0.59082000000000001</v>
      </c>
      <c r="GF19">
        <v>2.63916</v>
      </c>
      <c r="GG19">
        <v>1.7981</v>
      </c>
      <c r="GH19">
        <v>2.3742700000000001</v>
      </c>
      <c r="GI19">
        <v>1.5979000000000001</v>
      </c>
      <c r="GJ19">
        <v>2.5695800000000002</v>
      </c>
      <c r="GK19">
        <v>36.034700000000001</v>
      </c>
      <c r="GL19">
        <v>24.1663</v>
      </c>
      <c r="GM19">
        <v>18</v>
      </c>
      <c r="GN19">
        <v>369.64</v>
      </c>
      <c r="GO19">
        <v>672.15599999999995</v>
      </c>
      <c r="GP19">
        <v>25.829899999999999</v>
      </c>
      <c r="GQ19">
        <v>28.252800000000001</v>
      </c>
      <c r="GR19">
        <v>30.0001</v>
      </c>
      <c r="GS19">
        <v>28.191299999999998</v>
      </c>
      <c r="GT19">
        <v>28.220700000000001</v>
      </c>
      <c r="GU19">
        <v>11.774699999999999</v>
      </c>
      <c r="GV19">
        <v>34.558700000000002</v>
      </c>
      <c r="GW19">
        <v>0</v>
      </c>
      <c r="GX19">
        <v>25.83</v>
      </c>
      <c r="GY19">
        <v>200</v>
      </c>
      <c r="GZ19">
        <v>19.5</v>
      </c>
      <c r="HA19">
        <v>100.355</v>
      </c>
      <c r="HB19">
        <v>69.257400000000004</v>
      </c>
    </row>
    <row r="20" spans="1:210" x14ac:dyDescent="0.3">
      <c r="A20">
        <v>4</v>
      </c>
      <c r="B20">
        <v>1752060421.0999999</v>
      </c>
      <c r="C20">
        <v>541.5</v>
      </c>
      <c r="D20" t="s">
        <v>349</v>
      </c>
      <c r="E20" t="s">
        <v>350</v>
      </c>
      <c r="F20">
        <v>15</v>
      </c>
      <c r="G20">
        <v>1752060413.349999</v>
      </c>
      <c r="H20">
        <f t="shared" si="0"/>
        <v>3.05209950820062E-3</v>
      </c>
      <c r="I20">
        <f t="shared" si="1"/>
        <v>3.0520995082006199</v>
      </c>
      <c r="J20">
        <f t="shared" si="2"/>
        <v>4.4093103939350193</v>
      </c>
      <c r="K20">
        <f t="shared" si="3"/>
        <v>114.2915</v>
      </c>
      <c r="L20">
        <f t="shared" si="4"/>
        <v>95.874655877083711</v>
      </c>
      <c r="M20">
        <f t="shared" si="5"/>
        <v>9.7933201089051227</v>
      </c>
      <c r="N20">
        <f t="shared" si="6"/>
        <v>11.674547720535465</v>
      </c>
      <c r="O20">
        <f t="shared" si="7"/>
        <v>0.47017493656358478</v>
      </c>
      <c r="P20">
        <f t="shared" si="8"/>
        <v>2.4279489605791453</v>
      </c>
      <c r="Q20">
        <f t="shared" si="9"/>
        <v>0.40250086407719227</v>
      </c>
      <c r="R20">
        <f t="shared" si="10"/>
        <v>0.25683197256069584</v>
      </c>
      <c r="S20">
        <f t="shared" si="11"/>
        <v>182.18714933333334</v>
      </c>
      <c r="T20">
        <f t="shared" si="12"/>
        <v>27.289509309681847</v>
      </c>
      <c r="U20">
        <f t="shared" si="13"/>
        <v>26.231273333333331</v>
      </c>
      <c r="V20">
        <f t="shared" si="14"/>
        <v>3.4207127569889799</v>
      </c>
      <c r="W20">
        <f t="shared" si="15"/>
        <v>74.771933131855334</v>
      </c>
      <c r="X20">
        <f t="shared" si="16"/>
        <v>2.6692370723074634</v>
      </c>
      <c r="Y20">
        <f t="shared" si="17"/>
        <v>3.5698382541487073</v>
      </c>
      <c r="Z20">
        <f t="shared" si="18"/>
        <v>0.75147568468151649</v>
      </c>
      <c r="AA20">
        <f t="shared" si="19"/>
        <v>-134.59758831164734</v>
      </c>
      <c r="AB20">
        <f t="shared" si="20"/>
        <v>94.812034940079727</v>
      </c>
      <c r="AC20">
        <f t="shared" si="21"/>
        <v>8.3932982635993483</v>
      </c>
      <c r="AD20">
        <f t="shared" si="22"/>
        <v>150.79489422536506</v>
      </c>
      <c r="AE20">
        <f t="shared" si="23"/>
        <v>4.4093103939350193</v>
      </c>
      <c r="AF20">
        <f t="shared" si="24"/>
        <v>3.0520995082006199</v>
      </c>
      <c r="AG20">
        <f t="shared" si="25"/>
        <v>4.4148509316992763</v>
      </c>
      <c r="AH20">
        <v>127.4703976394443</v>
      </c>
      <c r="AI20">
        <v>117.3399454545455</v>
      </c>
      <c r="AJ20">
        <v>5.6681883864191994E-6</v>
      </c>
      <c r="AK20">
        <v>84.102609465128765</v>
      </c>
      <c r="AL20">
        <f t="shared" si="26"/>
        <v>3.0591000250536866</v>
      </c>
      <c r="AM20">
        <v>19.442597593523171</v>
      </c>
      <c r="AN20">
        <v>26.14556045112781</v>
      </c>
      <c r="AO20">
        <v>7.0527558514183484E-6</v>
      </c>
      <c r="AP20">
        <v>90.478574852398836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53986.429414573991</v>
      </c>
      <c r="AV20">
        <f t="shared" si="30"/>
        <v>958.87973333333332</v>
      </c>
      <c r="AW20">
        <f t="shared" si="31"/>
        <v>767.10378666666668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338</v>
      </c>
      <c r="BC20">
        <v>2</v>
      </c>
      <c r="BD20" t="b">
        <v>0</v>
      </c>
      <c r="BE20">
        <v>1752060413.349999</v>
      </c>
      <c r="BF20">
        <v>114.2915</v>
      </c>
      <c r="BG20">
        <v>124.9973333333333</v>
      </c>
      <c r="BH20">
        <v>26.1313</v>
      </c>
      <c r="BI20">
        <v>19.443513333333328</v>
      </c>
      <c r="BJ20">
        <v>115.4647666666667</v>
      </c>
      <c r="BK20">
        <v>25.879696666666671</v>
      </c>
      <c r="BL20">
        <v>399.99926666666659</v>
      </c>
      <c r="BM20">
        <v>102.04713333333331</v>
      </c>
      <c r="BN20">
        <v>9.9988023333333328E-2</v>
      </c>
      <c r="BO20">
        <v>26.955606666666661</v>
      </c>
      <c r="BP20">
        <v>26.231273333333331</v>
      </c>
      <c r="BQ20">
        <v>999.9000000000002</v>
      </c>
      <c r="BR20">
        <v>0</v>
      </c>
      <c r="BS20">
        <v>0</v>
      </c>
      <c r="BT20">
        <v>10003.63333333333</v>
      </c>
      <c r="BU20">
        <v>958.87973333333332</v>
      </c>
      <c r="BV20">
        <v>17.047199999999989</v>
      </c>
      <c r="BW20">
        <v>-10.705859999999999</v>
      </c>
      <c r="BX20">
        <v>117.3581666666667</v>
      </c>
      <c r="BY20">
        <v>127.476</v>
      </c>
      <c r="BZ20">
        <v>6.6877906666666673</v>
      </c>
      <c r="CA20">
        <v>124.9973333333333</v>
      </c>
      <c r="CB20">
        <v>19.443513333333328</v>
      </c>
      <c r="CC20">
        <v>2.6666259999999999</v>
      </c>
      <c r="CD20">
        <v>1.9841549999999999</v>
      </c>
      <c r="CE20">
        <v>22.08089</v>
      </c>
      <c r="CF20">
        <v>17.318449999999999</v>
      </c>
      <c r="CG20">
        <v>1752059650.5999999</v>
      </c>
      <c r="CH20" t="s">
        <v>339</v>
      </c>
      <c r="CI20">
        <v>1752059650.5999999</v>
      </c>
      <c r="CJ20">
        <v>1752059649.0999999</v>
      </c>
      <c r="CK20">
        <v>2</v>
      </c>
      <c r="CL20">
        <v>-0.41</v>
      </c>
      <c r="CM20">
        <v>2.1999999999999999E-2</v>
      </c>
      <c r="CN20">
        <v>1.661</v>
      </c>
      <c r="CO20">
        <v>0.252</v>
      </c>
      <c r="CP20">
        <v>450</v>
      </c>
      <c r="CQ20">
        <v>20</v>
      </c>
      <c r="CR20">
        <v>0.03</v>
      </c>
      <c r="CS20">
        <v>0.01</v>
      </c>
      <c r="CT20">
        <v>-10.704941463414629</v>
      </c>
      <c r="CU20">
        <v>-7.2821602787486894E-2</v>
      </c>
      <c r="CV20">
        <v>2.580775054324418E-2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6.6822139024390248</v>
      </c>
      <c r="DC20">
        <v>0.13261818815331569</v>
      </c>
      <c r="DD20">
        <v>1.3201801037155131E-2</v>
      </c>
      <c r="DE20">
        <v>0</v>
      </c>
      <c r="DF20">
        <v>1</v>
      </c>
      <c r="DG20">
        <v>2</v>
      </c>
      <c r="DH20" t="s">
        <v>348</v>
      </c>
      <c r="DI20">
        <v>3.02447</v>
      </c>
      <c r="DJ20">
        <v>2.6913200000000002</v>
      </c>
      <c r="DK20">
        <v>3.19136E-2</v>
      </c>
      <c r="DL20">
        <v>3.4562299999999997E-2</v>
      </c>
      <c r="DM20">
        <v>0.127668</v>
      </c>
      <c r="DN20">
        <v>0.104807</v>
      </c>
      <c r="DO20">
        <v>26939.9</v>
      </c>
      <c r="DP20">
        <v>17783.3</v>
      </c>
      <c r="DQ20">
        <v>26407.200000000001</v>
      </c>
      <c r="DR20">
        <v>16742.8</v>
      </c>
      <c r="DS20">
        <v>32762.799999999999</v>
      </c>
      <c r="DT20">
        <v>19578.2</v>
      </c>
      <c r="DU20">
        <v>38473.199999999997</v>
      </c>
      <c r="DV20">
        <v>22188.3</v>
      </c>
      <c r="DW20">
        <v>1.8000799999999999</v>
      </c>
      <c r="DX20">
        <v>2.1808000000000001</v>
      </c>
      <c r="DY20">
        <v>6.2227200000000003E-2</v>
      </c>
      <c r="DZ20">
        <v>0</v>
      </c>
      <c r="EA20">
        <v>25.2182</v>
      </c>
      <c r="EB20">
        <v>999.9</v>
      </c>
      <c r="EC20">
        <v>54.9</v>
      </c>
      <c r="ED20">
        <v>33</v>
      </c>
      <c r="EE20">
        <v>27.179400000000001</v>
      </c>
      <c r="EF20">
        <v>62.7455</v>
      </c>
      <c r="EG20">
        <v>35.064100000000003</v>
      </c>
      <c r="EH20">
        <v>1</v>
      </c>
      <c r="EI20">
        <v>8.8932899999999995E-2</v>
      </c>
      <c r="EJ20">
        <v>0.18034900000000001</v>
      </c>
      <c r="EK20">
        <v>20.341899999999999</v>
      </c>
      <c r="EL20">
        <v>5.2532300000000003</v>
      </c>
      <c r="EM20">
        <v>11.962</v>
      </c>
      <c r="EN20">
        <v>4.9896399999999996</v>
      </c>
      <c r="EO20">
        <v>3.2913399999999999</v>
      </c>
      <c r="EP20">
        <v>9999</v>
      </c>
      <c r="EQ20">
        <v>9999</v>
      </c>
      <c r="ER20">
        <v>9999</v>
      </c>
      <c r="ES20">
        <v>999.9</v>
      </c>
      <c r="ET20">
        <v>4.9727300000000003</v>
      </c>
      <c r="EU20">
        <v>1.8718699999999999</v>
      </c>
      <c r="EV20">
        <v>1.8721000000000001</v>
      </c>
      <c r="EW20">
        <v>1.87714</v>
      </c>
      <c r="EX20">
        <v>1.87134</v>
      </c>
      <c r="EY20">
        <v>1.87209</v>
      </c>
      <c r="EZ20">
        <v>1.8717600000000001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341</v>
      </c>
      <c r="FG20" t="s">
        <v>342</v>
      </c>
      <c r="FH20" t="s">
        <v>343</v>
      </c>
      <c r="FI20" t="s">
        <v>343</v>
      </c>
      <c r="FJ20" t="s">
        <v>343</v>
      </c>
      <c r="FK20" t="s">
        <v>343</v>
      </c>
      <c r="FL20">
        <v>0</v>
      </c>
      <c r="FM20">
        <v>100</v>
      </c>
      <c r="FN20">
        <v>100</v>
      </c>
      <c r="FO20">
        <v>-1.173</v>
      </c>
      <c r="FP20">
        <v>0.25159999999999999</v>
      </c>
      <c r="FQ20">
        <v>-2.081102673305895</v>
      </c>
      <c r="FR20">
        <v>7.6898218637449396E-3</v>
      </c>
      <c r="FS20">
        <v>1.5097418776848419E-6</v>
      </c>
      <c r="FT20">
        <v>-9.8458676114205118E-11</v>
      </c>
      <c r="FU20">
        <v>0.25160476190476189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12.8</v>
      </c>
      <c r="GD20">
        <v>12.9</v>
      </c>
      <c r="GE20">
        <v>0.42480499999999999</v>
      </c>
      <c r="GF20">
        <v>2.65991</v>
      </c>
      <c r="GG20">
        <v>1.79932</v>
      </c>
      <c r="GH20">
        <v>2.3742700000000001</v>
      </c>
      <c r="GI20">
        <v>1.5979000000000001</v>
      </c>
      <c r="GJ20">
        <v>2.52075</v>
      </c>
      <c r="GK20">
        <v>36.058199999999999</v>
      </c>
      <c r="GL20">
        <v>24.1663</v>
      </c>
      <c r="GM20">
        <v>18</v>
      </c>
      <c r="GN20">
        <v>369.947</v>
      </c>
      <c r="GO20">
        <v>671.92399999999998</v>
      </c>
      <c r="GP20">
        <v>25.829899999999999</v>
      </c>
      <c r="GQ20">
        <v>28.255199999999999</v>
      </c>
      <c r="GR20">
        <v>30.0001</v>
      </c>
      <c r="GS20">
        <v>28.1937</v>
      </c>
      <c r="GT20">
        <v>28.223099999999999</v>
      </c>
      <c r="GU20">
        <v>8.4679900000000004</v>
      </c>
      <c r="GV20">
        <v>34.558700000000002</v>
      </c>
      <c r="GW20">
        <v>0</v>
      </c>
      <c r="GX20">
        <v>25.83</v>
      </c>
      <c r="GY20">
        <v>125</v>
      </c>
      <c r="GZ20">
        <v>19.5</v>
      </c>
      <c r="HA20">
        <v>100.351</v>
      </c>
      <c r="HB20">
        <v>69.256200000000007</v>
      </c>
    </row>
    <row r="21" spans="1:210" x14ac:dyDescent="0.3">
      <c r="A21">
        <v>5</v>
      </c>
      <c r="B21">
        <v>1752060601.5999999</v>
      </c>
      <c r="C21">
        <v>722</v>
      </c>
      <c r="D21" t="s">
        <v>351</v>
      </c>
      <c r="E21" t="s">
        <v>352</v>
      </c>
      <c r="F21">
        <v>15</v>
      </c>
      <c r="G21">
        <v>1752060593.849999</v>
      </c>
      <c r="H21">
        <f t="shared" si="0"/>
        <v>3.1621702963795504E-3</v>
      </c>
      <c r="I21">
        <f t="shared" si="1"/>
        <v>3.1621702963795504</v>
      </c>
      <c r="J21">
        <f t="shared" si="2"/>
        <v>1.5061881315583348</v>
      </c>
      <c r="K21">
        <f t="shared" si="3"/>
        <v>71.113213333333348</v>
      </c>
      <c r="L21">
        <f t="shared" si="4"/>
        <v>64.979922223588019</v>
      </c>
      <c r="M21">
        <f t="shared" si="5"/>
        <v>6.6375125798741132</v>
      </c>
      <c r="N21">
        <f t="shared" si="6"/>
        <v>7.2640106658042125</v>
      </c>
      <c r="O21">
        <f t="shared" si="7"/>
        <v>0.52068982169051314</v>
      </c>
      <c r="P21">
        <f t="shared" si="8"/>
        <v>2.4277690350388319</v>
      </c>
      <c r="Q21">
        <f t="shared" si="9"/>
        <v>0.43902473134370207</v>
      </c>
      <c r="R21">
        <f t="shared" si="10"/>
        <v>0.28065893761717037</v>
      </c>
      <c r="S21">
        <f t="shared" si="11"/>
        <v>182.16863700000002</v>
      </c>
      <c r="T21">
        <f t="shared" si="12"/>
        <v>27.250766299106591</v>
      </c>
      <c r="U21">
        <f t="shared" si="13"/>
        <v>26.212720000000001</v>
      </c>
      <c r="V21">
        <f t="shared" si="14"/>
        <v>3.4169655788340996</v>
      </c>
      <c r="W21">
        <f t="shared" si="15"/>
        <v>75.745644468031387</v>
      </c>
      <c r="X21">
        <f t="shared" si="16"/>
        <v>2.7032700049305105</v>
      </c>
      <c r="Y21">
        <f t="shared" si="17"/>
        <v>3.5688784799651834</v>
      </c>
      <c r="Z21">
        <f t="shared" si="18"/>
        <v>0.71369557390358906</v>
      </c>
      <c r="AA21">
        <f t="shared" si="19"/>
        <v>-139.45171007033818</v>
      </c>
      <c r="AB21">
        <f t="shared" si="20"/>
        <v>96.634357176263052</v>
      </c>
      <c r="AC21">
        <f t="shared" si="21"/>
        <v>8.5542643119493373</v>
      </c>
      <c r="AD21">
        <f t="shared" si="22"/>
        <v>147.90554841787423</v>
      </c>
      <c r="AE21">
        <f t="shared" si="23"/>
        <v>1.5061881315583348</v>
      </c>
      <c r="AF21">
        <f t="shared" si="24"/>
        <v>3.1621702963795504</v>
      </c>
      <c r="AG21">
        <f t="shared" si="25"/>
        <v>1.5079978763259216</v>
      </c>
      <c r="AH21">
        <v>76.505466098936452</v>
      </c>
      <c r="AI21">
        <v>73.044537575757559</v>
      </c>
      <c r="AJ21">
        <v>8.3307559785775724E-5</v>
      </c>
      <c r="AK21">
        <v>84.102609465128765</v>
      </c>
      <c r="AL21">
        <f t="shared" si="26"/>
        <v>3.1721599346034419</v>
      </c>
      <c r="AM21">
        <v>19.539355053586029</v>
      </c>
      <c r="AN21">
        <v>26.486821052631569</v>
      </c>
      <c r="AO21">
        <v>5.1003059692226994E-6</v>
      </c>
      <c r="AP21">
        <v>90.478574852398836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53981.214708483676</v>
      </c>
      <c r="AV21">
        <f t="shared" si="30"/>
        <v>958.78230000000008</v>
      </c>
      <c r="AW21">
        <f t="shared" si="31"/>
        <v>767.02584000000013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338</v>
      </c>
      <c r="BC21">
        <v>2</v>
      </c>
      <c r="BD21" t="b">
        <v>0</v>
      </c>
      <c r="BE21">
        <v>1752060593.849999</v>
      </c>
      <c r="BF21">
        <v>71.113213333333348</v>
      </c>
      <c r="BG21">
        <v>75.007649999999998</v>
      </c>
      <c r="BH21">
        <v>26.464473333333331</v>
      </c>
      <c r="BI21">
        <v>19.538679999999999</v>
      </c>
      <c r="BJ21">
        <v>72.627880000000005</v>
      </c>
      <c r="BK21">
        <v>26.212873333333331</v>
      </c>
      <c r="BL21">
        <v>400.04610000000002</v>
      </c>
      <c r="BM21">
        <v>102.04713333333331</v>
      </c>
      <c r="BN21">
        <v>9.999692999999997E-2</v>
      </c>
      <c r="BO21">
        <v>26.951029999999999</v>
      </c>
      <c r="BP21">
        <v>26.212720000000001</v>
      </c>
      <c r="BQ21">
        <v>999.9000000000002</v>
      </c>
      <c r="BR21">
        <v>0</v>
      </c>
      <c r="BS21">
        <v>0</v>
      </c>
      <c r="BT21">
        <v>10002.466666666671</v>
      </c>
      <c r="BU21">
        <v>958.78230000000008</v>
      </c>
      <c r="BV21">
        <v>17.047199999999989</v>
      </c>
      <c r="BW21">
        <v>-3.8944393333333331</v>
      </c>
      <c r="BX21">
        <v>73.046350000000004</v>
      </c>
      <c r="BY21">
        <v>76.502409999999998</v>
      </c>
      <c r="BZ21">
        <v>6.9258046666666662</v>
      </c>
      <c r="CA21">
        <v>75.007649999999998</v>
      </c>
      <c r="CB21">
        <v>19.538679999999999</v>
      </c>
      <c r="CC21">
        <v>2.7006246666666671</v>
      </c>
      <c r="CD21">
        <v>1.993865666666667</v>
      </c>
      <c r="CE21">
        <v>22.288920000000001</v>
      </c>
      <c r="CF21">
        <v>17.39571333333333</v>
      </c>
      <c r="CG21">
        <v>1752059650.5999999</v>
      </c>
      <c r="CH21" t="s">
        <v>339</v>
      </c>
      <c r="CI21">
        <v>1752059650.5999999</v>
      </c>
      <c r="CJ21">
        <v>1752059649.0999999</v>
      </c>
      <c r="CK21">
        <v>2</v>
      </c>
      <c r="CL21">
        <v>-0.41</v>
      </c>
      <c r="CM21">
        <v>2.1999999999999999E-2</v>
      </c>
      <c r="CN21">
        <v>1.661</v>
      </c>
      <c r="CO21">
        <v>0.252</v>
      </c>
      <c r="CP21">
        <v>450</v>
      </c>
      <c r="CQ21">
        <v>20</v>
      </c>
      <c r="CR21">
        <v>0.03</v>
      </c>
      <c r="CS21">
        <v>0.01</v>
      </c>
      <c r="CT21">
        <v>-3.8909417500000001</v>
      </c>
      <c r="CU21">
        <v>-9.0614071294543283E-2</v>
      </c>
      <c r="CV21">
        <v>1.9263734436435202E-2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6.9227977500000009</v>
      </c>
      <c r="DC21">
        <v>0.10769302063789001</v>
      </c>
      <c r="DD21">
        <v>1.346895959001655E-2</v>
      </c>
      <c r="DE21">
        <v>0</v>
      </c>
      <c r="DF21">
        <v>1</v>
      </c>
      <c r="DG21">
        <v>2</v>
      </c>
      <c r="DH21" t="s">
        <v>348</v>
      </c>
      <c r="DI21">
        <v>3.02461</v>
      </c>
      <c r="DJ21">
        <v>2.6911800000000001</v>
      </c>
      <c r="DK21">
        <v>2.03529E-2</v>
      </c>
      <c r="DL21">
        <v>2.1093299999999999E-2</v>
      </c>
      <c r="DM21">
        <v>0.128833</v>
      </c>
      <c r="DN21">
        <v>0.10517899999999999</v>
      </c>
      <c r="DO21">
        <v>27261.5</v>
      </c>
      <c r="DP21">
        <v>18031.599999999999</v>
      </c>
      <c r="DQ21">
        <v>26407.1</v>
      </c>
      <c r="DR21">
        <v>16743.099999999999</v>
      </c>
      <c r="DS21">
        <v>32717.599999999999</v>
      </c>
      <c r="DT21">
        <v>19570</v>
      </c>
      <c r="DU21">
        <v>38473</v>
      </c>
      <c r="DV21">
        <v>22188.400000000001</v>
      </c>
      <c r="DW21">
        <v>1.8000799999999999</v>
      </c>
      <c r="DX21">
        <v>2.1811600000000002</v>
      </c>
      <c r="DY21">
        <v>6.08712E-2</v>
      </c>
      <c r="DZ21">
        <v>0</v>
      </c>
      <c r="EA21">
        <v>25.2121</v>
      </c>
      <c r="EB21">
        <v>999.9</v>
      </c>
      <c r="EC21">
        <v>54.8</v>
      </c>
      <c r="ED21">
        <v>33</v>
      </c>
      <c r="EE21">
        <v>27.131799999999998</v>
      </c>
      <c r="EF21">
        <v>62.985500000000002</v>
      </c>
      <c r="EG21">
        <v>34.883800000000001</v>
      </c>
      <c r="EH21">
        <v>1</v>
      </c>
      <c r="EI21">
        <v>8.8853699999999994E-2</v>
      </c>
      <c r="EJ21">
        <v>0.17899799999999999</v>
      </c>
      <c r="EK21">
        <v>20.341799999999999</v>
      </c>
      <c r="EL21">
        <v>5.2520300000000004</v>
      </c>
      <c r="EM21">
        <v>11.962</v>
      </c>
      <c r="EN21">
        <v>4.9897200000000002</v>
      </c>
      <c r="EO21">
        <v>3.29128</v>
      </c>
      <c r="EP21">
        <v>9999</v>
      </c>
      <c r="EQ21">
        <v>9999</v>
      </c>
      <c r="ER21">
        <v>9999</v>
      </c>
      <c r="ES21">
        <v>999.9</v>
      </c>
      <c r="ET21">
        <v>4.9727199999999998</v>
      </c>
      <c r="EU21">
        <v>1.87188</v>
      </c>
      <c r="EV21">
        <v>1.8721099999999999</v>
      </c>
      <c r="EW21">
        <v>1.8771500000000001</v>
      </c>
      <c r="EX21">
        <v>1.87134</v>
      </c>
      <c r="EY21">
        <v>1.8721000000000001</v>
      </c>
      <c r="EZ21">
        <v>1.87175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341</v>
      </c>
      <c r="FG21" t="s">
        <v>342</v>
      </c>
      <c r="FH21" t="s">
        <v>343</v>
      </c>
      <c r="FI21" t="s">
        <v>343</v>
      </c>
      <c r="FJ21" t="s">
        <v>343</v>
      </c>
      <c r="FK21" t="s">
        <v>343</v>
      </c>
      <c r="FL21">
        <v>0</v>
      </c>
      <c r="FM21">
        <v>100</v>
      </c>
      <c r="FN21">
        <v>100</v>
      </c>
      <c r="FO21">
        <v>-1.5149999999999999</v>
      </c>
      <c r="FP21">
        <v>0.25159999999999999</v>
      </c>
      <c r="FQ21">
        <v>-2.081102673305895</v>
      </c>
      <c r="FR21">
        <v>7.6898218637449396E-3</v>
      </c>
      <c r="FS21">
        <v>1.5097418776848419E-6</v>
      </c>
      <c r="FT21">
        <v>-9.8458676114205118E-11</v>
      </c>
      <c r="FU21">
        <v>0.25160476190476189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15.8</v>
      </c>
      <c r="GD21">
        <v>15.9</v>
      </c>
      <c r="GE21">
        <v>0.31372100000000003</v>
      </c>
      <c r="GF21">
        <v>2.6953100000000001</v>
      </c>
      <c r="GG21">
        <v>1.7981</v>
      </c>
      <c r="GH21">
        <v>2.3742700000000001</v>
      </c>
      <c r="GI21">
        <v>1.5979000000000001</v>
      </c>
      <c r="GJ21">
        <v>2.4035600000000001</v>
      </c>
      <c r="GK21">
        <v>36.058199999999999</v>
      </c>
      <c r="GL21">
        <v>24.157499999999999</v>
      </c>
      <c r="GM21">
        <v>18</v>
      </c>
      <c r="GN21">
        <v>369.97699999999998</v>
      </c>
      <c r="GO21">
        <v>672.274</v>
      </c>
      <c r="GP21">
        <v>25.829899999999999</v>
      </c>
      <c r="GQ21">
        <v>28.2576</v>
      </c>
      <c r="GR21">
        <v>30.0001</v>
      </c>
      <c r="GS21">
        <v>28.198399999999999</v>
      </c>
      <c r="GT21">
        <v>28.2258</v>
      </c>
      <c r="GU21">
        <v>6.2394499999999997</v>
      </c>
      <c r="GV21">
        <v>34.012999999999998</v>
      </c>
      <c r="GW21">
        <v>0</v>
      </c>
      <c r="GX21">
        <v>25.83</v>
      </c>
      <c r="GY21">
        <v>75</v>
      </c>
      <c r="GZ21">
        <v>19.5</v>
      </c>
      <c r="HA21">
        <v>100.351</v>
      </c>
      <c r="HB21">
        <v>69.256900000000002</v>
      </c>
    </row>
    <row r="22" spans="1:210" x14ac:dyDescent="0.3">
      <c r="A22">
        <v>6</v>
      </c>
      <c r="B22">
        <v>1752060782.0999999</v>
      </c>
      <c r="C22">
        <v>902.5</v>
      </c>
      <c r="D22" t="s">
        <v>353</v>
      </c>
      <c r="E22" t="s">
        <v>354</v>
      </c>
      <c r="F22">
        <v>15</v>
      </c>
      <c r="G22">
        <v>1752060774.349999</v>
      </c>
      <c r="H22">
        <f t="shared" si="0"/>
        <v>3.2531297374570997E-3</v>
      </c>
      <c r="I22">
        <f t="shared" si="1"/>
        <v>3.2531297374570998</v>
      </c>
      <c r="J22">
        <f t="shared" si="2"/>
        <v>20.091418355530287</v>
      </c>
      <c r="K22">
        <f t="shared" si="3"/>
        <v>401.8642333333334</v>
      </c>
      <c r="L22">
        <f t="shared" si="4"/>
        <v>330.83826779065328</v>
      </c>
      <c r="M22">
        <f t="shared" si="5"/>
        <v>33.793217456967611</v>
      </c>
      <c r="N22">
        <f t="shared" si="6"/>
        <v>41.048109446045686</v>
      </c>
      <c r="O22">
        <f t="shared" si="7"/>
        <v>0.56191176749173</v>
      </c>
      <c r="P22">
        <f t="shared" si="8"/>
        <v>2.4281307885229553</v>
      </c>
      <c r="Q22">
        <f t="shared" si="9"/>
        <v>0.46804956314521828</v>
      </c>
      <c r="R22">
        <f t="shared" si="10"/>
        <v>0.29965388489226275</v>
      </c>
      <c r="S22">
        <f t="shared" si="11"/>
        <v>182.127882</v>
      </c>
      <c r="T22">
        <f t="shared" si="12"/>
        <v>27.214121765215012</v>
      </c>
      <c r="U22">
        <f t="shared" si="13"/>
        <v>26.191739999999999</v>
      </c>
      <c r="V22">
        <f t="shared" si="14"/>
        <v>3.4127326109651732</v>
      </c>
      <c r="W22">
        <f t="shared" si="15"/>
        <v>76.36644585922086</v>
      </c>
      <c r="X22">
        <f t="shared" si="16"/>
        <v>2.7241166010326294</v>
      </c>
      <c r="Y22">
        <f t="shared" si="17"/>
        <v>3.5671643093806575</v>
      </c>
      <c r="Z22">
        <f t="shared" si="18"/>
        <v>0.68861600993254379</v>
      </c>
      <c r="AA22">
        <f t="shared" si="19"/>
        <v>-143.46302142185809</v>
      </c>
      <c r="AB22">
        <f t="shared" si="20"/>
        <v>98.324781634075507</v>
      </c>
      <c r="AC22">
        <f t="shared" si="21"/>
        <v>8.7013373404519534</v>
      </c>
      <c r="AD22">
        <f t="shared" si="22"/>
        <v>145.69097955266938</v>
      </c>
      <c r="AE22">
        <f t="shared" si="23"/>
        <v>20.091418355530287</v>
      </c>
      <c r="AF22">
        <f t="shared" si="24"/>
        <v>3.2531297374570998</v>
      </c>
      <c r="AG22">
        <f t="shared" si="25"/>
        <v>20.06298720875748</v>
      </c>
      <c r="AH22">
        <v>458.94975578084558</v>
      </c>
      <c r="AI22">
        <v>412.90521212121189</v>
      </c>
      <c r="AJ22">
        <v>2.48433272325654E-4</v>
      </c>
      <c r="AK22">
        <v>84.102609465128765</v>
      </c>
      <c r="AL22">
        <f t="shared" si="26"/>
        <v>3.2513322336040744</v>
      </c>
      <c r="AM22">
        <v>19.543066207499241</v>
      </c>
      <c r="AN22">
        <v>26.66363819548873</v>
      </c>
      <c r="AO22">
        <v>-7.6077317148637814E-7</v>
      </c>
      <c r="AP22">
        <v>90.478574852398836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53994.763845682726</v>
      </c>
      <c r="AV22">
        <f t="shared" si="30"/>
        <v>958.56780000000003</v>
      </c>
      <c r="AW22">
        <f t="shared" si="31"/>
        <v>766.85424000000012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338</v>
      </c>
      <c r="BC22">
        <v>2</v>
      </c>
      <c r="BD22" t="b">
        <v>0</v>
      </c>
      <c r="BE22">
        <v>1752060774.349999</v>
      </c>
      <c r="BF22">
        <v>401.8642333333334</v>
      </c>
      <c r="BG22">
        <v>450.01223333333331</v>
      </c>
      <c r="BH22">
        <v>26.66931666666666</v>
      </c>
      <c r="BI22">
        <v>19.544856666666671</v>
      </c>
      <c r="BJ22">
        <v>400.62869999999998</v>
      </c>
      <c r="BK22">
        <v>26.41771666666666</v>
      </c>
      <c r="BL22">
        <v>399.99296666666669</v>
      </c>
      <c r="BM22">
        <v>102.0442</v>
      </c>
      <c r="BN22">
        <v>0.1000219566666667</v>
      </c>
      <c r="BO22">
        <v>26.942853333333328</v>
      </c>
      <c r="BP22">
        <v>26.191739999999999</v>
      </c>
      <c r="BQ22">
        <v>999.9000000000002</v>
      </c>
      <c r="BR22">
        <v>0</v>
      </c>
      <c r="BS22">
        <v>0</v>
      </c>
      <c r="BT22">
        <v>10005.1</v>
      </c>
      <c r="BU22">
        <v>958.56780000000003</v>
      </c>
      <c r="BV22">
        <v>17.047199999999989</v>
      </c>
      <c r="BW22">
        <v>-48.147979999999997</v>
      </c>
      <c r="BX22">
        <v>412.87529999999992</v>
      </c>
      <c r="BY22">
        <v>458.98293333333328</v>
      </c>
      <c r="BZ22">
        <v>7.1244706666666664</v>
      </c>
      <c r="CA22">
        <v>450.01223333333331</v>
      </c>
      <c r="CB22">
        <v>19.544856666666671</v>
      </c>
      <c r="CC22">
        <v>2.7214490000000011</v>
      </c>
      <c r="CD22">
        <v>1.994437</v>
      </c>
      <c r="CE22">
        <v>22.415199999999999</v>
      </c>
      <c r="CF22">
        <v>17.400253333333339</v>
      </c>
      <c r="CG22">
        <v>1752059650.5999999</v>
      </c>
      <c r="CH22" t="s">
        <v>339</v>
      </c>
      <c r="CI22">
        <v>1752059650.5999999</v>
      </c>
      <c r="CJ22">
        <v>1752059649.0999999</v>
      </c>
      <c r="CK22">
        <v>2</v>
      </c>
      <c r="CL22">
        <v>-0.41</v>
      </c>
      <c r="CM22">
        <v>2.1999999999999999E-2</v>
      </c>
      <c r="CN22">
        <v>1.661</v>
      </c>
      <c r="CO22">
        <v>0.252</v>
      </c>
      <c r="CP22">
        <v>450</v>
      </c>
      <c r="CQ22">
        <v>20</v>
      </c>
      <c r="CR22">
        <v>0.03</v>
      </c>
      <c r="CS22">
        <v>0.01</v>
      </c>
      <c r="CT22">
        <v>-48.1626975</v>
      </c>
      <c r="CU22">
        <v>0.36270056285195551</v>
      </c>
      <c r="CV22">
        <v>3.9270685552330112E-2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7.1261227500000004</v>
      </c>
      <c r="DC22">
        <v>-3.1925065666047268E-2</v>
      </c>
      <c r="DD22">
        <v>3.3279047368426429E-3</v>
      </c>
      <c r="DE22">
        <v>1</v>
      </c>
      <c r="DF22">
        <v>2</v>
      </c>
      <c r="DG22">
        <v>2</v>
      </c>
      <c r="DH22" t="s">
        <v>340</v>
      </c>
      <c r="DI22">
        <v>3.0244599999999999</v>
      </c>
      <c r="DJ22">
        <v>2.69129</v>
      </c>
      <c r="DK22">
        <v>9.3975799999999998E-2</v>
      </c>
      <c r="DL22">
        <v>0.10305300000000001</v>
      </c>
      <c r="DM22">
        <v>0.12941900000000001</v>
      </c>
      <c r="DN22">
        <v>0.105199</v>
      </c>
      <c r="DO22">
        <v>25213.7</v>
      </c>
      <c r="DP22">
        <v>16521.5</v>
      </c>
      <c r="DQ22">
        <v>26407.8</v>
      </c>
      <c r="DR22">
        <v>16742.5</v>
      </c>
      <c r="DS22">
        <v>32697.7</v>
      </c>
      <c r="DT22">
        <v>19570.2</v>
      </c>
      <c r="DU22">
        <v>38473.9</v>
      </c>
      <c r="DV22">
        <v>22187.8</v>
      </c>
      <c r="DW22">
        <v>1.8005800000000001</v>
      </c>
      <c r="DX22">
        <v>2.1818200000000001</v>
      </c>
      <c r="DY22">
        <v>5.9142699999999999E-2</v>
      </c>
      <c r="DZ22">
        <v>0</v>
      </c>
      <c r="EA22">
        <v>25.2182</v>
      </c>
      <c r="EB22">
        <v>999.9</v>
      </c>
      <c r="EC22">
        <v>54.8</v>
      </c>
      <c r="ED22">
        <v>33</v>
      </c>
      <c r="EE22">
        <v>27.127700000000001</v>
      </c>
      <c r="EF22">
        <v>62.705500000000001</v>
      </c>
      <c r="EG22">
        <v>34.671500000000002</v>
      </c>
      <c r="EH22">
        <v>1</v>
      </c>
      <c r="EI22">
        <v>8.8888200000000001E-2</v>
      </c>
      <c r="EJ22">
        <v>0.18441199999999999</v>
      </c>
      <c r="EK22">
        <v>20.341899999999999</v>
      </c>
      <c r="EL22">
        <v>5.25143</v>
      </c>
      <c r="EM22">
        <v>11.962</v>
      </c>
      <c r="EN22">
        <v>4.9896799999999999</v>
      </c>
      <c r="EO22">
        <v>3.29128</v>
      </c>
      <c r="EP22">
        <v>9999</v>
      </c>
      <c r="EQ22">
        <v>9999</v>
      </c>
      <c r="ER22">
        <v>9999</v>
      </c>
      <c r="ES22">
        <v>999.9</v>
      </c>
      <c r="ET22">
        <v>4.9727199999999998</v>
      </c>
      <c r="EU22">
        <v>1.8718999999999999</v>
      </c>
      <c r="EV22">
        <v>1.8721099999999999</v>
      </c>
      <c r="EW22">
        <v>1.87714</v>
      </c>
      <c r="EX22">
        <v>1.87134</v>
      </c>
      <c r="EY22">
        <v>1.8721000000000001</v>
      </c>
      <c r="EZ22">
        <v>1.8717900000000001</v>
      </c>
      <c r="FA22">
        <v>1.86873</v>
      </c>
      <c r="FB22">
        <v>0</v>
      </c>
      <c r="FC22">
        <v>0</v>
      </c>
      <c r="FD22">
        <v>0</v>
      </c>
      <c r="FE22">
        <v>0</v>
      </c>
      <c r="FF22" t="s">
        <v>341</v>
      </c>
      <c r="FG22" t="s">
        <v>342</v>
      </c>
      <c r="FH22" t="s">
        <v>343</v>
      </c>
      <c r="FI22" t="s">
        <v>343</v>
      </c>
      <c r="FJ22" t="s">
        <v>343</v>
      </c>
      <c r="FK22" t="s">
        <v>343</v>
      </c>
      <c r="FL22">
        <v>0</v>
      </c>
      <c r="FM22">
        <v>100</v>
      </c>
      <c r="FN22">
        <v>100</v>
      </c>
      <c r="FO22">
        <v>1.236</v>
      </c>
      <c r="FP22">
        <v>0.25159999999999999</v>
      </c>
      <c r="FQ22">
        <v>-2.081102673305895</v>
      </c>
      <c r="FR22">
        <v>7.6898218637449396E-3</v>
      </c>
      <c r="FS22">
        <v>1.5097418776848419E-6</v>
      </c>
      <c r="FT22">
        <v>-9.8458676114205118E-11</v>
      </c>
      <c r="FU22">
        <v>0.25160476190476189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18.899999999999999</v>
      </c>
      <c r="GD22">
        <v>18.899999999999999</v>
      </c>
      <c r="GE22">
        <v>1.1084000000000001</v>
      </c>
      <c r="GF22">
        <v>2.63184</v>
      </c>
      <c r="GG22">
        <v>1.7981</v>
      </c>
      <c r="GH22">
        <v>2.3742700000000001</v>
      </c>
      <c r="GI22">
        <v>1.5979000000000001</v>
      </c>
      <c r="GJ22">
        <v>2.5439500000000002</v>
      </c>
      <c r="GK22">
        <v>36.058199999999999</v>
      </c>
      <c r="GL22">
        <v>24.1663</v>
      </c>
      <c r="GM22">
        <v>18</v>
      </c>
      <c r="GN22">
        <v>370.25299999999999</v>
      </c>
      <c r="GO22">
        <v>672.90499999999997</v>
      </c>
      <c r="GP22">
        <v>25.830100000000002</v>
      </c>
      <c r="GQ22">
        <v>28.26</v>
      </c>
      <c r="GR22">
        <v>30.0001</v>
      </c>
      <c r="GS22">
        <v>28.200800000000001</v>
      </c>
      <c r="GT22">
        <v>28.2303</v>
      </c>
      <c r="GU22">
        <v>22.147099999999998</v>
      </c>
      <c r="GV22">
        <v>34.288600000000002</v>
      </c>
      <c r="GW22">
        <v>0</v>
      </c>
      <c r="GX22">
        <v>25.83</v>
      </c>
      <c r="GY22">
        <v>450</v>
      </c>
      <c r="GZ22">
        <v>19.5</v>
      </c>
      <c r="HA22">
        <v>100.35299999999999</v>
      </c>
      <c r="HB22">
        <v>69.2547</v>
      </c>
    </row>
    <row r="23" spans="1:210" x14ac:dyDescent="0.3">
      <c r="A23">
        <v>7</v>
      </c>
      <c r="B23">
        <v>1752060962.5999999</v>
      </c>
      <c r="C23">
        <v>1083</v>
      </c>
      <c r="D23" t="s">
        <v>355</v>
      </c>
      <c r="E23" t="s">
        <v>356</v>
      </c>
      <c r="F23">
        <v>15</v>
      </c>
      <c r="G23">
        <v>1752060954.849999</v>
      </c>
      <c r="H23">
        <f t="shared" si="0"/>
        <v>2.9155953757787744E-3</v>
      </c>
      <c r="I23">
        <f t="shared" si="1"/>
        <v>2.9155953757787745</v>
      </c>
      <c r="J23">
        <f t="shared" si="2"/>
        <v>19.70489560343686</v>
      </c>
      <c r="K23">
        <f t="shared" si="3"/>
        <v>403.01933333333352</v>
      </c>
      <c r="L23">
        <f t="shared" si="4"/>
        <v>316.30965034787562</v>
      </c>
      <c r="M23">
        <f t="shared" si="5"/>
        <v>32.308361771695147</v>
      </c>
      <c r="N23">
        <f t="shared" si="6"/>
        <v>41.165024234955936</v>
      </c>
      <c r="O23">
        <f t="shared" si="7"/>
        <v>0.43395572310478109</v>
      </c>
      <c r="P23">
        <f t="shared" si="8"/>
        <v>2.4273126605119288</v>
      </c>
      <c r="Q23">
        <f t="shared" si="9"/>
        <v>0.37560849791030732</v>
      </c>
      <c r="R23">
        <f t="shared" si="10"/>
        <v>0.2393450306600674</v>
      </c>
      <c r="S23">
        <f t="shared" si="11"/>
        <v>182.10568366666666</v>
      </c>
      <c r="T23">
        <f t="shared" si="12"/>
        <v>27.333830968132759</v>
      </c>
      <c r="U23">
        <f t="shared" si="13"/>
        <v>26.21575</v>
      </c>
      <c r="V23">
        <f t="shared" si="14"/>
        <v>3.4175772966123259</v>
      </c>
      <c r="W23">
        <f t="shared" si="15"/>
        <v>74.173233340501469</v>
      </c>
      <c r="X23">
        <f t="shared" si="16"/>
        <v>2.6482637734891288</v>
      </c>
      <c r="Y23">
        <f t="shared" si="17"/>
        <v>3.5703766092168912</v>
      </c>
      <c r="Z23">
        <f t="shared" si="18"/>
        <v>0.76931352312319712</v>
      </c>
      <c r="AA23">
        <f t="shared" si="19"/>
        <v>-128.57775607184396</v>
      </c>
      <c r="AB23">
        <f t="shared" si="20"/>
        <v>97.154467815843958</v>
      </c>
      <c r="AC23">
        <f t="shared" si="21"/>
        <v>8.602360846875774</v>
      </c>
      <c r="AD23">
        <f t="shared" si="22"/>
        <v>159.28475625754243</v>
      </c>
      <c r="AE23">
        <f t="shared" si="23"/>
        <v>19.70489560343686</v>
      </c>
      <c r="AF23">
        <f t="shared" si="24"/>
        <v>2.9155953757787745</v>
      </c>
      <c r="AG23">
        <f t="shared" si="25"/>
        <v>19.721605812979035</v>
      </c>
      <c r="AH23">
        <v>459.01712755502717</v>
      </c>
      <c r="AI23">
        <v>413.75940606060612</v>
      </c>
      <c r="AJ23">
        <v>-9.1801702618411692E-5</v>
      </c>
      <c r="AK23">
        <v>84.102609465128765</v>
      </c>
      <c r="AL23">
        <f t="shared" si="26"/>
        <v>2.9060595432369039</v>
      </c>
      <c r="AM23">
        <v>19.535072359567469</v>
      </c>
      <c r="AN23">
        <v>25.90602015037592</v>
      </c>
      <c r="AO23">
        <v>-1.7379276105066111E-4</v>
      </c>
      <c r="AP23">
        <v>90.478574852398836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53964.494344352621</v>
      </c>
      <c r="AV23">
        <f t="shared" si="30"/>
        <v>958.45096666666666</v>
      </c>
      <c r="AW23">
        <f t="shared" si="31"/>
        <v>766.76077333333342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338</v>
      </c>
      <c r="BC23">
        <v>2</v>
      </c>
      <c r="BD23" t="b">
        <v>0</v>
      </c>
      <c r="BE23">
        <v>1752060954.849999</v>
      </c>
      <c r="BF23">
        <v>403.01933333333352</v>
      </c>
      <c r="BG23">
        <v>449.99989999999991</v>
      </c>
      <c r="BH23">
        <v>25.927386666666671</v>
      </c>
      <c r="BI23">
        <v>19.53728666666666</v>
      </c>
      <c r="BJ23">
        <v>401.77366666666671</v>
      </c>
      <c r="BK23">
        <v>25.675783333333339</v>
      </c>
      <c r="BL23">
        <v>399.99396666666672</v>
      </c>
      <c r="BM23">
        <v>102.0416</v>
      </c>
      <c r="BN23">
        <v>9.9962030000000007E-2</v>
      </c>
      <c r="BO23">
        <v>26.958173333333342</v>
      </c>
      <c r="BP23">
        <v>26.21575</v>
      </c>
      <c r="BQ23">
        <v>999.9000000000002</v>
      </c>
      <c r="BR23">
        <v>0</v>
      </c>
      <c r="BS23">
        <v>0</v>
      </c>
      <c r="BT23">
        <v>10000.049999999999</v>
      </c>
      <c r="BU23">
        <v>958.45096666666666</v>
      </c>
      <c r="BV23">
        <v>17.047199999999989</v>
      </c>
      <c r="BW23">
        <v>-46.980550000000001</v>
      </c>
      <c r="BX23">
        <v>413.74669999999998</v>
      </c>
      <c r="BY23">
        <v>458.96690000000001</v>
      </c>
      <c r="BZ23">
        <v>6.3900980000000027</v>
      </c>
      <c r="CA23">
        <v>449.99989999999991</v>
      </c>
      <c r="CB23">
        <v>19.53728666666666</v>
      </c>
      <c r="CC23">
        <v>2.6456703333333329</v>
      </c>
      <c r="CD23">
        <v>1.9936149999999999</v>
      </c>
      <c r="CE23">
        <v>21.951509999999999</v>
      </c>
      <c r="CF23">
        <v>17.393713333333331</v>
      </c>
      <c r="CG23">
        <v>1752059650.5999999</v>
      </c>
      <c r="CH23" t="s">
        <v>339</v>
      </c>
      <c r="CI23">
        <v>1752059650.5999999</v>
      </c>
      <c r="CJ23">
        <v>1752059649.0999999</v>
      </c>
      <c r="CK23">
        <v>2</v>
      </c>
      <c r="CL23">
        <v>-0.41</v>
      </c>
      <c r="CM23">
        <v>2.1999999999999999E-2</v>
      </c>
      <c r="CN23">
        <v>1.661</v>
      </c>
      <c r="CO23">
        <v>0.252</v>
      </c>
      <c r="CP23">
        <v>450</v>
      </c>
      <c r="CQ23">
        <v>20</v>
      </c>
      <c r="CR23">
        <v>0.03</v>
      </c>
      <c r="CS23">
        <v>0.01</v>
      </c>
      <c r="CT23">
        <v>-46.986597500000002</v>
      </c>
      <c r="CU23">
        <v>0.15250469043152479</v>
      </c>
      <c r="CV23">
        <v>3.8805872542052117E-2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6.4006185000000002</v>
      </c>
      <c r="DC23">
        <v>-0.18022176360225961</v>
      </c>
      <c r="DD23">
        <v>1.735827418696919E-2</v>
      </c>
      <c r="DE23">
        <v>0</v>
      </c>
      <c r="DF23">
        <v>1</v>
      </c>
      <c r="DG23">
        <v>2</v>
      </c>
      <c r="DH23" t="s">
        <v>348</v>
      </c>
      <c r="DI23">
        <v>3.0244</v>
      </c>
      <c r="DJ23">
        <v>2.69136</v>
      </c>
      <c r="DK23">
        <v>9.4167299999999995E-2</v>
      </c>
      <c r="DL23">
        <v>0.10305</v>
      </c>
      <c r="DM23">
        <v>0.126834</v>
      </c>
      <c r="DN23">
        <v>0.105166</v>
      </c>
      <c r="DO23">
        <v>25207.8</v>
      </c>
      <c r="DP23">
        <v>16521.400000000001</v>
      </c>
      <c r="DQ23">
        <v>26407.200000000001</v>
      </c>
      <c r="DR23">
        <v>16742.400000000001</v>
      </c>
      <c r="DS23">
        <v>32796.5</v>
      </c>
      <c r="DT23">
        <v>19570.7</v>
      </c>
      <c r="DU23">
        <v>38473.199999999997</v>
      </c>
      <c r="DV23">
        <v>22187.5</v>
      </c>
      <c r="DW23">
        <v>1.79948</v>
      </c>
      <c r="DX23">
        <v>2.1817799999999998</v>
      </c>
      <c r="DY23">
        <v>6.0027799999999999E-2</v>
      </c>
      <c r="DZ23">
        <v>0</v>
      </c>
      <c r="EA23">
        <v>25.230499999999999</v>
      </c>
      <c r="EB23">
        <v>999.9</v>
      </c>
      <c r="EC23">
        <v>54.8</v>
      </c>
      <c r="ED23">
        <v>33</v>
      </c>
      <c r="EE23">
        <v>27.132300000000001</v>
      </c>
      <c r="EF23">
        <v>63.035499999999999</v>
      </c>
      <c r="EG23">
        <v>34.7316</v>
      </c>
      <c r="EH23">
        <v>1</v>
      </c>
      <c r="EI23">
        <v>8.9493900000000001E-2</v>
      </c>
      <c r="EJ23">
        <v>0.18701499999999999</v>
      </c>
      <c r="EK23">
        <v>20.3415</v>
      </c>
      <c r="EL23">
        <v>5.2497600000000002</v>
      </c>
      <c r="EM23">
        <v>11.962</v>
      </c>
      <c r="EN23">
        <v>4.9897200000000002</v>
      </c>
      <c r="EO23">
        <v>3.2913999999999999</v>
      </c>
      <c r="EP23">
        <v>9999</v>
      </c>
      <c r="EQ23">
        <v>9999</v>
      </c>
      <c r="ER23">
        <v>9999</v>
      </c>
      <c r="ES23">
        <v>999.9</v>
      </c>
      <c r="ET23">
        <v>4.9726900000000001</v>
      </c>
      <c r="EU23">
        <v>1.87185</v>
      </c>
      <c r="EV23">
        <v>1.8721000000000001</v>
      </c>
      <c r="EW23">
        <v>1.8771500000000001</v>
      </c>
      <c r="EX23">
        <v>1.87134</v>
      </c>
      <c r="EY23">
        <v>1.8721000000000001</v>
      </c>
      <c r="EZ23">
        <v>1.87175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341</v>
      </c>
      <c r="FG23" t="s">
        <v>342</v>
      </c>
      <c r="FH23" t="s">
        <v>343</v>
      </c>
      <c r="FI23" t="s">
        <v>343</v>
      </c>
      <c r="FJ23" t="s">
        <v>343</v>
      </c>
      <c r="FK23" t="s">
        <v>343</v>
      </c>
      <c r="FL23">
        <v>0</v>
      </c>
      <c r="FM23">
        <v>100</v>
      </c>
      <c r="FN23">
        <v>100</v>
      </c>
      <c r="FO23">
        <v>1.246</v>
      </c>
      <c r="FP23">
        <v>0.25159999999999999</v>
      </c>
      <c r="FQ23">
        <v>-2.081102673305895</v>
      </c>
      <c r="FR23">
        <v>7.6898218637449396E-3</v>
      </c>
      <c r="FS23">
        <v>1.5097418776848419E-6</v>
      </c>
      <c r="FT23">
        <v>-9.8458676114205118E-11</v>
      </c>
      <c r="FU23">
        <v>0.25160476190476189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21.9</v>
      </c>
      <c r="GD23">
        <v>21.9</v>
      </c>
      <c r="GE23">
        <v>1.1084000000000001</v>
      </c>
      <c r="GF23">
        <v>2.64771</v>
      </c>
      <c r="GG23">
        <v>1.7981</v>
      </c>
      <c r="GH23">
        <v>2.3742700000000001</v>
      </c>
      <c r="GI23">
        <v>1.5979000000000001</v>
      </c>
      <c r="GJ23">
        <v>2.5280800000000001</v>
      </c>
      <c r="GK23">
        <v>36.081600000000002</v>
      </c>
      <c r="GL23">
        <v>24.1663</v>
      </c>
      <c r="GM23">
        <v>18</v>
      </c>
      <c r="GN23">
        <v>369.71300000000002</v>
      </c>
      <c r="GO23">
        <v>672.93100000000004</v>
      </c>
      <c r="GP23">
        <v>25.829899999999999</v>
      </c>
      <c r="GQ23">
        <v>28.2684</v>
      </c>
      <c r="GR23">
        <v>30.0001</v>
      </c>
      <c r="GS23">
        <v>28.2056</v>
      </c>
      <c r="GT23">
        <v>28.235099999999999</v>
      </c>
      <c r="GU23">
        <v>22.142700000000001</v>
      </c>
      <c r="GV23">
        <v>34.288600000000002</v>
      </c>
      <c r="GW23">
        <v>0</v>
      </c>
      <c r="GX23">
        <v>25.83</v>
      </c>
      <c r="GY23">
        <v>450</v>
      </c>
      <c r="GZ23">
        <v>19.5</v>
      </c>
      <c r="HA23">
        <v>100.351</v>
      </c>
      <c r="HB23">
        <v>69.254000000000005</v>
      </c>
    </row>
    <row r="24" spans="1:210" x14ac:dyDescent="0.3">
      <c r="A24">
        <v>8</v>
      </c>
      <c r="B24">
        <v>1752061143.5</v>
      </c>
      <c r="C24">
        <v>1263.900000095367</v>
      </c>
      <c r="D24" t="s">
        <v>357</v>
      </c>
      <c r="E24" t="s">
        <v>358</v>
      </c>
      <c r="F24">
        <v>15</v>
      </c>
      <c r="G24">
        <v>1752061135.75</v>
      </c>
      <c r="H24">
        <f t="shared" si="0"/>
        <v>2.8474147877404405E-3</v>
      </c>
      <c r="I24">
        <f t="shared" si="1"/>
        <v>2.8474147877404405</v>
      </c>
      <c r="J24">
        <f t="shared" si="2"/>
        <v>19.823194944096901</v>
      </c>
      <c r="K24">
        <f t="shared" si="3"/>
        <v>402.82826666666671</v>
      </c>
      <c r="L24">
        <f t="shared" si="4"/>
        <v>311.61002291323422</v>
      </c>
      <c r="M24">
        <f t="shared" si="5"/>
        <v>31.827647234888499</v>
      </c>
      <c r="N24">
        <f t="shared" si="6"/>
        <v>41.144619957485148</v>
      </c>
      <c r="O24">
        <f t="shared" si="7"/>
        <v>0.41177728692533433</v>
      </c>
      <c r="P24">
        <f t="shared" si="8"/>
        <v>2.4265528859471437</v>
      </c>
      <c r="Q24">
        <f t="shared" si="9"/>
        <v>0.35884226841243716</v>
      </c>
      <c r="R24">
        <f t="shared" si="10"/>
        <v>0.22846686322714449</v>
      </c>
      <c r="S24">
        <f t="shared" si="11"/>
        <v>182.11690000000002</v>
      </c>
      <c r="T24">
        <f t="shared" si="12"/>
        <v>27.357017905530135</v>
      </c>
      <c r="U24">
        <f t="shared" si="13"/>
        <v>26.221726666666669</v>
      </c>
      <c r="V24">
        <f t="shared" si="14"/>
        <v>3.4187841886225216</v>
      </c>
      <c r="W24">
        <f t="shared" si="15"/>
        <v>73.718356666052657</v>
      </c>
      <c r="X24">
        <f t="shared" si="16"/>
        <v>2.6323157500643344</v>
      </c>
      <c r="Y24">
        <f t="shared" si="17"/>
        <v>3.5707737788958571</v>
      </c>
      <c r="Z24">
        <f t="shared" si="18"/>
        <v>0.78646843855818727</v>
      </c>
      <c r="AA24">
        <f t="shared" si="19"/>
        <v>-125.57099213935342</v>
      </c>
      <c r="AB24">
        <f t="shared" si="20"/>
        <v>96.589874468664391</v>
      </c>
      <c r="AC24">
        <f t="shared" si="21"/>
        <v>8.5553847695362784</v>
      </c>
      <c r="AD24">
        <f t="shared" si="22"/>
        <v>161.69116709884727</v>
      </c>
      <c r="AE24">
        <f t="shared" si="23"/>
        <v>19.823194944096901</v>
      </c>
      <c r="AF24">
        <f t="shared" si="24"/>
        <v>2.8474147877404405</v>
      </c>
      <c r="AG24">
        <f t="shared" si="25"/>
        <v>19.820810664223085</v>
      </c>
      <c r="AH24">
        <v>458.97318748840962</v>
      </c>
      <c r="AI24">
        <v>413.49748484848482</v>
      </c>
      <c r="AJ24">
        <v>-1.042491919744315E-3</v>
      </c>
      <c r="AK24">
        <v>84.102609465128765</v>
      </c>
      <c r="AL24">
        <f t="shared" si="26"/>
        <v>2.8459202081403197</v>
      </c>
      <c r="AM24">
        <v>19.53121637438603</v>
      </c>
      <c r="AN24">
        <v>25.76949458646617</v>
      </c>
      <c r="AO24">
        <v>-3.9108507849801767E-6</v>
      </c>
      <c r="AP24">
        <v>90.478574852398836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53938.609920773713</v>
      </c>
      <c r="AV24">
        <f t="shared" si="30"/>
        <v>958.5100000000001</v>
      </c>
      <c r="AW24">
        <f t="shared" si="31"/>
        <v>766.80800000000011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338</v>
      </c>
      <c r="BC24">
        <v>2</v>
      </c>
      <c r="BD24" t="b">
        <v>0</v>
      </c>
      <c r="BE24">
        <v>1752061135.75</v>
      </c>
      <c r="BF24">
        <v>402.82826666666671</v>
      </c>
      <c r="BG24">
        <v>450.01073333333329</v>
      </c>
      <c r="BH24">
        <v>25.77180666666667</v>
      </c>
      <c r="BI24">
        <v>19.53030333333334</v>
      </c>
      <c r="BJ24">
        <v>401.5841333333334</v>
      </c>
      <c r="BK24">
        <v>25.520199999999999</v>
      </c>
      <c r="BL24">
        <v>400.00436666666673</v>
      </c>
      <c r="BM24">
        <v>102.0393</v>
      </c>
      <c r="BN24">
        <v>0.10005654999999999</v>
      </c>
      <c r="BO24">
        <v>26.96006666666667</v>
      </c>
      <c r="BP24">
        <v>26.221726666666669</v>
      </c>
      <c r="BQ24">
        <v>999.9000000000002</v>
      </c>
      <c r="BR24">
        <v>0</v>
      </c>
      <c r="BS24">
        <v>0</v>
      </c>
      <c r="BT24">
        <v>9995.35</v>
      </c>
      <c r="BU24">
        <v>958.5100000000001</v>
      </c>
      <c r="BV24">
        <v>17.047199999999989</v>
      </c>
      <c r="BW24">
        <v>-47.182490000000001</v>
      </c>
      <c r="BX24">
        <v>413.48446666666672</v>
      </c>
      <c r="BY24">
        <v>458.97456666666659</v>
      </c>
      <c r="BZ24">
        <v>6.2415043333333342</v>
      </c>
      <c r="CA24">
        <v>450.01073333333329</v>
      </c>
      <c r="CB24">
        <v>19.53030333333334</v>
      </c>
      <c r="CC24">
        <v>2.6297350000000002</v>
      </c>
      <c r="CD24">
        <v>1.9928570000000001</v>
      </c>
      <c r="CE24">
        <v>21.852533333333341</v>
      </c>
      <c r="CF24">
        <v>17.387706666666659</v>
      </c>
      <c r="CG24">
        <v>1752059650.5999999</v>
      </c>
      <c r="CH24" t="s">
        <v>339</v>
      </c>
      <c r="CI24">
        <v>1752059650.5999999</v>
      </c>
      <c r="CJ24">
        <v>1752059649.0999999</v>
      </c>
      <c r="CK24">
        <v>2</v>
      </c>
      <c r="CL24">
        <v>-0.41</v>
      </c>
      <c r="CM24">
        <v>2.1999999999999999E-2</v>
      </c>
      <c r="CN24">
        <v>1.661</v>
      </c>
      <c r="CO24">
        <v>0.252</v>
      </c>
      <c r="CP24">
        <v>450</v>
      </c>
      <c r="CQ24">
        <v>20</v>
      </c>
      <c r="CR24">
        <v>0.03</v>
      </c>
      <c r="CS24">
        <v>0.01</v>
      </c>
      <c r="CT24">
        <v>-47.159285365853663</v>
      </c>
      <c r="CU24">
        <v>-0.22341533101044109</v>
      </c>
      <c r="CV24">
        <v>5.0010406531555543E-2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6.2419760975609764</v>
      </c>
      <c r="DC24">
        <v>-1.127916376306024E-2</v>
      </c>
      <c r="DD24">
        <v>1.586651448727815E-3</v>
      </c>
      <c r="DE24">
        <v>1</v>
      </c>
      <c r="DF24">
        <v>2</v>
      </c>
      <c r="DG24">
        <v>2</v>
      </c>
      <c r="DH24" t="s">
        <v>340</v>
      </c>
      <c r="DI24">
        <v>3.02454</v>
      </c>
      <c r="DJ24">
        <v>2.6913499999999999</v>
      </c>
      <c r="DK24">
        <v>9.4130699999999998E-2</v>
      </c>
      <c r="DL24">
        <v>0.103063</v>
      </c>
      <c r="DM24">
        <v>0.12636900000000001</v>
      </c>
      <c r="DN24">
        <v>0.10513400000000001</v>
      </c>
      <c r="DO24">
        <v>25208.799999999999</v>
      </c>
      <c r="DP24">
        <v>16521.7</v>
      </c>
      <c r="DQ24">
        <v>26407.200000000001</v>
      </c>
      <c r="DR24">
        <v>16742.900000000001</v>
      </c>
      <c r="DS24">
        <v>32814.1</v>
      </c>
      <c r="DT24">
        <v>19571.900000000001</v>
      </c>
      <c r="DU24">
        <v>38473</v>
      </c>
      <c r="DV24">
        <v>22188.1</v>
      </c>
      <c r="DW24">
        <v>1.7996799999999999</v>
      </c>
      <c r="DX24">
        <v>2.1816</v>
      </c>
      <c r="DY24">
        <v>6.2525300000000006E-2</v>
      </c>
      <c r="DZ24">
        <v>0</v>
      </c>
      <c r="EA24">
        <v>25.199000000000002</v>
      </c>
      <c r="EB24">
        <v>999.9</v>
      </c>
      <c r="EC24">
        <v>54.8</v>
      </c>
      <c r="ED24">
        <v>33</v>
      </c>
      <c r="EE24">
        <v>27.132899999999999</v>
      </c>
      <c r="EF24">
        <v>62.7256</v>
      </c>
      <c r="EG24">
        <v>34.659500000000001</v>
      </c>
      <c r="EH24">
        <v>1</v>
      </c>
      <c r="EI24">
        <v>8.8841500000000004E-2</v>
      </c>
      <c r="EJ24">
        <v>0.175874</v>
      </c>
      <c r="EK24">
        <v>20.341699999999999</v>
      </c>
      <c r="EL24">
        <v>5.2493999999999996</v>
      </c>
      <c r="EM24">
        <v>11.962</v>
      </c>
      <c r="EN24">
        <v>4.9896799999999999</v>
      </c>
      <c r="EO24">
        <v>3.29128</v>
      </c>
      <c r="EP24">
        <v>9999</v>
      </c>
      <c r="EQ24">
        <v>9999</v>
      </c>
      <c r="ER24">
        <v>9999</v>
      </c>
      <c r="ES24">
        <v>999.9</v>
      </c>
      <c r="ET24">
        <v>4.9727300000000003</v>
      </c>
      <c r="EU24">
        <v>1.87188</v>
      </c>
      <c r="EV24">
        <v>1.87212</v>
      </c>
      <c r="EW24">
        <v>1.8771500000000001</v>
      </c>
      <c r="EX24">
        <v>1.87134</v>
      </c>
      <c r="EY24">
        <v>1.87209</v>
      </c>
      <c r="EZ24">
        <v>1.8717600000000001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341</v>
      </c>
      <c r="FG24" t="s">
        <v>342</v>
      </c>
      <c r="FH24" t="s">
        <v>343</v>
      </c>
      <c r="FI24" t="s">
        <v>343</v>
      </c>
      <c r="FJ24" t="s">
        <v>343</v>
      </c>
      <c r="FK24" t="s">
        <v>343</v>
      </c>
      <c r="FL24">
        <v>0</v>
      </c>
      <c r="FM24">
        <v>100</v>
      </c>
      <c r="FN24">
        <v>100</v>
      </c>
      <c r="FO24">
        <v>1.2450000000000001</v>
      </c>
      <c r="FP24">
        <v>0.25159999999999999</v>
      </c>
      <c r="FQ24">
        <v>-2.081102673305895</v>
      </c>
      <c r="FR24">
        <v>7.6898218637449396E-3</v>
      </c>
      <c r="FS24">
        <v>1.5097418776848419E-6</v>
      </c>
      <c r="FT24">
        <v>-9.8458676114205118E-11</v>
      </c>
      <c r="FU24">
        <v>0.25160476190476189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24.9</v>
      </c>
      <c r="GD24">
        <v>24.9</v>
      </c>
      <c r="GE24">
        <v>1.1071800000000001</v>
      </c>
      <c r="GF24">
        <v>2.63306</v>
      </c>
      <c r="GG24">
        <v>1.7981</v>
      </c>
      <c r="GH24">
        <v>2.3742700000000001</v>
      </c>
      <c r="GI24">
        <v>1.5979000000000001</v>
      </c>
      <c r="GJ24">
        <v>2.5720200000000002</v>
      </c>
      <c r="GK24">
        <v>36.058199999999999</v>
      </c>
      <c r="GL24">
        <v>24.1663</v>
      </c>
      <c r="GM24">
        <v>18</v>
      </c>
      <c r="GN24">
        <v>369.81599999999997</v>
      </c>
      <c r="GO24">
        <v>672.77300000000002</v>
      </c>
      <c r="GP24">
        <v>25.830100000000002</v>
      </c>
      <c r="GQ24">
        <v>28.264800000000001</v>
      </c>
      <c r="GR24">
        <v>30</v>
      </c>
      <c r="GS24">
        <v>28.2056</v>
      </c>
      <c r="GT24">
        <v>28.235099999999999</v>
      </c>
      <c r="GU24">
        <v>22.140899999999998</v>
      </c>
      <c r="GV24">
        <v>34.288600000000002</v>
      </c>
      <c r="GW24">
        <v>0</v>
      </c>
      <c r="GX24">
        <v>25.83</v>
      </c>
      <c r="GY24">
        <v>450</v>
      </c>
      <c r="GZ24">
        <v>19.5</v>
      </c>
      <c r="HA24">
        <v>100.351</v>
      </c>
      <c r="HB24">
        <v>69.255899999999997</v>
      </c>
    </row>
    <row r="25" spans="1:210" x14ac:dyDescent="0.3">
      <c r="A25">
        <v>9</v>
      </c>
      <c r="B25">
        <v>1752061324</v>
      </c>
      <c r="C25">
        <v>1444.400000095367</v>
      </c>
      <c r="D25" t="s">
        <v>359</v>
      </c>
      <c r="E25" t="s">
        <v>360</v>
      </c>
      <c r="F25">
        <v>15</v>
      </c>
      <c r="G25">
        <v>1752061316.25</v>
      </c>
      <c r="H25">
        <f t="shared" si="0"/>
        <v>2.7662888150171107E-3</v>
      </c>
      <c r="I25">
        <f t="shared" si="1"/>
        <v>2.7662888150171105</v>
      </c>
      <c r="J25">
        <f t="shared" si="2"/>
        <v>23.414660402359647</v>
      </c>
      <c r="K25">
        <f t="shared" si="3"/>
        <v>543.92103333333341</v>
      </c>
      <c r="L25">
        <f t="shared" si="4"/>
        <v>429.58358472845464</v>
      </c>
      <c r="M25">
        <f t="shared" si="5"/>
        <v>43.877693043286335</v>
      </c>
      <c r="N25">
        <f t="shared" si="6"/>
        <v>55.556126883835958</v>
      </c>
      <c r="O25">
        <f t="shared" si="7"/>
        <v>0.38776989118540389</v>
      </c>
      <c r="P25">
        <f t="shared" si="8"/>
        <v>2.427379958919031</v>
      </c>
      <c r="Q25">
        <f t="shared" si="9"/>
        <v>0.34046586651864363</v>
      </c>
      <c r="R25">
        <f t="shared" si="10"/>
        <v>0.21656209905543577</v>
      </c>
      <c r="S25">
        <f t="shared" si="11"/>
        <v>182.109813</v>
      </c>
      <c r="T25">
        <f t="shared" si="12"/>
        <v>27.382527642229515</v>
      </c>
      <c r="U25">
        <f t="shared" si="13"/>
        <v>26.225466666666669</v>
      </c>
      <c r="V25">
        <f t="shared" si="14"/>
        <v>3.4195396109747866</v>
      </c>
      <c r="W25">
        <f t="shared" si="15"/>
        <v>73.207491570339997</v>
      </c>
      <c r="X25">
        <f t="shared" si="16"/>
        <v>2.6141624771124112</v>
      </c>
      <c r="Y25">
        <f t="shared" si="17"/>
        <v>3.5708947554918526</v>
      </c>
      <c r="Z25">
        <f t="shared" si="18"/>
        <v>0.80537713386237542</v>
      </c>
      <c r="AA25">
        <f t="shared" si="19"/>
        <v>-121.99333674225458</v>
      </c>
      <c r="AB25">
        <f t="shared" si="20"/>
        <v>96.208827100893657</v>
      </c>
      <c r="AC25">
        <f t="shared" si="21"/>
        <v>8.5189142056269631</v>
      </c>
      <c r="AD25">
        <f t="shared" si="22"/>
        <v>164.84421756426605</v>
      </c>
      <c r="AE25">
        <f t="shared" si="23"/>
        <v>23.414660402359647</v>
      </c>
      <c r="AF25">
        <f t="shared" si="24"/>
        <v>2.7662888150171105</v>
      </c>
      <c r="AG25">
        <f t="shared" si="25"/>
        <v>23.380106677367145</v>
      </c>
      <c r="AH25">
        <v>611.94816931904438</v>
      </c>
      <c r="AI25">
        <v>558.27627272727261</v>
      </c>
      <c r="AJ25">
        <v>2.0092656263693809E-3</v>
      </c>
      <c r="AK25">
        <v>84.102609465128765</v>
      </c>
      <c r="AL25">
        <f t="shared" si="26"/>
        <v>2.7556459148090058</v>
      </c>
      <c r="AM25">
        <v>19.529146251183651</v>
      </c>
      <c r="AN25">
        <v>25.571162105263149</v>
      </c>
      <c r="AO25">
        <v>-1.9371889743667521E-5</v>
      </c>
      <c r="AP25">
        <v>90.478574852398836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53966.27586353627</v>
      </c>
      <c r="AV25">
        <f t="shared" si="30"/>
        <v>958.47270000000003</v>
      </c>
      <c r="AW25">
        <f t="shared" si="31"/>
        <v>766.77816000000007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338</v>
      </c>
      <c r="BC25">
        <v>2</v>
      </c>
      <c r="BD25" t="b">
        <v>0</v>
      </c>
      <c r="BE25">
        <v>1752061316.25</v>
      </c>
      <c r="BF25">
        <v>543.92103333333341</v>
      </c>
      <c r="BG25">
        <v>599.99113333333332</v>
      </c>
      <c r="BH25">
        <v>25.593900000000001</v>
      </c>
      <c r="BI25">
        <v>19.528870000000001</v>
      </c>
      <c r="BJ25">
        <v>541.41193333333331</v>
      </c>
      <c r="BK25">
        <v>25.342289999999998</v>
      </c>
      <c r="BL25">
        <v>399.98809999999997</v>
      </c>
      <c r="BM25">
        <v>102.0401</v>
      </c>
      <c r="BN25">
        <v>9.9959823333333336E-2</v>
      </c>
      <c r="BO25">
        <v>26.96064333333333</v>
      </c>
      <c r="BP25">
        <v>26.225466666666669</v>
      </c>
      <c r="BQ25">
        <v>999.9000000000002</v>
      </c>
      <c r="BR25">
        <v>0</v>
      </c>
      <c r="BS25">
        <v>0</v>
      </c>
      <c r="BT25">
        <v>10000.63333333333</v>
      </c>
      <c r="BU25">
        <v>958.47270000000003</v>
      </c>
      <c r="BV25">
        <v>17.047199999999989</v>
      </c>
      <c r="BW25">
        <v>-56.070026666666656</v>
      </c>
      <c r="BX25">
        <v>558.20780000000002</v>
      </c>
      <c r="BY25">
        <v>611.94166666666672</v>
      </c>
      <c r="BZ25">
        <v>6.0650360000000001</v>
      </c>
      <c r="CA25">
        <v>599.99113333333332</v>
      </c>
      <c r="CB25">
        <v>19.528870000000001</v>
      </c>
      <c r="CC25">
        <v>2.6116059999999992</v>
      </c>
      <c r="CD25">
        <v>1.992729</v>
      </c>
      <c r="CE25">
        <v>21.739276666666669</v>
      </c>
      <c r="CF25">
        <v>17.386679999999998</v>
      </c>
      <c r="CG25">
        <v>1752059650.5999999</v>
      </c>
      <c r="CH25" t="s">
        <v>339</v>
      </c>
      <c r="CI25">
        <v>1752059650.5999999</v>
      </c>
      <c r="CJ25">
        <v>1752059649.0999999</v>
      </c>
      <c r="CK25">
        <v>2</v>
      </c>
      <c r="CL25">
        <v>-0.41</v>
      </c>
      <c r="CM25">
        <v>2.1999999999999999E-2</v>
      </c>
      <c r="CN25">
        <v>1.661</v>
      </c>
      <c r="CO25">
        <v>0.252</v>
      </c>
      <c r="CP25">
        <v>450</v>
      </c>
      <c r="CQ25">
        <v>20</v>
      </c>
      <c r="CR25">
        <v>0.03</v>
      </c>
      <c r="CS25">
        <v>0.01</v>
      </c>
      <c r="CT25">
        <v>-56.112300000000012</v>
      </c>
      <c r="CU25">
        <v>0.67052613240397996</v>
      </c>
      <c r="CV25">
        <v>7.6195032166337814E-2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6.076995121951219</v>
      </c>
      <c r="DC25">
        <v>-0.1939651567944124</v>
      </c>
      <c r="DD25">
        <v>1.9170223496025391E-2</v>
      </c>
      <c r="DE25">
        <v>0</v>
      </c>
      <c r="DF25">
        <v>0</v>
      </c>
      <c r="DG25">
        <v>2</v>
      </c>
      <c r="DH25" t="s">
        <v>361</v>
      </c>
      <c r="DI25">
        <v>3.0244200000000001</v>
      </c>
      <c r="DJ25">
        <v>2.6912400000000001</v>
      </c>
      <c r="DK25">
        <v>0.117295</v>
      </c>
      <c r="DL25">
        <v>0.126751</v>
      </c>
      <c r="DM25">
        <v>0.12568299999999999</v>
      </c>
      <c r="DN25">
        <v>0.105133</v>
      </c>
      <c r="DO25">
        <v>24565.5</v>
      </c>
      <c r="DP25">
        <v>16085.7</v>
      </c>
      <c r="DQ25">
        <v>26408.6</v>
      </c>
      <c r="DR25">
        <v>16743.2</v>
      </c>
      <c r="DS25">
        <v>32842.6</v>
      </c>
      <c r="DT25">
        <v>19572.7</v>
      </c>
      <c r="DU25">
        <v>38474.9</v>
      </c>
      <c r="DV25">
        <v>22188.6</v>
      </c>
      <c r="DW25">
        <v>1.79976</v>
      </c>
      <c r="DX25">
        <v>2.18222</v>
      </c>
      <c r="DY25">
        <v>6.26028E-2</v>
      </c>
      <c r="DZ25">
        <v>0</v>
      </c>
      <c r="EA25">
        <v>25.203299999999999</v>
      </c>
      <c r="EB25">
        <v>999.9</v>
      </c>
      <c r="EC25">
        <v>54.7</v>
      </c>
      <c r="ED25">
        <v>33</v>
      </c>
      <c r="EE25">
        <v>27.083300000000001</v>
      </c>
      <c r="EF25">
        <v>62.685600000000001</v>
      </c>
      <c r="EG25">
        <v>34.855800000000002</v>
      </c>
      <c r="EH25">
        <v>1</v>
      </c>
      <c r="EI25">
        <v>8.8130100000000003E-2</v>
      </c>
      <c r="EJ25">
        <v>0.17643400000000001</v>
      </c>
      <c r="EK25">
        <v>20.341799999999999</v>
      </c>
      <c r="EL25">
        <v>5.2517899999999997</v>
      </c>
      <c r="EM25">
        <v>11.962</v>
      </c>
      <c r="EN25">
        <v>4.9899199999999997</v>
      </c>
      <c r="EO25">
        <v>3.2913000000000001</v>
      </c>
      <c r="EP25">
        <v>9999</v>
      </c>
      <c r="EQ25">
        <v>9999</v>
      </c>
      <c r="ER25">
        <v>9999</v>
      </c>
      <c r="ES25">
        <v>999.9</v>
      </c>
      <c r="ET25">
        <v>4.9727199999999998</v>
      </c>
      <c r="EU25">
        <v>1.87188</v>
      </c>
      <c r="EV25">
        <v>1.8721000000000001</v>
      </c>
      <c r="EW25">
        <v>1.8771500000000001</v>
      </c>
      <c r="EX25">
        <v>1.87134</v>
      </c>
      <c r="EY25">
        <v>1.8721000000000001</v>
      </c>
      <c r="EZ25">
        <v>1.8717600000000001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341</v>
      </c>
      <c r="FG25" t="s">
        <v>342</v>
      </c>
      <c r="FH25" t="s">
        <v>343</v>
      </c>
      <c r="FI25" t="s">
        <v>343</v>
      </c>
      <c r="FJ25" t="s">
        <v>343</v>
      </c>
      <c r="FK25" t="s">
        <v>343</v>
      </c>
      <c r="FL25">
        <v>0</v>
      </c>
      <c r="FM25">
        <v>100</v>
      </c>
      <c r="FN25">
        <v>100</v>
      </c>
      <c r="FO25">
        <v>2.5099999999999998</v>
      </c>
      <c r="FP25">
        <v>0.25159999999999999</v>
      </c>
      <c r="FQ25">
        <v>-2.081102673305895</v>
      </c>
      <c r="FR25">
        <v>7.6898218637449396E-3</v>
      </c>
      <c r="FS25">
        <v>1.5097418776848419E-6</v>
      </c>
      <c r="FT25">
        <v>-9.8458676114205118E-11</v>
      </c>
      <c r="FU25">
        <v>0.25160476190476189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27.9</v>
      </c>
      <c r="GD25">
        <v>27.9</v>
      </c>
      <c r="GE25">
        <v>1.3952599999999999</v>
      </c>
      <c r="GF25">
        <v>2.64771</v>
      </c>
      <c r="GG25">
        <v>1.79932</v>
      </c>
      <c r="GH25">
        <v>2.3742700000000001</v>
      </c>
      <c r="GI25">
        <v>1.5979000000000001</v>
      </c>
      <c r="GJ25">
        <v>2.4548299999999998</v>
      </c>
      <c r="GK25">
        <v>36.081600000000002</v>
      </c>
      <c r="GL25">
        <v>24.157499999999999</v>
      </c>
      <c r="GM25">
        <v>18</v>
      </c>
      <c r="GN25">
        <v>369.81099999999998</v>
      </c>
      <c r="GO25">
        <v>673.255</v>
      </c>
      <c r="GP25">
        <v>25.829899999999999</v>
      </c>
      <c r="GQ25">
        <v>28.2576</v>
      </c>
      <c r="GR25">
        <v>30</v>
      </c>
      <c r="GS25">
        <v>28.198399999999999</v>
      </c>
      <c r="GT25">
        <v>28.2303</v>
      </c>
      <c r="GU25">
        <v>27.9039</v>
      </c>
      <c r="GV25">
        <v>34.288600000000002</v>
      </c>
      <c r="GW25">
        <v>0</v>
      </c>
      <c r="GX25">
        <v>25.83</v>
      </c>
      <c r="GY25">
        <v>600</v>
      </c>
      <c r="GZ25">
        <v>19.5</v>
      </c>
      <c r="HA25">
        <v>100.35599999999999</v>
      </c>
      <c r="HB25">
        <v>69.257499999999993</v>
      </c>
    </row>
    <row r="26" spans="1:210" x14ac:dyDescent="0.3">
      <c r="A26">
        <v>10</v>
      </c>
      <c r="B26">
        <v>1752061504.5</v>
      </c>
      <c r="C26">
        <v>1624.900000095367</v>
      </c>
      <c r="D26" t="s">
        <v>362</v>
      </c>
      <c r="E26" t="s">
        <v>363</v>
      </c>
      <c r="F26">
        <v>15</v>
      </c>
      <c r="G26">
        <v>1752061496.75</v>
      </c>
      <c r="H26">
        <f t="shared" si="0"/>
        <v>2.4981424236934671E-3</v>
      </c>
      <c r="I26">
        <f t="shared" si="1"/>
        <v>2.4981424236934671</v>
      </c>
      <c r="J26">
        <f t="shared" si="2"/>
        <v>25.666070022275452</v>
      </c>
      <c r="K26">
        <f t="shared" si="3"/>
        <v>837.53586666666683</v>
      </c>
      <c r="L26">
        <f t="shared" si="4"/>
        <v>684.59853662478042</v>
      </c>
      <c r="M26">
        <f t="shared" si="5"/>
        <v>69.925405017727869</v>
      </c>
      <c r="N26">
        <f t="shared" si="6"/>
        <v>85.546537949494834</v>
      </c>
      <c r="O26">
        <f t="shared" si="7"/>
        <v>0.31647251438496582</v>
      </c>
      <c r="P26">
        <f t="shared" si="8"/>
        <v>2.4276229437521337</v>
      </c>
      <c r="Q26">
        <f t="shared" si="9"/>
        <v>0.28420063460739747</v>
      </c>
      <c r="R26">
        <f t="shared" si="10"/>
        <v>0.18025242286129992</v>
      </c>
      <c r="S26">
        <f t="shared" si="11"/>
        <v>182.11581700000002</v>
      </c>
      <c r="T26">
        <f t="shared" si="12"/>
        <v>27.480810787149892</v>
      </c>
      <c r="U26">
        <f t="shared" si="13"/>
        <v>26.25735000000001</v>
      </c>
      <c r="V26">
        <f t="shared" si="14"/>
        <v>3.4259854733478607</v>
      </c>
      <c r="W26">
        <f t="shared" si="15"/>
        <v>71.470876638711573</v>
      </c>
      <c r="X26">
        <f t="shared" si="16"/>
        <v>2.5544457393348949</v>
      </c>
      <c r="Y26">
        <f t="shared" si="17"/>
        <v>3.574107188089676</v>
      </c>
      <c r="Z26">
        <f t="shared" si="18"/>
        <v>0.87153973401296581</v>
      </c>
      <c r="AA26">
        <f t="shared" si="19"/>
        <v>-110.1680808848819</v>
      </c>
      <c r="AB26">
        <f t="shared" si="20"/>
        <v>94.048936651964723</v>
      </c>
      <c r="AC26">
        <f t="shared" si="21"/>
        <v>8.3287978284220436</v>
      </c>
      <c r="AD26">
        <f t="shared" si="22"/>
        <v>174.3254705955049</v>
      </c>
      <c r="AE26">
        <f t="shared" si="23"/>
        <v>25.666070022275452</v>
      </c>
      <c r="AF26">
        <f t="shared" si="24"/>
        <v>2.4981424236934671</v>
      </c>
      <c r="AG26">
        <f t="shared" si="25"/>
        <v>25.609538394060202</v>
      </c>
      <c r="AH26">
        <v>917.86976189264658</v>
      </c>
      <c r="AI26">
        <v>859.07622424242379</v>
      </c>
      <c r="AJ26">
        <v>3.6121761529842589E-3</v>
      </c>
      <c r="AK26">
        <v>84.102609465128765</v>
      </c>
      <c r="AL26">
        <f t="shared" si="26"/>
        <v>2.4898423581126732</v>
      </c>
      <c r="AM26">
        <v>19.528474493883209</v>
      </c>
      <c r="AN26">
        <v>24.99008451127817</v>
      </c>
      <c r="AO26">
        <v>-9.3328988150576919E-6</v>
      </c>
      <c r="AP26">
        <v>90.478574852398836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53971.688667763832</v>
      </c>
      <c r="AV26">
        <f t="shared" si="30"/>
        <v>958.50430000000006</v>
      </c>
      <c r="AW26">
        <f t="shared" si="31"/>
        <v>766.80344000000014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338</v>
      </c>
      <c r="BC26">
        <v>2</v>
      </c>
      <c r="BD26" t="b">
        <v>0</v>
      </c>
      <c r="BE26">
        <v>1752061496.75</v>
      </c>
      <c r="BF26">
        <v>837.53586666666683</v>
      </c>
      <c r="BG26">
        <v>899.98503333333315</v>
      </c>
      <c r="BH26">
        <v>25.009076666666669</v>
      </c>
      <c r="BI26">
        <v>19.529453333333329</v>
      </c>
      <c r="BJ26">
        <v>832.22849999999994</v>
      </c>
      <c r="BK26">
        <v>24.75747333333333</v>
      </c>
      <c r="BL26">
        <v>400.0456666666667</v>
      </c>
      <c r="BM26">
        <v>102.0407</v>
      </c>
      <c r="BN26">
        <v>0.10004567333333329</v>
      </c>
      <c r="BO26">
        <v>26.975950000000001</v>
      </c>
      <c r="BP26">
        <v>26.25735000000001</v>
      </c>
      <c r="BQ26">
        <v>999.9000000000002</v>
      </c>
      <c r="BR26">
        <v>0</v>
      </c>
      <c r="BS26">
        <v>0</v>
      </c>
      <c r="BT26">
        <v>10002.15</v>
      </c>
      <c r="BU26">
        <v>958.50430000000006</v>
      </c>
      <c r="BV26">
        <v>17.047199999999989</v>
      </c>
      <c r="BW26">
        <v>-62.449026666666661</v>
      </c>
      <c r="BX26">
        <v>859.01926666666645</v>
      </c>
      <c r="BY26">
        <v>917.91133333333335</v>
      </c>
      <c r="BZ26">
        <v>5.4796273333333341</v>
      </c>
      <c r="CA26">
        <v>899.98503333333315</v>
      </c>
      <c r="CB26">
        <v>19.529453333333329</v>
      </c>
      <c r="CC26">
        <v>2.5519466666666668</v>
      </c>
      <c r="CD26">
        <v>1.9928006666666671</v>
      </c>
      <c r="CE26">
        <v>21.361633333333341</v>
      </c>
      <c r="CF26">
        <v>17.387250000000002</v>
      </c>
      <c r="CG26">
        <v>1752059650.5999999</v>
      </c>
      <c r="CH26" t="s">
        <v>339</v>
      </c>
      <c r="CI26">
        <v>1752059650.5999999</v>
      </c>
      <c r="CJ26">
        <v>1752059649.0999999</v>
      </c>
      <c r="CK26">
        <v>2</v>
      </c>
      <c r="CL26">
        <v>-0.41</v>
      </c>
      <c r="CM26">
        <v>2.1999999999999999E-2</v>
      </c>
      <c r="CN26">
        <v>1.661</v>
      </c>
      <c r="CO26">
        <v>0.252</v>
      </c>
      <c r="CP26">
        <v>450</v>
      </c>
      <c r="CQ26">
        <v>20</v>
      </c>
      <c r="CR26">
        <v>0.03</v>
      </c>
      <c r="CS26">
        <v>0.01</v>
      </c>
      <c r="CT26">
        <v>-62.481832500000003</v>
      </c>
      <c r="CU26">
        <v>0.75489793621019941</v>
      </c>
      <c r="CV26">
        <v>9.1571262925384991E-2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5.4867227500000002</v>
      </c>
      <c r="DC26">
        <v>-0.16441452157599859</v>
      </c>
      <c r="DD26">
        <v>1.5887329698143032E-2</v>
      </c>
      <c r="DE26">
        <v>0</v>
      </c>
      <c r="DF26">
        <v>0</v>
      </c>
      <c r="DG26">
        <v>2</v>
      </c>
      <c r="DH26" t="s">
        <v>361</v>
      </c>
      <c r="DI26">
        <v>3.0244499999999999</v>
      </c>
      <c r="DJ26">
        <v>2.6911999999999998</v>
      </c>
      <c r="DK26">
        <v>0.15723000000000001</v>
      </c>
      <c r="DL26">
        <v>0.16636200000000001</v>
      </c>
      <c r="DM26">
        <v>0.12367300000000001</v>
      </c>
      <c r="DN26">
        <v>0.105133</v>
      </c>
      <c r="DO26">
        <v>23454.3</v>
      </c>
      <c r="DP26">
        <v>15355.9</v>
      </c>
      <c r="DQ26">
        <v>26408.9</v>
      </c>
      <c r="DR26">
        <v>16743.099999999999</v>
      </c>
      <c r="DS26">
        <v>32920.9</v>
      </c>
      <c r="DT26">
        <v>19573.400000000001</v>
      </c>
      <c r="DU26">
        <v>38474.9</v>
      </c>
      <c r="DV26">
        <v>22188.799999999999</v>
      </c>
      <c r="DW26">
        <v>1.7994000000000001</v>
      </c>
      <c r="DX26">
        <v>2.18296</v>
      </c>
      <c r="DY26">
        <v>6.2799499999999994E-2</v>
      </c>
      <c r="DZ26">
        <v>0</v>
      </c>
      <c r="EA26">
        <v>25.2288</v>
      </c>
      <c r="EB26">
        <v>999.9</v>
      </c>
      <c r="EC26">
        <v>54.7</v>
      </c>
      <c r="ED26">
        <v>33</v>
      </c>
      <c r="EE26">
        <v>27.083500000000001</v>
      </c>
      <c r="EF26">
        <v>62.835599999999999</v>
      </c>
      <c r="EG26">
        <v>34.551299999999998</v>
      </c>
      <c r="EH26">
        <v>1</v>
      </c>
      <c r="EI26">
        <v>8.7979699999999994E-2</v>
      </c>
      <c r="EJ26">
        <v>0.18660099999999999</v>
      </c>
      <c r="EK26">
        <v>20.341699999999999</v>
      </c>
      <c r="EL26">
        <v>5.2516699999999998</v>
      </c>
      <c r="EM26">
        <v>11.962</v>
      </c>
      <c r="EN26">
        <v>4.9897600000000004</v>
      </c>
      <c r="EO26">
        <v>3.2913399999999999</v>
      </c>
      <c r="EP26">
        <v>9999</v>
      </c>
      <c r="EQ26">
        <v>9999</v>
      </c>
      <c r="ER26">
        <v>9999</v>
      </c>
      <c r="ES26">
        <v>999.9</v>
      </c>
      <c r="ET26">
        <v>4.9726999999999997</v>
      </c>
      <c r="EU26">
        <v>1.8718699999999999</v>
      </c>
      <c r="EV26">
        <v>1.8721300000000001</v>
      </c>
      <c r="EW26">
        <v>1.8771500000000001</v>
      </c>
      <c r="EX26">
        <v>1.87134</v>
      </c>
      <c r="EY26">
        <v>1.8721000000000001</v>
      </c>
      <c r="EZ26">
        <v>1.8717699999999999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341</v>
      </c>
      <c r="FG26" t="s">
        <v>342</v>
      </c>
      <c r="FH26" t="s">
        <v>343</v>
      </c>
      <c r="FI26" t="s">
        <v>343</v>
      </c>
      <c r="FJ26" t="s">
        <v>343</v>
      </c>
      <c r="FK26" t="s">
        <v>343</v>
      </c>
      <c r="FL26">
        <v>0</v>
      </c>
      <c r="FM26">
        <v>100</v>
      </c>
      <c r="FN26">
        <v>100</v>
      </c>
      <c r="FO26">
        <v>5.3079999999999998</v>
      </c>
      <c r="FP26">
        <v>0.25159999999999999</v>
      </c>
      <c r="FQ26">
        <v>-2.081102673305895</v>
      </c>
      <c r="FR26">
        <v>7.6898218637449396E-3</v>
      </c>
      <c r="FS26">
        <v>1.5097418776848419E-6</v>
      </c>
      <c r="FT26">
        <v>-9.8458676114205118E-11</v>
      </c>
      <c r="FU26">
        <v>0.25160476190476189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30.9</v>
      </c>
      <c r="GD26">
        <v>30.9</v>
      </c>
      <c r="GE26">
        <v>1.94092</v>
      </c>
      <c r="GF26">
        <v>2.6281699999999999</v>
      </c>
      <c r="GG26">
        <v>1.7981</v>
      </c>
      <c r="GH26">
        <v>2.3742700000000001</v>
      </c>
      <c r="GI26">
        <v>1.5979000000000001</v>
      </c>
      <c r="GJ26">
        <v>2.50732</v>
      </c>
      <c r="GK26">
        <v>36.081600000000002</v>
      </c>
      <c r="GL26">
        <v>24.1663</v>
      </c>
      <c r="GM26">
        <v>18</v>
      </c>
      <c r="GN26">
        <v>369.60899999999998</v>
      </c>
      <c r="GO26">
        <v>673.87199999999996</v>
      </c>
      <c r="GP26">
        <v>25.83</v>
      </c>
      <c r="GQ26">
        <v>28.2576</v>
      </c>
      <c r="GR26">
        <v>30.0001</v>
      </c>
      <c r="GS26">
        <v>28.196100000000001</v>
      </c>
      <c r="GT26">
        <v>28.227900000000002</v>
      </c>
      <c r="GU26">
        <v>38.810299999999998</v>
      </c>
      <c r="GV26">
        <v>34.288600000000002</v>
      </c>
      <c r="GW26">
        <v>0</v>
      </c>
      <c r="GX26">
        <v>25.83</v>
      </c>
      <c r="GY26">
        <v>900</v>
      </c>
      <c r="GZ26">
        <v>19.5</v>
      </c>
      <c r="HA26">
        <v>100.357</v>
      </c>
      <c r="HB26">
        <v>69.257499999999993</v>
      </c>
    </row>
    <row r="27" spans="1:210" x14ac:dyDescent="0.3">
      <c r="A27">
        <v>11</v>
      </c>
      <c r="B27">
        <v>1752061685</v>
      </c>
      <c r="C27">
        <v>1805.400000095367</v>
      </c>
      <c r="D27" t="s">
        <v>364</v>
      </c>
      <c r="E27" t="s">
        <v>365</v>
      </c>
      <c r="F27">
        <v>15</v>
      </c>
      <c r="G27">
        <v>1752061677.25</v>
      </c>
      <c r="H27">
        <f t="shared" si="0"/>
        <v>2.3379070599788385E-3</v>
      </c>
      <c r="I27">
        <f t="shared" si="1"/>
        <v>2.3379070599788383</v>
      </c>
      <c r="J27">
        <f t="shared" si="2"/>
        <v>25.875684378753633</v>
      </c>
      <c r="K27">
        <f t="shared" si="3"/>
        <v>1135.806333333333</v>
      </c>
      <c r="L27">
        <f t="shared" si="4"/>
        <v>959.7773835690582</v>
      </c>
      <c r="M27">
        <f t="shared" si="5"/>
        <v>98.034202648440839</v>
      </c>
      <c r="N27">
        <f t="shared" si="6"/>
        <v>116.01426555533206</v>
      </c>
      <c r="O27">
        <f t="shared" si="7"/>
        <v>0.2796157928689107</v>
      </c>
      <c r="P27">
        <f t="shared" si="8"/>
        <v>2.4274753097834476</v>
      </c>
      <c r="Q27">
        <f t="shared" si="9"/>
        <v>0.25410067915290585</v>
      </c>
      <c r="R27">
        <f t="shared" si="10"/>
        <v>0.16091287484215674</v>
      </c>
      <c r="S27">
        <f t="shared" si="11"/>
        <v>182.10743166666666</v>
      </c>
      <c r="T27">
        <f t="shared" si="12"/>
        <v>27.544128478316114</v>
      </c>
      <c r="U27">
        <f t="shared" si="13"/>
        <v>26.277846666666669</v>
      </c>
      <c r="V27">
        <f t="shared" si="14"/>
        <v>3.4301348910998728</v>
      </c>
      <c r="W27">
        <f t="shared" si="15"/>
        <v>70.386163586278613</v>
      </c>
      <c r="X27">
        <f t="shared" si="16"/>
        <v>2.5177120671582252</v>
      </c>
      <c r="Y27">
        <f t="shared" si="17"/>
        <v>3.5769985731244467</v>
      </c>
      <c r="Z27">
        <f t="shared" si="18"/>
        <v>0.91242282394164764</v>
      </c>
      <c r="AA27">
        <f t="shared" si="19"/>
        <v>-103.10170134506677</v>
      </c>
      <c r="AB27">
        <f t="shared" si="20"/>
        <v>93.16246171118722</v>
      </c>
      <c r="AC27">
        <f t="shared" si="21"/>
        <v>8.2522101977521949</v>
      </c>
      <c r="AD27">
        <f t="shared" si="22"/>
        <v>180.42040223053931</v>
      </c>
      <c r="AE27">
        <f t="shared" si="23"/>
        <v>25.875684378753633</v>
      </c>
      <c r="AF27">
        <f t="shared" si="24"/>
        <v>2.3379070599788383</v>
      </c>
      <c r="AG27">
        <f t="shared" si="25"/>
        <v>25.907748974463235</v>
      </c>
      <c r="AH27">
        <v>1223.965870728154</v>
      </c>
      <c r="AI27">
        <v>1164.512727272727</v>
      </c>
      <c r="AJ27">
        <v>2.7924231675483229E-4</v>
      </c>
      <c r="AK27">
        <v>84.102609465128765</v>
      </c>
      <c r="AL27">
        <f t="shared" si="26"/>
        <v>2.3318022958321607</v>
      </c>
      <c r="AM27">
        <v>19.51778307929591</v>
      </c>
      <c r="AN27">
        <v>24.63494210526315</v>
      </c>
      <c r="AO27">
        <v>-3.8250985330536999E-6</v>
      </c>
      <c r="AP27">
        <v>90.478574852398836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53964.300651502417</v>
      </c>
      <c r="AV27">
        <f t="shared" si="30"/>
        <v>958.46016666666662</v>
      </c>
      <c r="AW27">
        <f t="shared" si="31"/>
        <v>766.76813333333337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338</v>
      </c>
      <c r="BC27">
        <v>2</v>
      </c>
      <c r="BD27" t="b">
        <v>0</v>
      </c>
      <c r="BE27">
        <v>1752061677.25</v>
      </c>
      <c r="BF27">
        <v>1135.806333333333</v>
      </c>
      <c r="BG27">
        <v>1199.999</v>
      </c>
      <c r="BH27">
        <v>24.648980000000009</v>
      </c>
      <c r="BI27">
        <v>19.51853333333333</v>
      </c>
      <c r="BJ27">
        <v>1127.4396666666671</v>
      </c>
      <c r="BK27">
        <v>24.39737666666667</v>
      </c>
      <c r="BL27">
        <v>400.01429999999999</v>
      </c>
      <c r="BM27">
        <v>102.0426666666667</v>
      </c>
      <c r="BN27">
        <v>9.99805E-2</v>
      </c>
      <c r="BO27">
        <v>26.98971666666667</v>
      </c>
      <c r="BP27">
        <v>26.277846666666669</v>
      </c>
      <c r="BQ27">
        <v>999.9000000000002</v>
      </c>
      <c r="BR27">
        <v>0</v>
      </c>
      <c r="BS27">
        <v>0</v>
      </c>
      <c r="BT27">
        <v>10001</v>
      </c>
      <c r="BU27">
        <v>958.46016666666662</v>
      </c>
      <c r="BV27">
        <v>17.047199999999989</v>
      </c>
      <c r="BW27">
        <v>-64.192669999999993</v>
      </c>
      <c r="BX27">
        <v>1164.509666666667</v>
      </c>
      <c r="BY27">
        <v>1223.8873333333329</v>
      </c>
      <c r="BZ27">
        <v>5.130447666666667</v>
      </c>
      <c r="CA27">
        <v>1199.999</v>
      </c>
      <c r="CB27">
        <v>19.51853333333333</v>
      </c>
      <c r="CC27">
        <v>2.515248333333334</v>
      </c>
      <c r="CD27">
        <v>1.991724</v>
      </c>
      <c r="CE27">
        <v>21.125506666666659</v>
      </c>
      <c r="CF27">
        <v>17.378689999999999</v>
      </c>
      <c r="CG27">
        <v>1752059650.5999999</v>
      </c>
      <c r="CH27" t="s">
        <v>339</v>
      </c>
      <c r="CI27">
        <v>1752059650.5999999</v>
      </c>
      <c r="CJ27">
        <v>1752059649.0999999</v>
      </c>
      <c r="CK27">
        <v>2</v>
      </c>
      <c r="CL27">
        <v>-0.41</v>
      </c>
      <c r="CM27">
        <v>2.1999999999999999E-2</v>
      </c>
      <c r="CN27">
        <v>1.661</v>
      </c>
      <c r="CO27">
        <v>0.252</v>
      </c>
      <c r="CP27">
        <v>450</v>
      </c>
      <c r="CQ27">
        <v>20</v>
      </c>
      <c r="CR27">
        <v>0.03</v>
      </c>
      <c r="CS27">
        <v>0.01</v>
      </c>
      <c r="CT27">
        <v>-64.219409756097562</v>
      </c>
      <c r="CU27">
        <v>0.33368362369350962</v>
      </c>
      <c r="CV27">
        <v>6.7551746397883736E-2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5.134698292682927</v>
      </c>
      <c r="DC27">
        <v>-9.5236933797901102E-2</v>
      </c>
      <c r="DD27">
        <v>9.4270205578042797E-3</v>
      </c>
      <c r="DE27">
        <v>1</v>
      </c>
      <c r="DF27">
        <v>2</v>
      </c>
      <c r="DG27">
        <v>2</v>
      </c>
      <c r="DH27" t="s">
        <v>340</v>
      </c>
      <c r="DI27">
        <v>3.02441</v>
      </c>
      <c r="DJ27">
        <v>2.6913399999999998</v>
      </c>
      <c r="DK27">
        <v>0.19082299999999999</v>
      </c>
      <c r="DL27">
        <v>0.199513</v>
      </c>
      <c r="DM27">
        <v>0.12244099999999999</v>
      </c>
      <c r="DN27">
        <v>0.105088</v>
      </c>
      <c r="DO27">
        <v>22518.2</v>
      </c>
      <c r="DP27">
        <v>14744.6</v>
      </c>
      <c r="DQ27">
        <v>26407.7</v>
      </c>
      <c r="DR27">
        <v>16742.599999999999</v>
      </c>
      <c r="DS27">
        <v>32967.800000000003</v>
      </c>
      <c r="DT27">
        <v>19573.8</v>
      </c>
      <c r="DU27">
        <v>38473.300000000003</v>
      </c>
      <c r="DV27">
        <v>22187.4</v>
      </c>
      <c r="DW27">
        <v>1.7990200000000001</v>
      </c>
      <c r="DX27">
        <v>2.1835599999999999</v>
      </c>
      <c r="DY27">
        <v>6.2748799999999993E-2</v>
      </c>
      <c r="DZ27">
        <v>0</v>
      </c>
      <c r="EA27">
        <v>25.250599999999999</v>
      </c>
      <c r="EB27">
        <v>999.9</v>
      </c>
      <c r="EC27">
        <v>54.7</v>
      </c>
      <c r="ED27">
        <v>33</v>
      </c>
      <c r="EE27">
        <v>27.081700000000001</v>
      </c>
      <c r="EF27">
        <v>62.765599999999999</v>
      </c>
      <c r="EG27">
        <v>34.791699999999999</v>
      </c>
      <c r="EH27">
        <v>1</v>
      </c>
      <c r="EI27">
        <v>8.9001999999999998E-2</v>
      </c>
      <c r="EJ27">
        <v>0.19390199999999999</v>
      </c>
      <c r="EK27">
        <v>20.341799999999999</v>
      </c>
      <c r="EL27">
        <v>5.25143</v>
      </c>
      <c r="EM27">
        <v>11.962</v>
      </c>
      <c r="EN27">
        <v>4.9892799999999999</v>
      </c>
      <c r="EO27">
        <v>3.2915800000000002</v>
      </c>
      <c r="EP27">
        <v>9999</v>
      </c>
      <c r="EQ27">
        <v>9999</v>
      </c>
      <c r="ER27">
        <v>9999</v>
      </c>
      <c r="ES27">
        <v>999.9</v>
      </c>
      <c r="ET27">
        <v>4.9727100000000002</v>
      </c>
      <c r="EU27">
        <v>1.87191</v>
      </c>
      <c r="EV27">
        <v>1.8721099999999999</v>
      </c>
      <c r="EW27">
        <v>1.8771500000000001</v>
      </c>
      <c r="EX27">
        <v>1.87134</v>
      </c>
      <c r="EY27">
        <v>1.87209</v>
      </c>
      <c r="EZ27">
        <v>1.87178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341</v>
      </c>
      <c r="FG27" t="s">
        <v>342</v>
      </c>
      <c r="FH27" t="s">
        <v>343</v>
      </c>
      <c r="FI27" t="s">
        <v>343</v>
      </c>
      <c r="FJ27" t="s">
        <v>343</v>
      </c>
      <c r="FK27" t="s">
        <v>343</v>
      </c>
      <c r="FL27">
        <v>0</v>
      </c>
      <c r="FM27">
        <v>100</v>
      </c>
      <c r="FN27">
        <v>100</v>
      </c>
      <c r="FO27">
        <v>8.3699999999999992</v>
      </c>
      <c r="FP27">
        <v>0.25159999999999999</v>
      </c>
      <c r="FQ27">
        <v>-2.081102673305895</v>
      </c>
      <c r="FR27">
        <v>7.6898218637449396E-3</v>
      </c>
      <c r="FS27">
        <v>1.5097418776848419E-6</v>
      </c>
      <c r="FT27">
        <v>-9.8458676114205118E-11</v>
      </c>
      <c r="FU27">
        <v>0.25160476190476189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33.9</v>
      </c>
      <c r="GD27">
        <v>33.9</v>
      </c>
      <c r="GE27">
        <v>2.4572799999999999</v>
      </c>
      <c r="GF27">
        <v>2.6232899999999999</v>
      </c>
      <c r="GG27">
        <v>1.7981</v>
      </c>
      <c r="GH27">
        <v>2.3742700000000001</v>
      </c>
      <c r="GI27">
        <v>1.5979000000000001</v>
      </c>
      <c r="GJ27">
        <v>2.5390600000000001</v>
      </c>
      <c r="GK27">
        <v>36.104999999999997</v>
      </c>
      <c r="GL27">
        <v>24.1663</v>
      </c>
      <c r="GM27">
        <v>18</v>
      </c>
      <c r="GN27">
        <v>369.45800000000003</v>
      </c>
      <c r="GO27">
        <v>674.48699999999997</v>
      </c>
      <c r="GP27">
        <v>25.83</v>
      </c>
      <c r="GQ27">
        <v>28.267199999999999</v>
      </c>
      <c r="GR27">
        <v>30</v>
      </c>
      <c r="GS27">
        <v>28.203199999999999</v>
      </c>
      <c r="GT27">
        <v>28.235099999999999</v>
      </c>
      <c r="GU27">
        <v>49.124400000000001</v>
      </c>
      <c r="GV27">
        <v>34.288600000000002</v>
      </c>
      <c r="GW27">
        <v>0</v>
      </c>
      <c r="GX27">
        <v>25.83</v>
      </c>
      <c r="GY27">
        <v>1200</v>
      </c>
      <c r="GZ27">
        <v>19.5</v>
      </c>
      <c r="HA27">
        <v>100.352</v>
      </c>
      <c r="HB27">
        <v>69.254199999999997</v>
      </c>
    </row>
    <row r="28" spans="1:210" x14ac:dyDescent="0.3">
      <c r="A28">
        <v>12</v>
      </c>
      <c r="B28">
        <v>1752061865.5</v>
      </c>
      <c r="C28">
        <v>1985.900000095367</v>
      </c>
      <c r="D28" t="s">
        <v>366</v>
      </c>
      <c r="E28" t="s">
        <v>367</v>
      </c>
      <c r="F28">
        <v>15</v>
      </c>
      <c r="G28">
        <v>1752061857.75</v>
      </c>
      <c r="H28">
        <f t="shared" si="0"/>
        <v>2.1978740944959213E-3</v>
      </c>
      <c r="I28">
        <f t="shared" si="1"/>
        <v>2.1978740944959214</v>
      </c>
      <c r="J28">
        <f t="shared" si="2"/>
        <v>25.463542383554014</v>
      </c>
      <c r="K28">
        <f t="shared" si="3"/>
        <v>1535.1010000000001</v>
      </c>
      <c r="L28">
        <f t="shared" si="4"/>
        <v>1339.196077580594</v>
      </c>
      <c r="M28">
        <f t="shared" si="5"/>
        <v>136.79507638743618</v>
      </c>
      <c r="N28">
        <f t="shared" si="6"/>
        <v>156.80620789810527</v>
      </c>
      <c r="O28">
        <f t="shared" si="7"/>
        <v>0.25189673925636386</v>
      </c>
      <c r="P28">
        <f t="shared" si="8"/>
        <v>2.4272703294922726</v>
      </c>
      <c r="Q28">
        <f t="shared" si="9"/>
        <v>0.23098767621038979</v>
      </c>
      <c r="R28">
        <f t="shared" si="10"/>
        <v>0.14610257656327563</v>
      </c>
      <c r="S28">
        <f t="shared" si="11"/>
        <v>182.11632366666669</v>
      </c>
      <c r="T28">
        <f t="shared" si="12"/>
        <v>27.588415555821463</v>
      </c>
      <c r="U28">
        <f t="shared" si="13"/>
        <v>26.277306666666661</v>
      </c>
      <c r="V28">
        <f t="shared" si="14"/>
        <v>3.4300255153256365</v>
      </c>
      <c r="W28">
        <f t="shared" si="15"/>
        <v>69.502611021761552</v>
      </c>
      <c r="X28">
        <f t="shared" si="16"/>
        <v>2.4862305561671789</v>
      </c>
      <c r="Y28">
        <f t="shared" si="17"/>
        <v>3.5771757630641097</v>
      </c>
      <c r="Z28">
        <f t="shared" si="18"/>
        <v>0.94379495915845757</v>
      </c>
      <c r="AA28">
        <f t="shared" si="19"/>
        <v>-96.926247567270124</v>
      </c>
      <c r="AB28">
        <f t="shared" si="20"/>
        <v>93.335616522720699</v>
      </c>
      <c r="AC28">
        <f t="shared" si="21"/>
        <v>8.2682588128526557</v>
      </c>
      <c r="AD28">
        <f t="shared" si="22"/>
        <v>186.79395143496993</v>
      </c>
      <c r="AE28">
        <f t="shared" si="23"/>
        <v>25.463542383554014</v>
      </c>
      <c r="AF28">
        <f t="shared" si="24"/>
        <v>2.1978740944959214</v>
      </c>
      <c r="AG28">
        <f t="shared" si="25"/>
        <v>25.476875500354929</v>
      </c>
      <c r="AH28">
        <v>1631.766168995312</v>
      </c>
      <c r="AI28">
        <v>1573.375575757575</v>
      </c>
      <c r="AJ28">
        <v>-8.7968400258581943E-3</v>
      </c>
      <c r="AK28">
        <v>84.102609465128765</v>
      </c>
      <c r="AL28">
        <f t="shared" si="26"/>
        <v>2.1929845021027221</v>
      </c>
      <c r="AM28">
        <v>19.514545686457669</v>
      </c>
      <c r="AN28">
        <v>24.3289392481203</v>
      </c>
      <c r="AO28">
        <v>-3.0345584337717478E-6</v>
      </c>
      <c r="AP28">
        <v>90.478574852398836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53957.367603325489</v>
      </c>
      <c r="AV28">
        <f t="shared" si="30"/>
        <v>958.5069666666667</v>
      </c>
      <c r="AW28">
        <f t="shared" si="31"/>
        <v>766.80557333333343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338</v>
      </c>
      <c r="BC28">
        <v>2</v>
      </c>
      <c r="BD28" t="b">
        <v>0</v>
      </c>
      <c r="BE28">
        <v>1752061857.75</v>
      </c>
      <c r="BF28">
        <v>1535.1010000000001</v>
      </c>
      <c r="BG28">
        <v>1599.9880000000001</v>
      </c>
      <c r="BH28">
        <v>24.339693333333329</v>
      </c>
      <c r="BI28">
        <v>19.514646666666671</v>
      </c>
      <c r="BJ28">
        <v>1522.3240000000001</v>
      </c>
      <c r="BK28">
        <v>24.088086666666658</v>
      </c>
      <c r="BL28">
        <v>399.98383333333328</v>
      </c>
      <c r="BM28">
        <v>102.04713333333331</v>
      </c>
      <c r="BN28">
        <v>0.10002695</v>
      </c>
      <c r="BO28">
        <v>26.990560000000009</v>
      </c>
      <c r="BP28">
        <v>26.277306666666661</v>
      </c>
      <c r="BQ28">
        <v>999.9000000000002</v>
      </c>
      <c r="BR28">
        <v>0</v>
      </c>
      <c r="BS28">
        <v>0</v>
      </c>
      <c r="BT28">
        <v>9999.2333333333336</v>
      </c>
      <c r="BU28">
        <v>958.5069666666667</v>
      </c>
      <c r="BV28">
        <v>17.075516666666669</v>
      </c>
      <c r="BW28">
        <v>-64.886616666666654</v>
      </c>
      <c r="BX28">
        <v>1573.396666666667</v>
      </c>
      <c r="BY28">
        <v>1631.832666666666</v>
      </c>
      <c r="BZ28">
        <v>4.8250476666666664</v>
      </c>
      <c r="CA28">
        <v>1599.9880000000001</v>
      </c>
      <c r="CB28">
        <v>19.514646666666671</v>
      </c>
      <c r="CC28">
        <v>2.483795666666667</v>
      </c>
      <c r="CD28">
        <v>1.991413333333333</v>
      </c>
      <c r="CE28">
        <v>20.920706666666661</v>
      </c>
      <c r="CF28">
        <v>17.376226666666671</v>
      </c>
      <c r="CG28">
        <v>1752059650.5999999</v>
      </c>
      <c r="CH28" t="s">
        <v>339</v>
      </c>
      <c r="CI28">
        <v>1752059650.5999999</v>
      </c>
      <c r="CJ28">
        <v>1752059649.0999999</v>
      </c>
      <c r="CK28">
        <v>2</v>
      </c>
      <c r="CL28">
        <v>-0.41</v>
      </c>
      <c r="CM28">
        <v>2.1999999999999999E-2</v>
      </c>
      <c r="CN28">
        <v>1.661</v>
      </c>
      <c r="CO28">
        <v>0.252</v>
      </c>
      <c r="CP28">
        <v>450</v>
      </c>
      <c r="CQ28">
        <v>20</v>
      </c>
      <c r="CR28">
        <v>0.03</v>
      </c>
      <c r="CS28">
        <v>0.01</v>
      </c>
      <c r="CT28">
        <v>-64.907889999999995</v>
      </c>
      <c r="CU28">
        <v>0.49939136960617952</v>
      </c>
      <c r="CV28">
        <v>0.1370073826477971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4.8291705</v>
      </c>
      <c r="DC28">
        <v>-0.1037533958724241</v>
      </c>
      <c r="DD28">
        <v>1.004461073163119E-2</v>
      </c>
      <c r="DE28">
        <v>0</v>
      </c>
      <c r="DF28">
        <v>1</v>
      </c>
      <c r="DG28">
        <v>2</v>
      </c>
      <c r="DH28" t="s">
        <v>348</v>
      </c>
      <c r="DI28">
        <v>3.0246300000000002</v>
      </c>
      <c r="DJ28">
        <v>2.6914500000000001</v>
      </c>
      <c r="DK28">
        <v>0.22900100000000001</v>
      </c>
      <c r="DL28">
        <v>0.23727400000000001</v>
      </c>
      <c r="DM28">
        <v>0.12137100000000001</v>
      </c>
      <c r="DN28">
        <v>0.105088</v>
      </c>
      <c r="DO28">
        <v>21455.5</v>
      </c>
      <c r="DP28">
        <v>14048.3</v>
      </c>
      <c r="DQ28">
        <v>26407.7</v>
      </c>
      <c r="DR28">
        <v>16741.900000000001</v>
      </c>
      <c r="DS28">
        <v>33009.9</v>
      </c>
      <c r="DT28">
        <v>19574</v>
      </c>
      <c r="DU28">
        <v>38473.4</v>
      </c>
      <c r="DV28">
        <v>22187.1</v>
      </c>
      <c r="DW28">
        <v>1.7994600000000001</v>
      </c>
      <c r="DX28">
        <v>2.1840799999999998</v>
      </c>
      <c r="DY28">
        <v>6.5654500000000005E-2</v>
      </c>
      <c r="DZ28">
        <v>0</v>
      </c>
      <c r="EA28">
        <v>25.204899999999999</v>
      </c>
      <c r="EB28">
        <v>999.9</v>
      </c>
      <c r="EC28">
        <v>54.6</v>
      </c>
      <c r="ED28">
        <v>33</v>
      </c>
      <c r="EE28">
        <v>27.032</v>
      </c>
      <c r="EF28">
        <v>62.975700000000003</v>
      </c>
      <c r="EG28">
        <v>34.599400000000003</v>
      </c>
      <c r="EH28">
        <v>1</v>
      </c>
      <c r="EI28">
        <v>8.9073200000000005E-2</v>
      </c>
      <c r="EJ28">
        <v>0.17988899999999999</v>
      </c>
      <c r="EK28">
        <v>20.341899999999999</v>
      </c>
      <c r="EL28">
        <v>5.2519099999999996</v>
      </c>
      <c r="EM28">
        <v>11.962</v>
      </c>
      <c r="EN28">
        <v>4.9897200000000002</v>
      </c>
      <c r="EO28">
        <v>3.29162</v>
      </c>
      <c r="EP28">
        <v>9999</v>
      </c>
      <c r="EQ28">
        <v>9999</v>
      </c>
      <c r="ER28">
        <v>9999</v>
      </c>
      <c r="ES28">
        <v>999.9</v>
      </c>
      <c r="ET28">
        <v>4.9727100000000002</v>
      </c>
      <c r="EU28">
        <v>1.8718699999999999</v>
      </c>
      <c r="EV28">
        <v>1.8721099999999999</v>
      </c>
      <c r="EW28">
        <v>1.87714</v>
      </c>
      <c r="EX28">
        <v>1.87134</v>
      </c>
      <c r="EY28">
        <v>1.8721000000000001</v>
      </c>
      <c r="EZ28">
        <v>1.8717600000000001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341</v>
      </c>
      <c r="FG28" t="s">
        <v>342</v>
      </c>
      <c r="FH28" t="s">
        <v>343</v>
      </c>
      <c r="FI28" t="s">
        <v>343</v>
      </c>
      <c r="FJ28" t="s">
        <v>343</v>
      </c>
      <c r="FK28" t="s">
        <v>343</v>
      </c>
      <c r="FL28">
        <v>0</v>
      </c>
      <c r="FM28">
        <v>100</v>
      </c>
      <c r="FN28">
        <v>100</v>
      </c>
      <c r="FO28">
        <v>12.78</v>
      </c>
      <c r="FP28">
        <v>0.25159999999999999</v>
      </c>
      <c r="FQ28">
        <v>-2.081102673305895</v>
      </c>
      <c r="FR28">
        <v>7.6898218637449396E-3</v>
      </c>
      <c r="FS28">
        <v>1.5097418776848419E-6</v>
      </c>
      <c r="FT28">
        <v>-9.8458676114205118E-11</v>
      </c>
      <c r="FU28">
        <v>0.25160476190476189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36.9</v>
      </c>
      <c r="GD28">
        <v>36.9</v>
      </c>
      <c r="GE28">
        <v>3.10791</v>
      </c>
      <c r="GF28">
        <v>2.6184099999999999</v>
      </c>
      <c r="GG28">
        <v>1.7981</v>
      </c>
      <c r="GH28">
        <v>2.3742700000000001</v>
      </c>
      <c r="GI28">
        <v>1.5979000000000001</v>
      </c>
      <c r="GJ28">
        <v>2.4401899999999999</v>
      </c>
      <c r="GK28">
        <v>36.128500000000003</v>
      </c>
      <c r="GL28">
        <v>24.148800000000001</v>
      </c>
      <c r="GM28">
        <v>18</v>
      </c>
      <c r="GN28">
        <v>369.702</v>
      </c>
      <c r="GO28">
        <v>674.97299999999996</v>
      </c>
      <c r="GP28">
        <v>25.829799999999999</v>
      </c>
      <c r="GQ28">
        <v>28.269600000000001</v>
      </c>
      <c r="GR28">
        <v>30</v>
      </c>
      <c r="GS28">
        <v>28.2056</v>
      </c>
      <c r="GT28">
        <v>28.237500000000001</v>
      </c>
      <c r="GU28">
        <v>62.136000000000003</v>
      </c>
      <c r="GV28">
        <v>34.288600000000002</v>
      </c>
      <c r="GW28">
        <v>0</v>
      </c>
      <c r="GX28">
        <v>25.83</v>
      </c>
      <c r="GY28">
        <v>1600</v>
      </c>
      <c r="GZ28">
        <v>19.5</v>
      </c>
      <c r="HA28">
        <v>100.35299999999999</v>
      </c>
      <c r="HB28">
        <v>69.252300000000005</v>
      </c>
    </row>
    <row r="29" spans="1:210" x14ac:dyDescent="0.3">
      <c r="A29">
        <v>13</v>
      </c>
      <c r="B29">
        <v>1752062046</v>
      </c>
      <c r="C29">
        <v>2166.400000095367</v>
      </c>
      <c r="D29" t="s">
        <v>368</v>
      </c>
      <c r="E29" t="s">
        <v>369</v>
      </c>
      <c r="F29">
        <v>15</v>
      </c>
      <c r="G29">
        <v>1752062038.25</v>
      </c>
      <c r="H29">
        <f t="shared" si="0"/>
        <v>2.1405893257495532E-3</v>
      </c>
      <c r="I29">
        <f t="shared" si="1"/>
        <v>2.1405893257495534</v>
      </c>
      <c r="J29">
        <f t="shared" si="2"/>
        <v>16.653543150492634</v>
      </c>
      <c r="K29">
        <f t="shared" si="3"/>
        <v>410.56023333333331</v>
      </c>
      <c r="L29">
        <f t="shared" si="4"/>
        <v>286.41240602408539</v>
      </c>
      <c r="M29">
        <f t="shared" si="5"/>
        <v>29.255750156713596</v>
      </c>
      <c r="N29">
        <f t="shared" si="6"/>
        <v>41.936897138708339</v>
      </c>
      <c r="O29">
        <f t="shared" si="7"/>
        <v>0.2408848924190104</v>
      </c>
      <c r="P29">
        <f t="shared" si="8"/>
        <v>2.4264763636839972</v>
      </c>
      <c r="Q29">
        <f t="shared" si="9"/>
        <v>0.22168443824457595</v>
      </c>
      <c r="R29">
        <f t="shared" si="10"/>
        <v>0.14015154049555018</v>
      </c>
      <c r="S29">
        <f t="shared" si="11"/>
        <v>182.10746966666667</v>
      </c>
      <c r="T29">
        <f t="shared" si="12"/>
        <v>27.599937258617366</v>
      </c>
      <c r="U29">
        <f t="shared" si="13"/>
        <v>26.279430000000001</v>
      </c>
      <c r="V29">
        <f t="shared" si="14"/>
        <v>3.4304556092302394</v>
      </c>
      <c r="W29">
        <f t="shared" si="15"/>
        <v>69.148305909398431</v>
      </c>
      <c r="X29">
        <f t="shared" si="16"/>
        <v>2.4726364295325847</v>
      </c>
      <c r="Y29">
        <f t="shared" si="17"/>
        <v>3.5758452748970546</v>
      </c>
      <c r="Z29">
        <f t="shared" si="18"/>
        <v>0.95781917969765473</v>
      </c>
      <c r="AA29">
        <f t="shared" si="19"/>
        <v>-94.399989265555291</v>
      </c>
      <c r="AB29">
        <f t="shared" si="20"/>
        <v>92.198817279125393</v>
      </c>
      <c r="AC29">
        <f t="shared" si="21"/>
        <v>8.1700539864109381</v>
      </c>
      <c r="AD29">
        <f t="shared" si="22"/>
        <v>188.07635166664772</v>
      </c>
      <c r="AE29">
        <f t="shared" si="23"/>
        <v>16.653543150492634</v>
      </c>
      <c r="AF29">
        <f t="shared" si="24"/>
        <v>2.1405893257495534</v>
      </c>
      <c r="AG29">
        <f t="shared" si="25"/>
        <v>16.73859535885375</v>
      </c>
      <c r="AH29">
        <v>458.97413559444198</v>
      </c>
      <c r="AI29">
        <v>420.6139212121214</v>
      </c>
      <c r="AJ29">
        <v>-6.0349995180932481E-3</v>
      </c>
      <c r="AK29">
        <v>84.102609465128765</v>
      </c>
      <c r="AL29">
        <f t="shared" si="26"/>
        <v>2.1414003548670095</v>
      </c>
      <c r="AM29">
        <v>19.50709552835265</v>
      </c>
      <c r="AN29">
        <v>24.208733082706761</v>
      </c>
      <c r="AO29">
        <v>-9.2782050657083804E-7</v>
      </c>
      <c r="AP29">
        <v>90.478574852398836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53931.831283918887</v>
      </c>
      <c r="AV29">
        <f t="shared" si="30"/>
        <v>958.46036666666669</v>
      </c>
      <c r="AW29">
        <f t="shared" si="31"/>
        <v>766.76829333333342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338</v>
      </c>
      <c r="BC29">
        <v>2</v>
      </c>
      <c r="BD29" t="b">
        <v>0</v>
      </c>
      <c r="BE29">
        <v>1752062038.25</v>
      </c>
      <c r="BF29">
        <v>410.56023333333331</v>
      </c>
      <c r="BG29">
        <v>450.00909999999999</v>
      </c>
      <c r="BH29">
        <v>24.20699333333333</v>
      </c>
      <c r="BI29">
        <v>19.507136666666661</v>
      </c>
      <c r="BJ29">
        <v>409.2482333333333</v>
      </c>
      <c r="BK29">
        <v>23.955390000000001</v>
      </c>
      <c r="BL29">
        <v>399.98983333333331</v>
      </c>
      <c r="BM29">
        <v>102.0454666666666</v>
      </c>
      <c r="BN29">
        <v>0.1000743133333333</v>
      </c>
      <c r="BO29">
        <v>26.984226666666679</v>
      </c>
      <c r="BP29">
        <v>26.279430000000001</v>
      </c>
      <c r="BQ29">
        <v>999.9000000000002</v>
      </c>
      <c r="BR29">
        <v>0</v>
      </c>
      <c r="BS29">
        <v>0</v>
      </c>
      <c r="BT29">
        <v>9994.25</v>
      </c>
      <c r="BU29">
        <v>958.46036666666669</v>
      </c>
      <c r="BV29">
        <v>17.047199999999989</v>
      </c>
      <c r="BW29">
        <v>-39.448883333333328</v>
      </c>
      <c r="BX29">
        <v>420.74520000000001</v>
      </c>
      <c r="BY29">
        <v>458.96216666666658</v>
      </c>
      <c r="BZ29">
        <v>4.699859</v>
      </c>
      <c r="CA29">
        <v>450.00909999999999</v>
      </c>
      <c r="CB29">
        <v>19.507136666666661</v>
      </c>
      <c r="CC29">
        <v>2.4702123333333339</v>
      </c>
      <c r="CD29">
        <v>1.9906140000000001</v>
      </c>
      <c r="CE29">
        <v>20.831563333333339</v>
      </c>
      <c r="CF29">
        <v>17.36987666666667</v>
      </c>
      <c r="CG29">
        <v>1752059650.5999999</v>
      </c>
      <c r="CH29" t="s">
        <v>339</v>
      </c>
      <c r="CI29">
        <v>1752059650.5999999</v>
      </c>
      <c r="CJ29">
        <v>1752059649.0999999</v>
      </c>
      <c r="CK29">
        <v>2</v>
      </c>
      <c r="CL29">
        <v>-0.41</v>
      </c>
      <c r="CM29">
        <v>2.1999999999999999E-2</v>
      </c>
      <c r="CN29">
        <v>1.661</v>
      </c>
      <c r="CO29">
        <v>0.252</v>
      </c>
      <c r="CP29">
        <v>450</v>
      </c>
      <c r="CQ29">
        <v>20</v>
      </c>
      <c r="CR29">
        <v>0.03</v>
      </c>
      <c r="CS29">
        <v>0.01</v>
      </c>
      <c r="CT29">
        <v>-39.372070731707318</v>
      </c>
      <c r="CU29">
        <v>-1.2663763066202689</v>
      </c>
      <c r="CV29">
        <v>0.12718952872205239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4.6996521951219519</v>
      </c>
      <c r="DC29">
        <v>4.7372822299736172E-3</v>
      </c>
      <c r="DD29">
        <v>1.3560065331792951E-3</v>
      </c>
      <c r="DE29">
        <v>1</v>
      </c>
      <c r="DF29">
        <v>1</v>
      </c>
      <c r="DG29">
        <v>2</v>
      </c>
      <c r="DH29" t="s">
        <v>348</v>
      </c>
      <c r="DI29">
        <v>3.0246300000000002</v>
      </c>
      <c r="DJ29">
        <v>2.6913800000000001</v>
      </c>
      <c r="DK29">
        <v>9.5458500000000002E-2</v>
      </c>
      <c r="DL29">
        <v>0.103057</v>
      </c>
      <c r="DM29">
        <v>0.12095499999999999</v>
      </c>
      <c r="DN29">
        <v>0.10505299999999999</v>
      </c>
      <c r="DO29">
        <v>25173.200000000001</v>
      </c>
      <c r="DP29">
        <v>16521.900000000001</v>
      </c>
      <c r="DQ29">
        <v>26408.6</v>
      </c>
      <c r="DR29">
        <v>16743</v>
      </c>
      <c r="DS29">
        <v>33024</v>
      </c>
      <c r="DT29">
        <v>19574</v>
      </c>
      <c r="DU29">
        <v>38475.199999999997</v>
      </c>
      <c r="DV29">
        <v>22188.5</v>
      </c>
      <c r="DW29">
        <v>1.79904</v>
      </c>
      <c r="DX29">
        <v>2.1815600000000002</v>
      </c>
      <c r="DY29">
        <v>6.7737699999999998E-2</v>
      </c>
      <c r="DZ29">
        <v>0</v>
      </c>
      <c r="EA29">
        <v>25.165099999999999</v>
      </c>
      <c r="EB29">
        <v>999.9</v>
      </c>
      <c r="EC29">
        <v>54.6</v>
      </c>
      <c r="ED29">
        <v>33</v>
      </c>
      <c r="EE29">
        <v>27.032399999999999</v>
      </c>
      <c r="EF29">
        <v>62.965699999999998</v>
      </c>
      <c r="EG29">
        <v>34.767600000000002</v>
      </c>
      <c r="EH29">
        <v>1</v>
      </c>
      <c r="EI29">
        <v>8.7636199999999997E-2</v>
      </c>
      <c r="EJ29">
        <v>0.165634</v>
      </c>
      <c r="EK29">
        <v>20.341899999999999</v>
      </c>
      <c r="EL29">
        <v>5.2520300000000004</v>
      </c>
      <c r="EM29">
        <v>11.962</v>
      </c>
      <c r="EN29">
        <v>4.9896799999999999</v>
      </c>
      <c r="EO29">
        <v>3.2915000000000001</v>
      </c>
      <c r="EP29">
        <v>9999</v>
      </c>
      <c r="EQ29">
        <v>9999</v>
      </c>
      <c r="ER29">
        <v>9999</v>
      </c>
      <c r="ES29">
        <v>999.9</v>
      </c>
      <c r="ET29">
        <v>4.9727399999999999</v>
      </c>
      <c r="EU29">
        <v>1.87188</v>
      </c>
      <c r="EV29">
        <v>1.8721399999999999</v>
      </c>
      <c r="EW29">
        <v>1.87714</v>
      </c>
      <c r="EX29">
        <v>1.87134</v>
      </c>
      <c r="EY29">
        <v>1.8721000000000001</v>
      </c>
      <c r="EZ29">
        <v>1.8717900000000001</v>
      </c>
      <c r="FA29">
        <v>1.86873</v>
      </c>
      <c r="FB29">
        <v>0</v>
      </c>
      <c r="FC29">
        <v>0</v>
      </c>
      <c r="FD29">
        <v>0</v>
      </c>
      <c r="FE29">
        <v>0</v>
      </c>
      <c r="FF29" t="s">
        <v>341</v>
      </c>
      <c r="FG29" t="s">
        <v>342</v>
      </c>
      <c r="FH29" t="s">
        <v>343</v>
      </c>
      <c r="FI29" t="s">
        <v>343</v>
      </c>
      <c r="FJ29" t="s">
        <v>343</v>
      </c>
      <c r="FK29" t="s">
        <v>343</v>
      </c>
      <c r="FL29">
        <v>0</v>
      </c>
      <c r="FM29">
        <v>100</v>
      </c>
      <c r="FN29">
        <v>100</v>
      </c>
      <c r="FO29">
        <v>1.3109999999999999</v>
      </c>
      <c r="FP29">
        <v>0.25159999999999999</v>
      </c>
      <c r="FQ29">
        <v>-2.081102673305895</v>
      </c>
      <c r="FR29">
        <v>7.6898218637449396E-3</v>
      </c>
      <c r="FS29">
        <v>1.5097418776848419E-6</v>
      </c>
      <c r="FT29">
        <v>-9.8458676114205118E-11</v>
      </c>
      <c r="FU29">
        <v>0.25160476190476189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39.9</v>
      </c>
      <c r="GD29">
        <v>39.9</v>
      </c>
      <c r="GE29">
        <v>1.1071800000000001</v>
      </c>
      <c r="GF29">
        <v>2.6428199999999999</v>
      </c>
      <c r="GG29">
        <v>1.79932</v>
      </c>
      <c r="GH29">
        <v>2.3742700000000001</v>
      </c>
      <c r="GI29">
        <v>1.5979000000000001</v>
      </c>
      <c r="GJ29">
        <v>2.47437</v>
      </c>
      <c r="GK29">
        <v>36.104999999999997</v>
      </c>
      <c r="GL29">
        <v>24.157499999999999</v>
      </c>
      <c r="GM29">
        <v>18</v>
      </c>
      <c r="GN29">
        <v>369.40600000000001</v>
      </c>
      <c r="GO29">
        <v>672.61800000000005</v>
      </c>
      <c r="GP29">
        <v>25.829799999999999</v>
      </c>
      <c r="GQ29">
        <v>28.2514</v>
      </c>
      <c r="GR29">
        <v>30.0001</v>
      </c>
      <c r="GS29">
        <v>28.1937</v>
      </c>
      <c r="GT29">
        <v>28.2255</v>
      </c>
      <c r="GU29">
        <v>22.128799999999998</v>
      </c>
      <c r="GV29">
        <v>34.288600000000002</v>
      </c>
      <c r="GW29">
        <v>0</v>
      </c>
      <c r="GX29">
        <v>25.83</v>
      </c>
      <c r="GY29">
        <v>450</v>
      </c>
      <c r="GZ29">
        <v>19.5</v>
      </c>
      <c r="HA29">
        <v>100.357</v>
      </c>
      <c r="HB29">
        <v>69.256900000000002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2025-07-09T12:17:29Z</dcterms:created>
  <dcterms:modified xsi:type="dcterms:W3CDTF">2025-12-01T11:34:18Z</dcterms:modified>
</cp:coreProperties>
</file>