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4" documentId="11_ACE071008C6B9985330EE9A805F249D70638F030" xr6:coauthVersionLast="47" xr6:coauthVersionMax="47" xr10:uidLastSave="{7365444C-0392-4DDF-BD78-4B20DF16BB66}"/>
  <bookViews>
    <workbookView xWindow="384" yWindow="38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W29" i="1"/>
  <c r="AV29" i="1"/>
  <c r="AU29" i="1"/>
  <c r="AT29" i="1"/>
  <c r="AS29" i="1"/>
  <c r="AL29" i="1"/>
  <c r="AG29" i="1"/>
  <c r="AF29" i="1"/>
  <c r="I29" i="1" s="1"/>
  <c r="H29" i="1" s="1"/>
  <c r="AE29" i="1"/>
  <c r="Y29" i="1"/>
  <c r="X29" i="1"/>
  <c r="W29" i="1"/>
  <c r="S29" i="1"/>
  <c r="P29" i="1"/>
  <c r="J29" i="1"/>
  <c r="K29" i="1" s="1"/>
  <c r="AY28" i="1"/>
  <c r="AX28" i="1"/>
  <c r="AW28" i="1"/>
  <c r="AV28" i="1"/>
  <c r="AU28" i="1"/>
  <c r="AT28" i="1"/>
  <c r="AS28" i="1"/>
  <c r="AL28" i="1"/>
  <c r="AG28" i="1"/>
  <c r="AF28" i="1"/>
  <c r="I28" i="1" s="1"/>
  <c r="H28" i="1" s="1"/>
  <c r="AE28" i="1"/>
  <c r="J28" i="1" s="1"/>
  <c r="Y28" i="1"/>
  <c r="X28" i="1"/>
  <c r="W28" i="1"/>
  <c r="S28" i="1"/>
  <c r="P28" i="1"/>
  <c r="AY27" i="1"/>
  <c r="AX27" i="1"/>
  <c r="AW27" i="1"/>
  <c r="AV27" i="1"/>
  <c r="AU27" i="1"/>
  <c r="AS27" i="1"/>
  <c r="AT27" i="1" s="1"/>
  <c r="AL27" i="1"/>
  <c r="AG27" i="1"/>
  <c r="AF27" i="1"/>
  <c r="I27" i="1" s="1"/>
  <c r="H27" i="1" s="1"/>
  <c r="AE27" i="1"/>
  <c r="J27" i="1" s="1"/>
  <c r="Y27" i="1"/>
  <c r="X27" i="1"/>
  <c r="W27" i="1"/>
  <c r="S27" i="1"/>
  <c r="T27" i="1" s="1"/>
  <c r="U27" i="1" s="1"/>
  <c r="P27" i="1"/>
  <c r="AY26" i="1"/>
  <c r="AX26" i="1"/>
  <c r="AW26" i="1"/>
  <c r="AV26" i="1"/>
  <c r="AU26" i="1"/>
  <c r="AT26" i="1"/>
  <c r="AS26" i="1"/>
  <c r="AL26" i="1"/>
  <c r="AG26" i="1"/>
  <c r="AF26" i="1"/>
  <c r="AE26" i="1"/>
  <c r="Y26" i="1"/>
  <c r="X26" i="1"/>
  <c r="W26" i="1"/>
  <c r="S26" i="1"/>
  <c r="P26" i="1"/>
  <c r="J26" i="1"/>
  <c r="N26" i="1" s="1"/>
  <c r="I26" i="1"/>
  <c r="H26" i="1"/>
  <c r="T26" i="1" s="1"/>
  <c r="U26" i="1" s="1"/>
  <c r="AY25" i="1"/>
  <c r="AX25" i="1"/>
  <c r="AW25" i="1"/>
  <c r="AV25" i="1"/>
  <c r="AU25" i="1"/>
  <c r="AT25" i="1"/>
  <c r="AS25" i="1"/>
  <c r="AL25" i="1"/>
  <c r="AG25" i="1"/>
  <c r="AF25" i="1"/>
  <c r="AE25" i="1"/>
  <c r="Y25" i="1"/>
  <c r="X25" i="1"/>
  <c r="W25" i="1"/>
  <c r="S25" i="1"/>
  <c r="P25" i="1"/>
  <c r="J25" i="1"/>
  <c r="K25" i="1" s="1"/>
  <c r="I25" i="1"/>
  <c r="H25" i="1" s="1"/>
  <c r="AY24" i="1"/>
  <c r="AX24" i="1"/>
  <c r="AW24" i="1"/>
  <c r="AV24" i="1"/>
  <c r="AU24" i="1"/>
  <c r="AT24" i="1"/>
  <c r="AS24" i="1"/>
  <c r="AL24" i="1"/>
  <c r="AG24" i="1"/>
  <c r="AF24" i="1"/>
  <c r="I24" i="1" s="1"/>
  <c r="H24" i="1" s="1"/>
  <c r="AE24" i="1"/>
  <c r="J24" i="1" s="1"/>
  <c r="Y24" i="1"/>
  <c r="X24" i="1"/>
  <c r="W24" i="1"/>
  <c r="S24" i="1"/>
  <c r="P24" i="1"/>
  <c r="AY23" i="1"/>
  <c r="AX23" i="1"/>
  <c r="AW23" i="1"/>
  <c r="AV23" i="1"/>
  <c r="AU23" i="1"/>
  <c r="AS23" i="1"/>
  <c r="AT23" i="1" s="1"/>
  <c r="AL23" i="1"/>
  <c r="AG23" i="1"/>
  <c r="AF23" i="1"/>
  <c r="I23" i="1" s="1"/>
  <c r="H23" i="1" s="1"/>
  <c r="AE23" i="1"/>
  <c r="J23" i="1" s="1"/>
  <c r="Y23" i="1"/>
  <c r="X23" i="1"/>
  <c r="W23" i="1"/>
  <c r="S23" i="1"/>
  <c r="P23" i="1"/>
  <c r="AY22" i="1"/>
  <c r="AX22" i="1"/>
  <c r="AW22" i="1"/>
  <c r="AV22" i="1"/>
  <c r="AU22" i="1"/>
  <c r="AT22" i="1"/>
  <c r="AS22" i="1"/>
  <c r="AL22" i="1"/>
  <c r="AG22" i="1"/>
  <c r="AF22" i="1"/>
  <c r="AE22" i="1"/>
  <c r="Y22" i="1"/>
  <c r="X22" i="1"/>
  <c r="W22" i="1"/>
  <c r="S22" i="1"/>
  <c r="P22" i="1"/>
  <c r="J22" i="1"/>
  <c r="N22" i="1" s="1"/>
  <c r="I22" i="1"/>
  <c r="H22" i="1"/>
  <c r="AY21" i="1"/>
  <c r="AX21" i="1"/>
  <c r="AW21" i="1"/>
  <c r="AV21" i="1"/>
  <c r="AU21" i="1"/>
  <c r="AT21" i="1"/>
  <c r="AS21" i="1"/>
  <c r="AL21" i="1"/>
  <c r="AG21" i="1"/>
  <c r="AF21" i="1"/>
  <c r="AE21" i="1"/>
  <c r="Y21" i="1"/>
  <c r="X21" i="1"/>
  <c r="W21" i="1"/>
  <c r="S21" i="1"/>
  <c r="P21" i="1"/>
  <c r="J21" i="1"/>
  <c r="N21" i="1" s="1"/>
  <c r="I21" i="1"/>
  <c r="H21" i="1" s="1"/>
  <c r="AY20" i="1"/>
  <c r="AX20" i="1"/>
  <c r="AW20" i="1"/>
  <c r="AV20" i="1"/>
  <c r="AU20" i="1"/>
  <c r="AT20" i="1"/>
  <c r="AS20" i="1"/>
  <c r="AL20" i="1"/>
  <c r="AG20" i="1"/>
  <c r="AF20" i="1"/>
  <c r="I20" i="1" s="1"/>
  <c r="H20" i="1" s="1"/>
  <c r="AE20" i="1"/>
  <c r="J20" i="1" s="1"/>
  <c r="Y20" i="1"/>
  <c r="X20" i="1"/>
  <c r="W20" i="1"/>
  <c r="S20" i="1"/>
  <c r="P20" i="1"/>
  <c r="AY19" i="1"/>
  <c r="AX19" i="1"/>
  <c r="AW19" i="1"/>
  <c r="AV19" i="1"/>
  <c r="AU19" i="1"/>
  <c r="AT19" i="1"/>
  <c r="AS19" i="1"/>
  <c r="AL19" i="1"/>
  <c r="AG19" i="1"/>
  <c r="AF19" i="1"/>
  <c r="AE19" i="1"/>
  <c r="Y19" i="1"/>
  <c r="X19" i="1"/>
  <c r="W19" i="1"/>
  <c r="S19" i="1"/>
  <c r="T19" i="1" s="1"/>
  <c r="U19" i="1" s="1"/>
  <c r="P19" i="1"/>
  <c r="N19" i="1"/>
  <c r="J19" i="1"/>
  <c r="K19" i="1" s="1"/>
  <c r="I19" i="1"/>
  <c r="H19" i="1"/>
  <c r="AA19" i="1" s="1"/>
  <c r="AY18" i="1"/>
  <c r="AX18" i="1"/>
  <c r="AW18" i="1"/>
  <c r="AV18" i="1"/>
  <c r="AU18" i="1"/>
  <c r="AT18" i="1"/>
  <c r="AS18" i="1"/>
  <c r="AL18" i="1"/>
  <c r="AG18" i="1"/>
  <c r="AF18" i="1"/>
  <c r="AE18" i="1"/>
  <c r="Y18" i="1"/>
  <c r="X18" i="1"/>
  <c r="W18" i="1"/>
  <c r="S18" i="1"/>
  <c r="P18" i="1"/>
  <c r="J18" i="1"/>
  <c r="N18" i="1" s="1"/>
  <c r="I18" i="1"/>
  <c r="H18" i="1"/>
  <c r="T18" i="1" s="1"/>
  <c r="U18" i="1" s="1"/>
  <c r="AY17" i="1"/>
  <c r="AX17" i="1"/>
  <c r="AW17" i="1"/>
  <c r="AV17" i="1"/>
  <c r="AU17" i="1"/>
  <c r="AT17" i="1"/>
  <c r="AS17" i="1"/>
  <c r="AL17" i="1"/>
  <c r="AG17" i="1"/>
  <c r="AF17" i="1"/>
  <c r="AE17" i="1"/>
  <c r="Y17" i="1"/>
  <c r="X17" i="1"/>
  <c r="W17" i="1"/>
  <c r="S17" i="1"/>
  <c r="P17" i="1"/>
  <c r="J17" i="1"/>
  <c r="K17" i="1" s="1"/>
  <c r="I17" i="1"/>
  <c r="H17" i="1" s="1"/>
  <c r="V18" i="1" l="1"/>
  <c r="Z18" i="1" s="1"/>
  <c r="AC18" i="1"/>
  <c r="AB18" i="1"/>
  <c r="K23" i="1"/>
  <c r="N23" i="1"/>
  <c r="AA23" i="1"/>
  <c r="T25" i="1"/>
  <c r="U25" i="1" s="1"/>
  <c r="AA25" i="1"/>
  <c r="K20" i="1"/>
  <c r="N20" i="1"/>
  <c r="K28" i="1"/>
  <c r="N28" i="1"/>
  <c r="AC19" i="1"/>
  <c r="AD19" i="1" s="1"/>
  <c r="AB19" i="1"/>
  <c r="V19" i="1"/>
  <c r="Z19" i="1" s="1"/>
  <c r="AA20" i="1"/>
  <c r="T20" i="1"/>
  <c r="U20" i="1" s="1"/>
  <c r="T23" i="1"/>
  <c r="U23" i="1" s="1"/>
  <c r="V26" i="1"/>
  <c r="Z26" i="1" s="1"/>
  <c r="AC26" i="1"/>
  <c r="AD26" i="1" s="1"/>
  <c r="AB26" i="1"/>
  <c r="K27" i="1"/>
  <c r="N27" i="1"/>
  <c r="AA28" i="1"/>
  <c r="T28" i="1"/>
  <c r="U28" i="1" s="1"/>
  <c r="AC27" i="1"/>
  <c r="AB27" i="1"/>
  <c r="V27" i="1"/>
  <c r="Z27" i="1" s="1"/>
  <c r="AA17" i="1"/>
  <c r="T17" i="1"/>
  <c r="U17" i="1" s="1"/>
  <c r="AA27" i="1"/>
  <c r="Q27" i="1"/>
  <c r="O27" i="1" s="1"/>
  <c r="R27" i="1" s="1"/>
  <c r="L27" i="1" s="1"/>
  <c r="M27" i="1" s="1"/>
  <c r="AA29" i="1"/>
  <c r="T29" i="1"/>
  <c r="U29" i="1" s="1"/>
  <c r="K24" i="1"/>
  <c r="N24" i="1"/>
  <c r="AA24" i="1"/>
  <c r="T24" i="1"/>
  <c r="U24" i="1" s="1"/>
  <c r="AA21" i="1"/>
  <c r="T21" i="1"/>
  <c r="U21" i="1" s="1"/>
  <c r="Q26" i="1"/>
  <c r="O26" i="1" s="1"/>
  <c r="R26" i="1" s="1"/>
  <c r="L26" i="1" s="1"/>
  <c r="M26" i="1" s="1"/>
  <c r="K18" i="1"/>
  <c r="AA18" i="1"/>
  <c r="AD18" i="1" s="1"/>
  <c r="Q19" i="1"/>
  <c r="O19" i="1" s="1"/>
  <c r="R19" i="1" s="1"/>
  <c r="L19" i="1" s="1"/>
  <c r="M19" i="1" s="1"/>
  <c r="K22" i="1"/>
  <c r="AA22" i="1"/>
  <c r="K26" i="1"/>
  <c r="AA26" i="1"/>
  <c r="Q18" i="1"/>
  <c r="O18" i="1" s="1"/>
  <c r="R18" i="1" s="1"/>
  <c r="L18" i="1" s="1"/>
  <c r="M18" i="1" s="1"/>
  <c r="K21" i="1"/>
  <c r="N17" i="1"/>
  <c r="T22" i="1"/>
  <c r="U22" i="1" s="1"/>
  <c r="N25" i="1"/>
  <c r="N29" i="1"/>
  <c r="V22" i="1" l="1"/>
  <c r="Z22" i="1" s="1"/>
  <c r="AC22" i="1"/>
  <c r="AD22" i="1" s="1"/>
  <c r="AB22" i="1"/>
  <c r="V24" i="1"/>
  <c r="Z24" i="1" s="1"/>
  <c r="AC24" i="1"/>
  <c r="AB24" i="1"/>
  <c r="AB28" i="1"/>
  <c r="V28" i="1"/>
  <c r="Z28" i="1" s="1"/>
  <c r="AC28" i="1"/>
  <c r="AC23" i="1"/>
  <c r="AD23" i="1" s="1"/>
  <c r="AB23" i="1"/>
  <c r="V23" i="1"/>
  <c r="Z23" i="1" s="1"/>
  <c r="Q23" i="1"/>
  <c r="O23" i="1" s="1"/>
  <c r="R23" i="1" s="1"/>
  <c r="L23" i="1" s="1"/>
  <c r="M23" i="1" s="1"/>
  <c r="Q28" i="1"/>
  <c r="O28" i="1" s="1"/>
  <c r="R28" i="1" s="1"/>
  <c r="L28" i="1" s="1"/>
  <c r="M28" i="1" s="1"/>
  <c r="Q22" i="1"/>
  <c r="O22" i="1" s="1"/>
  <c r="R22" i="1" s="1"/>
  <c r="L22" i="1" s="1"/>
  <c r="M22" i="1" s="1"/>
  <c r="V17" i="1"/>
  <c r="Z17" i="1" s="1"/>
  <c r="AC17" i="1"/>
  <c r="AD17" i="1" s="1"/>
  <c r="AB17" i="1"/>
  <c r="AC20" i="1"/>
  <c r="V20" i="1"/>
  <c r="Z20" i="1" s="1"/>
  <c r="AB20" i="1"/>
  <c r="Q20" i="1"/>
  <c r="O20" i="1" s="1"/>
  <c r="R20" i="1" s="1"/>
  <c r="L20" i="1" s="1"/>
  <c r="M20" i="1" s="1"/>
  <c r="V21" i="1"/>
  <c r="Z21" i="1" s="1"/>
  <c r="AC21" i="1"/>
  <c r="AD21" i="1" s="1"/>
  <c r="AB21" i="1"/>
  <c r="Q17" i="1"/>
  <c r="O17" i="1" s="1"/>
  <c r="R17" i="1" s="1"/>
  <c r="L17" i="1" s="1"/>
  <c r="M17" i="1" s="1"/>
  <c r="V29" i="1"/>
  <c r="Z29" i="1" s="1"/>
  <c r="AC29" i="1"/>
  <c r="AB29" i="1"/>
  <c r="Q21" i="1"/>
  <c r="O21" i="1" s="1"/>
  <c r="R21" i="1" s="1"/>
  <c r="L21" i="1" s="1"/>
  <c r="M21" i="1" s="1"/>
  <c r="V25" i="1"/>
  <c r="Z25" i="1" s="1"/>
  <c r="AC25" i="1"/>
  <c r="AD25" i="1" s="1"/>
  <c r="AB25" i="1"/>
  <c r="Q24" i="1"/>
  <c r="O24" i="1" s="1"/>
  <c r="R24" i="1" s="1"/>
  <c r="L24" i="1" s="1"/>
  <c r="M24" i="1" s="1"/>
  <c r="Q29" i="1"/>
  <c r="O29" i="1" s="1"/>
  <c r="R29" i="1" s="1"/>
  <c r="L29" i="1" s="1"/>
  <c r="M29" i="1" s="1"/>
  <c r="AD27" i="1"/>
  <c r="Q25" i="1"/>
  <c r="O25" i="1" s="1"/>
  <c r="R25" i="1" s="1"/>
  <c r="L25" i="1" s="1"/>
  <c r="M25" i="1" s="1"/>
  <c r="AD24" i="1" l="1"/>
  <c r="AD29" i="1"/>
  <c r="AD20" i="1"/>
  <c r="AD28" i="1"/>
</calcChain>
</file>

<file path=xl/sharedStrings.xml><?xml version="1.0" encoding="utf-8"?>
<sst xmlns="http://schemas.openxmlformats.org/spreadsheetml/2006/main" count="814" uniqueCount="368">
  <si>
    <t>File opened</t>
  </si>
  <si>
    <t>2025-08-12 12:20:31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</si>
  <si>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</si>
  <si>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</si>
  <si>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</si>
  <si>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</si>
  <si>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</si>
  <si>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</si>
  <si>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</si>
  <si>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</si>
  <si>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</si>
  <si>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</si>
  <si>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</si>
  <si>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</si>
  <si>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</si>
  <si>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</si>
  <si>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</si>
  <si>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</si>
  <si>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</si>
  <si>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</si>
  <si>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</si>
  <si>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</si>
  <si>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</si>
  <si>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</si>
  <si>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</si>
  <si>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</si>
  <si>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</si>
  <si>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</si>
  <si>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12:20:31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</si>
  <si>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</si>
  <si>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</si>
  <si>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</si>
  <si>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</si>
  <si>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</si>
  <si>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</si>
  <si>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</si>
  <si>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</si>
  <si>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</si>
  <si>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</si>
  <si>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</si>
  <si>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</si>
  <si>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</si>
  <si>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</si>
  <si>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</si>
  <si>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</si>
  <si>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</si>
  <si>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</si>
  <si>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</si>
  <si>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</si>
  <si>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</si>
  <si>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</si>
  <si>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</si>
  <si>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</si>
  <si>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</si>
  <si>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</si>
  <si>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</si>
  <si>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</si>
  <si>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</si>
  <si>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</si>
  <si>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</si>
  <si>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</si>
  <si>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</si>
  <si>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</si>
  <si>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</si>
  <si>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</si>
  <si>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</si>
  <si>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</si>
  <si>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</si>
  <si>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</si>
  <si>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</si>
  <si>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</si>
  <si>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</si>
  <si>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</si>
  <si>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</si>
  <si>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</si>
  <si>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</si>
  <si>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</si>
  <si>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</si>
  <si>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</si>
  <si>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</si>
  <si>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3.68373 163.325 348.33 594.947 859 1060.77 1292.73 1493.38</t>
  </si>
  <si>
    <t>Fs_true</t>
  </si>
  <si>
    <t>0.82554 201.409 386.044 596.004 805.73 1001.38 1201.08 1400.64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</si>
  <si>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</si>
  <si>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</si>
  <si>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</si>
  <si>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</si>
  <si>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</si>
  <si>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</si>
  <si>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</si>
  <si>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</si>
  <si>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</si>
  <si>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</si>
  <si>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</si>
  <si>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</si>
  <si>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</si>
  <si>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</si>
  <si>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</si>
  <si>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</si>
  <si>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</si>
  <si>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</si>
  <si>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</si>
  <si>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</si>
  <si>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</si>
  <si>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</si>
  <si>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</si>
  <si>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</si>
  <si>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</si>
  <si>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</si>
  <si>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</si>
  <si>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</si>
  <si>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</si>
  <si>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</si>
  <si>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</si>
  <si>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</si>
  <si>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</si>
  <si>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</si>
  <si>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</si>
  <si>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</si>
  <si>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</si>
  <si>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</si>
  <si>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</si>
  <si>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</si>
  <si>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</si>
  <si>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</si>
  <si>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</si>
  <si>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</si>
  <si>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</si>
  <si>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</si>
  <si>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</si>
  <si>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</si>
  <si>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</si>
  <si>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</si>
  <si>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</si>
  <si>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</si>
  <si>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</si>
  <si>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</si>
  <si>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</si>
  <si>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</si>
  <si>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</si>
  <si>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</si>
  <si>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</si>
  <si>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</si>
  <si>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</si>
  <si>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</si>
  <si>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</si>
  <si>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</si>
  <si>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</si>
  <si>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</si>
  <si>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</si>
  <si>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</si>
  <si>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</si>
  <si>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</si>
  <si>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</si>
  <si>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</si>
  <si>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</si>
  <si>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</si>
  <si>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</si>
  <si>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</si>
  <si>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</si>
  <si>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</si>
  <si>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</si>
  <si>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</si>
  <si>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</si>
  <si>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</si>
  <si>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</si>
  <si>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</si>
  <si>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</si>
  <si>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</si>
  <si>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</si>
  <si>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</si>
  <si>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</si>
  <si>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</si>
  <si>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</si>
  <si>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</si>
  <si>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</si>
  <si>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</si>
  <si>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</si>
  <si>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</si>
  <si>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</si>
  <si>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</si>
  <si>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</si>
  <si>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</si>
  <si>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</si>
  <si>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</si>
  <si>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</si>
  <si>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</si>
  <si>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</si>
  <si>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</si>
  <si>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</si>
  <si>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</si>
  <si>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</si>
  <si>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</si>
  <si>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</si>
  <si>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</si>
  <si>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</si>
  <si>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</si>
  <si>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</si>
  <si>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</si>
  <si>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</si>
  <si>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</si>
  <si>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</si>
  <si>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</si>
  <si>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</si>
  <si>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</si>
  <si>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</si>
  <si>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</si>
  <si>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</si>
  <si>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</si>
  <si>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</si>
  <si>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</si>
  <si>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</si>
  <si>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</si>
  <si>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</si>
  <si>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</si>
  <si>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</si>
  <si>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</si>
  <si>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</si>
  <si>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</si>
  <si>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</si>
  <si>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</si>
  <si>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</si>
  <si>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</si>
  <si>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</si>
  <si>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</si>
  <si>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</si>
  <si>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</si>
  <si>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</si>
  <si>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</si>
  <si>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</si>
  <si>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</si>
  <si>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</si>
  <si>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</si>
  <si>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</si>
  <si>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</si>
  <si>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</si>
  <si>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</si>
  <si>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</si>
  <si>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</si>
  <si>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</si>
  <si>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</si>
  <si>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</si>
  <si>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</si>
  <si>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</si>
  <si>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</si>
  <si>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</si>
  <si>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</si>
  <si>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</si>
  <si>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</si>
  <si>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</si>
  <si>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</si>
  <si>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</si>
  <si>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</si>
  <si>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</si>
  <si>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</si>
  <si>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</si>
  <si>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</si>
  <si>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</si>
  <si>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</si>
  <si>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</si>
  <si>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</si>
  <si>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</si>
  <si>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</si>
  <si>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</si>
  <si>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</si>
  <si>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</si>
  <si>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</si>
  <si>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</si>
  <si>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</si>
  <si>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</si>
  <si>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</si>
  <si>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</si>
  <si>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</si>
  <si>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</si>
  <si>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</si>
  <si>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</si>
  <si>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</si>
  <si>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</si>
  <si>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</si>
  <si>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</si>
  <si>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</si>
  <si>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</si>
  <si>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</si>
  <si>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</si>
  <si>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</si>
  <si>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</si>
  <si>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</si>
  <si>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</si>
  <si>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</si>
  <si>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</si>
  <si>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</si>
  <si>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</si>
  <si>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</si>
  <si>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</si>
  <si>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</si>
  <si>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</si>
  <si>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</si>
  <si>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</si>
  <si>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</si>
  <si>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</si>
  <si>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</si>
  <si>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</si>
  <si>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</si>
  <si>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</si>
  <si>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</si>
  <si>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</si>
  <si>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</si>
  <si>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</si>
  <si>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</si>
  <si>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</si>
  <si>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</si>
  <si>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</si>
  <si>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</si>
  <si>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</si>
  <si>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</si>
  <si>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</si>
  <si>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</si>
  <si>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</si>
  <si>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</si>
  <si>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</si>
  <si>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</si>
  <si>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</si>
  <si>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</si>
  <si>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</si>
  <si>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</si>
  <si>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</si>
  <si>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</si>
  <si>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</si>
  <si>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</si>
  <si>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</si>
  <si>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</si>
  <si>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</si>
  <si>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</si>
  <si>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</si>
  <si>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20250812 12:54:42</t>
  </si>
  <si>
    <t>12:54:42</t>
  </si>
  <si>
    <t>0: Broadleaf</t>
  </si>
  <si>
    <t>12:50:18</t>
  </si>
  <si>
    <t>2/2</t>
  </si>
  <si>
    <t>11111111</t>
  </si>
  <si>
    <t>oooooooo</t>
  </si>
  <si>
    <t>on</t>
  </si>
  <si>
    <t>20250812 12:57:42</t>
  </si>
  <si>
    <t>12:57:42</t>
  </si>
  <si>
    <t>20250812 13:00:43</t>
  </si>
  <si>
    <t>13:00:43</t>
  </si>
  <si>
    <t>20250812 13:03:43</t>
  </si>
  <si>
    <t>13:03:43</t>
  </si>
  <si>
    <t>20250812 13:06:44</t>
  </si>
  <si>
    <t>13:06:44</t>
  </si>
  <si>
    <t>20250812 13:09:45</t>
  </si>
  <si>
    <t>13:09:45</t>
  </si>
  <si>
    <t>1/2</t>
  </si>
  <si>
    <t>20250812 13:12:45</t>
  </si>
  <si>
    <t>13:12:45</t>
  </si>
  <si>
    <t>20250812 13:15:46</t>
  </si>
  <si>
    <t>13:15:46</t>
  </si>
  <si>
    <t>20250812 13:18:46</t>
  </si>
  <si>
    <t>13:18:46</t>
  </si>
  <si>
    <t>20250812 13:21:47</t>
  </si>
  <si>
    <t>13:21:47</t>
  </si>
  <si>
    <t>20250812 13:24:47</t>
  </si>
  <si>
    <t>13:24:47</t>
  </si>
  <si>
    <t>20250812 13:27:48</t>
  </si>
  <si>
    <t>13:27:48</t>
  </si>
  <si>
    <t>0/2</t>
  </si>
  <si>
    <t>20250812 13:30:48</t>
  </si>
  <si>
    <t>13:30:48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</si>
</sst>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N6" workbookViewId="0">
      <selection activeCell="BB16" sqref="BB16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1754996082.0999999</v>
      </c>
      <c r="C17">
        <v>0</v>
      </c>
      <c r="D17" t="s">
        <v>334</v>
      </c>
      <c r="E17" t="s">
        <v>335</v>
      </c>
      <c r="F17">
        <v>15</v>
      </c>
      <c r="G17">
        <v>1754996074.099999</v>
      </c>
      <c r="H17">
        <f t="shared" ref="H17:H29" si="0">(I17)/1000</f>
        <v>3.5242984709968721E-3</v>
      </c>
      <c r="I17">
        <f t="shared" ref="I17:I29" si="1">IF(BD17, AL17, AF17)</f>
        <v>3.5242984709968721</v>
      </c>
      <c r="J17">
        <f t="shared" ref="J17:J29" si="2">IF(BD17, AG17, AE17)</f>
        <v>32.78315199613008</v>
      </c>
      <c r="K17">
        <f t="shared" ref="K17:K29" si="3">BF17 - IF(AS17&gt;1, J17*AZ17*100/(AU17), 0)</f>
        <v>372.78301801612179</v>
      </c>
      <c r="L17">
        <f t="shared" ref="L17:L29" si="4">((R17-H17/2)*K17-J17)/(R17+H17/2)</f>
        <v>285.92135009043068</v>
      </c>
      <c r="M17">
        <f t="shared" ref="M17:M29" si="5">L17*(BM17+BN17)/1000</f>
        <v>29.0721508145953</v>
      </c>
      <c r="N17">
        <f t="shared" ref="N17:N29" si="6">(BF17 - IF(AS17&gt;1, J17*AZ17*100/(AU17), 0))*(BM17+BN17)/1000</f>
        <v>37.904144330099847</v>
      </c>
      <c r="O17">
        <f t="shared" ref="O17:O29" si="7">2/((1/Q17-1/P17)+SIGN(Q17)*SQRT((1/Q17-1/P17)*(1/Q17-1/P17) + 4*BA17/((BA17+1)*(BA17+1))*(2*1/Q17*1/P17-1/P17*1/P17)))</f>
        <v>0.70369006963490288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2.4207052042026747</v>
      </c>
      <c r="Q17">
        <f t="shared" ref="Q17:Q29" si="9">H17*(1000-(1000*0.61365*EXP(17.502*U17/(240.97+U17))/(BM17+BN17)+BH17)/2)/(1000*0.61365*EXP(17.502*U17/(240.97+U17))/(BM17+BN17)-BH17)</f>
        <v>0.61377491960357</v>
      </c>
      <c r="R17">
        <f t="shared" ref="R17:R29" si="10">1/((BA17+1)/(O17/1.6)+1/(P17/1.37)) + BA17/((BA17+1)/(O17/1.6) + BA17/(P17/1.37))</f>
        <v>0.39078097629724318</v>
      </c>
      <c r="S17">
        <f t="shared" ref="S17:S29" si="11">(AV17*AY17)</f>
        <v>225.79220000000004</v>
      </c>
      <c r="T17">
        <f t="shared" ref="T17:T29" si="12">(BO17+(S17+2*0.95*0.0000000567*(((BO17+$B$7)+273)^4-(BO17+273)^4)-44100*H17)/(1.84*29.3*P17+8*0.95*0.0000000567*(BO17+273)^3))</f>
        <v>27.353140863341327</v>
      </c>
      <c r="U17">
        <f t="shared" ref="U17:U29" si="13">($C$7*BP17+$D$7*BQ17+$E$7*T17)</f>
        <v>25.820619354838708</v>
      </c>
      <c r="V17">
        <f t="shared" ref="V17:V29" si="14">0.61365*EXP(17.502*U17/(240.97+U17))</f>
        <v>3.3386078146370295</v>
      </c>
      <c r="W17">
        <f t="shared" ref="W17:W29" si="15">(X17/Y17*100)</f>
        <v>78.106085746993273</v>
      </c>
      <c r="X17">
        <f t="shared" ref="X17:X29" si="16">BH17*(BM17+BN17)/1000</f>
        <v>2.7723119106063372</v>
      </c>
      <c r="Y17">
        <f t="shared" ref="Y17:Y29" si="17">0.61365*EXP(17.502*BO17/(240.97+BO17))</f>
        <v>3.5494185684667454</v>
      </c>
      <c r="Z17">
        <f t="shared" ref="Z17:Z29" si="18">(V17-BH17*(BM17+BN17)/1000)</f>
        <v>0.5662959040306923</v>
      </c>
      <c r="AA17">
        <f t="shared" ref="AA17:AA29" si="19">(-H17*44100)</f>
        <v>-155.42156257096207</v>
      </c>
      <c r="AB17">
        <f t="shared" ref="AB17:AB29" si="20">2*29.3*P17*0.92*(BO17-U17)</f>
        <v>135.38384325410817</v>
      </c>
      <c r="AC17">
        <f t="shared" ref="AC17:AC29" si="21">2*0.95*0.0000000567*(((BO17+$B$7)+273)^4-(U17+273)^4)</f>
        <v>11.990263073893399</v>
      </c>
      <c r="AD17">
        <f t="shared" ref="AD17:AD29" si="22">S17+AC17+AA17+AB17</f>
        <v>217.74474375703954</v>
      </c>
      <c r="AE17">
        <f t="shared" ref="AE17:AE29" si="23">BL17*AS17*(BG17-BF17*(1000-AS17*BI17)/(1000-AS17*BH17))/(100*AZ17)</f>
        <v>32.78315199613008</v>
      </c>
      <c r="AF17">
        <f t="shared" ref="AF17:AF29" si="24">1000*BL17*AS17*(BH17-BI17)/(100*AZ17*(1000-AS17*BH17))</f>
        <v>3.5242984709968721</v>
      </c>
      <c r="AG17">
        <f t="shared" ref="AG17:AG29" si="25">(AH17 - AI17 - BM17*1000/(8.314*(BO17+273.15)) * AK17/BL17 * AJ17) * BL17/(100*AZ17) * (1000 - BI17)/1000</f>
        <v>32.782372342504942</v>
      </c>
      <c r="AH17">
        <v>458.94087385676733</v>
      </c>
      <c r="AI17">
        <v>383.73285454545459</v>
      </c>
      <c r="AJ17">
        <v>-3.3102218295522142E-3</v>
      </c>
      <c r="AK17">
        <v>83.97285148576583</v>
      </c>
      <c r="AL17">
        <f t="shared" ref="AL17:AL29" si="26">(AN17 - AM17 + BM17*1000/(8.314*(BO17+273.15)) * AP17/BL17 * AO17) * BL17/(100*AZ17) * 1000/(1000 - AN17)</f>
        <v>3.5229398633906341</v>
      </c>
      <c r="AM17">
        <v>19.559671010676968</v>
      </c>
      <c r="AN17">
        <v>27.270544099378888</v>
      </c>
      <c r="AO17">
        <v>4.8018926895277936E-6</v>
      </c>
      <c r="AP17">
        <v>90.551659989945747</v>
      </c>
      <c r="AQ17">
        <v>33</v>
      </c>
      <c r="AR17">
        <v>8</v>
      </c>
      <c r="AS17">
        <f t="shared" ref="AS17:AS29" si="27">IF(AQ17*$H$13&gt;=AU17,1,(AU17/(AU17-AQ17*$H$13)))</f>
        <v>1.0009217627753622</v>
      </c>
      <c r="AT17">
        <f t="shared" ref="AT17:AT29" si="28">(AS17-1)*100</f>
        <v>9.2176277536215601E-2</v>
      </c>
      <c r="AU17">
        <f t="shared" ref="AU17:AU29" si="29">MAX(0,($B$13+$C$13*BT17)/(1+$D$13*BT17)*BM17/(BO17+273)*$E$13)</f>
        <v>53750.952611326269</v>
      </c>
      <c r="AV17">
        <f t="shared" ref="AV17:AV29" si="30">$B$11*BU17+$C$11*BV17</f>
        <v>1188.3800000000001</v>
      </c>
      <c r="AW17">
        <f t="shared" ref="AW17:AW29" si="31">AV17*AX17</f>
        <v>950.70400000000018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336</v>
      </c>
      <c r="BC17">
        <v>2</v>
      </c>
      <c r="BD17" t="b">
        <v>0</v>
      </c>
      <c r="BE17">
        <v>1754996074.099999</v>
      </c>
      <c r="BF17">
        <v>373.33193548387101</v>
      </c>
      <c r="BG17">
        <v>449.99112903225807</v>
      </c>
      <c r="BH17">
        <v>27.265377419354849</v>
      </c>
      <c r="BI17">
        <v>19.55874838709677</v>
      </c>
      <c r="BJ17">
        <v>369.88187096774192</v>
      </c>
      <c r="BK17">
        <v>26.966512903225809</v>
      </c>
      <c r="BL17">
        <v>399.97583870967742</v>
      </c>
      <c r="BM17">
        <v>101.5789032258065</v>
      </c>
      <c r="BN17">
        <v>9.9935396774193538E-2</v>
      </c>
      <c r="BO17">
        <v>26.858003225806449</v>
      </c>
      <c r="BP17">
        <v>25.820619354838708</v>
      </c>
      <c r="BQ17">
        <v>999.90000000000032</v>
      </c>
      <c r="BR17">
        <v>0</v>
      </c>
      <c r="BS17">
        <v>0</v>
      </c>
      <c r="BT17">
        <v>10002.61290322581</v>
      </c>
      <c r="BU17">
        <v>1188.3800000000001</v>
      </c>
      <c r="BV17">
        <v>20.467999999999989</v>
      </c>
      <c r="BW17">
        <v>-76.659203225806465</v>
      </c>
      <c r="BX17">
        <v>383.79622580645162</v>
      </c>
      <c r="BY17">
        <v>458.96793548387109</v>
      </c>
      <c r="BZ17">
        <v>7.7066229032258073</v>
      </c>
      <c r="CA17">
        <v>449.99112903225807</v>
      </c>
      <c r="CB17">
        <v>19.55874838709677</v>
      </c>
      <c r="CC17">
        <v>2.769587419354838</v>
      </c>
      <c r="CD17">
        <v>1.986756774193549</v>
      </c>
      <c r="CE17">
        <v>22.703925806451611</v>
      </c>
      <c r="CF17">
        <v>17.339187096774189</v>
      </c>
      <c r="CG17">
        <v>1754995818.5999999</v>
      </c>
      <c r="CH17" t="s">
        <v>337</v>
      </c>
      <c r="CI17">
        <v>1754995806.5999999</v>
      </c>
      <c r="CJ17">
        <v>1754995818.5999999</v>
      </c>
      <c r="CK17">
        <v>3</v>
      </c>
      <c r="CL17">
        <v>-1.0629999999999999</v>
      </c>
      <c r="CM17">
        <v>3.5999999999999997E-2</v>
      </c>
      <c r="CN17">
        <v>4.1210000000000004</v>
      </c>
      <c r="CO17">
        <v>0.29899999999999999</v>
      </c>
      <c r="CP17">
        <v>450</v>
      </c>
      <c r="CQ17">
        <v>19</v>
      </c>
      <c r="CR17">
        <v>0.05</v>
      </c>
      <c r="CS17">
        <v>0.01</v>
      </c>
      <c r="CT17">
        <v>-76.647000000000006</v>
      </c>
      <c r="CU17">
        <v>-0.23861811846712211</v>
      </c>
      <c r="CV17">
        <v>3.5292436832287541E-2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7.7065641463414618</v>
      </c>
      <c r="DC17">
        <v>1.20355400696929E-2</v>
      </c>
      <c r="DD17">
        <v>1.8506544335025799E-3</v>
      </c>
      <c r="DE17">
        <v>1</v>
      </c>
      <c r="DF17">
        <v>2</v>
      </c>
      <c r="DG17">
        <v>2</v>
      </c>
      <c r="DH17" t="s">
        <v>338</v>
      </c>
      <c r="DI17">
        <v>3.0246300000000002</v>
      </c>
      <c r="DJ17">
        <v>2.6912199999999999</v>
      </c>
      <c r="DK17">
        <v>8.8327600000000006E-2</v>
      </c>
      <c r="DL17">
        <v>0.10298400000000001</v>
      </c>
      <c r="DM17">
        <v>0.131185</v>
      </c>
      <c r="DN17">
        <v>0.105155</v>
      </c>
      <c r="DO17">
        <v>25442.9</v>
      </c>
      <c r="DP17">
        <v>16300.8</v>
      </c>
      <c r="DQ17">
        <v>26475.9</v>
      </c>
      <c r="DR17">
        <v>16501.3</v>
      </c>
      <c r="DS17">
        <v>32695.599999999999</v>
      </c>
      <c r="DT17">
        <v>19289.900000000001</v>
      </c>
      <c r="DU17">
        <v>38568</v>
      </c>
      <c r="DV17">
        <v>21873.1</v>
      </c>
      <c r="DW17">
        <v>1.73624</v>
      </c>
      <c r="DX17">
        <v>2.2132800000000001</v>
      </c>
      <c r="DY17">
        <v>7.9989400000000002E-2</v>
      </c>
      <c r="DZ17">
        <v>0</v>
      </c>
      <c r="EA17">
        <v>24.500299999999999</v>
      </c>
      <c r="EB17">
        <v>999.9</v>
      </c>
      <c r="EC17">
        <v>62.7</v>
      </c>
      <c r="ED17">
        <v>30.5</v>
      </c>
      <c r="EE17">
        <v>27.060700000000001</v>
      </c>
      <c r="EF17">
        <v>62.675699999999999</v>
      </c>
      <c r="EG17">
        <v>36.302100000000003</v>
      </c>
      <c r="EH17">
        <v>1</v>
      </c>
      <c r="EI17">
        <v>-2.04715E-2</v>
      </c>
      <c r="EJ17">
        <v>-0.30092400000000002</v>
      </c>
      <c r="EK17">
        <v>20.3443</v>
      </c>
      <c r="EL17">
        <v>5.25143</v>
      </c>
      <c r="EM17">
        <v>11.962</v>
      </c>
      <c r="EN17">
        <v>4.9897600000000004</v>
      </c>
      <c r="EO17">
        <v>3.2912599999999999</v>
      </c>
      <c r="EP17">
        <v>9999</v>
      </c>
      <c r="EQ17">
        <v>9999</v>
      </c>
      <c r="ER17">
        <v>9999</v>
      </c>
      <c r="ES17">
        <v>999.9</v>
      </c>
      <c r="ET17">
        <v>4.97262</v>
      </c>
      <c r="EU17">
        <v>1.8717900000000001</v>
      </c>
      <c r="EV17">
        <v>1.8720399999999999</v>
      </c>
      <c r="EW17">
        <v>1.8771</v>
      </c>
      <c r="EX17">
        <v>1.8712299999999999</v>
      </c>
      <c r="EY17">
        <v>1.87208</v>
      </c>
      <c r="EZ17">
        <v>1.87164</v>
      </c>
      <c r="FA17">
        <v>1.86863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3.4489999999999998</v>
      </c>
      <c r="FP17">
        <v>0.2989</v>
      </c>
      <c r="FQ17">
        <v>0.53999230802340548</v>
      </c>
      <c r="FR17">
        <v>7.0338458001993282E-3</v>
      </c>
      <c r="FS17">
        <v>2.3387658340725169E-6</v>
      </c>
      <c r="FT17">
        <v>-2.2874075696057401E-10</v>
      </c>
      <c r="FU17">
        <v>0.29886666666666528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4.5999999999999996</v>
      </c>
      <c r="GD17">
        <v>4.4000000000000004</v>
      </c>
      <c r="GE17">
        <v>1.09863</v>
      </c>
      <c r="GF17">
        <v>2.63184</v>
      </c>
      <c r="GG17">
        <v>1.7981</v>
      </c>
      <c r="GH17">
        <v>2.3791500000000001</v>
      </c>
      <c r="GI17">
        <v>1.5979000000000001</v>
      </c>
      <c r="GJ17">
        <v>2.49268</v>
      </c>
      <c r="GK17">
        <v>33.692999999999998</v>
      </c>
      <c r="GL17">
        <v>24.1663</v>
      </c>
      <c r="GM17">
        <v>18</v>
      </c>
      <c r="GN17">
        <v>328.798</v>
      </c>
      <c r="GO17">
        <v>680.75900000000001</v>
      </c>
      <c r="GP17">
        <v>25.83</v>
      </c>
      <c r="GQ17">
        <v>26.751799999999999</v>
      </c>
      <c r="GR17">
        <v>30.000299999999999</v>
      </c>
      <c r="GS17">
        <v>26.657699999999998</v>
      </c>
      <c r="GT17">
        <v>26.681699999999999</v>
      </c>
      <c r="GU17">
        <v>21.964600000000001</v>
      </c>
      <c r="GV17">
        <v>35.011200000000002</v>
      </c>
      <c r="GW17">
        <v>0</v>
      </c>
      <c r="GX17">
        <v>25.83</v>
      </c>
      <c r="GY17">
        <v>450</v>
      </c>
      <c r="GZ17">
        <v>19.5</v>
      </c>
      <c r="HA17">
        <v>100.604</v>
      </c>
      <c r="HB17">
        <v>68.265799999999999</v>
      </c>
    </row>
    <row r="18" spans="1:210" x14ac:dyDescent="0.3">
      <c r="A18">
        <v>2</v>
      </c>
      <c r="B18">
        <v>1754996262.5999999</v>
      </c>
      <c r="C18">
        <v>180.5</v>
      </c>
      <c r="D18" t="s">
        <v>342</v>
      </c>
      <c r="E18" t="s">
        <v>343</v>
      </c>
      <c r="F18">
        <v>15</v>
      </c>
      <c r="G18">
        <v>1754996254.849999</v>
      </c>
      <c r="H18">
        <f t="shared" si="0"/>
        <v>3.6046348128110613E-3</v>
      </c>
      <c r="I18">
        <f t="shared" si="1"/>
        <v>3.6046348128110615</v>
      </c>
      <c r="J18">
        <f t="shared" si="2"/>
        <v>21.463902963069582</v>
      </c>
      <c r="K18">
        <f t="shared" si="3"/>
        <v>249.35491344041455</v>
      </c>
      <c r="L18">
        <f t="shared" si="4"/>
        <v>194.75819972075402</v>
      </c>
      <c r="M18">
        <f t="shared" si="5"/>
        <v>19.801721147172628</v>
      </c>
      <c r="N18">
        <f t="shared" si="6"/>
        <v>25.352752642528589</v>
      </c>
      <c r="O18">
        <f t="shared" si="7"/>
        <v>0.73837060603095062</v>
      </c>
      <c r="P18">
        <f t="shared" si="8"/>
        <v>2.4204187536613135</v>
      </c>
      <c r="Q18">
        <f t="shared" si="9"/>
        <v>0.63998788400215756</v>
      </c>
      <c r="R18">
        <f t="shared" si="10"/>
        <v>0.40779626172473116</v>
      </c>
      <c r="S18">
        <f t="shared" si="11"/>
        <v>225.69162666666654</v>
      </c>
      <c r="T18">
        <f t="shared" si="12"/>
        <v>27.354576096465561</v>
      </c>
      <c r="U18">
        <f t="shared" si="13"/>
        <v>25.84716666666667</v>
      </c>
      <c r="V18">
        <f t="shared" si="14"/>
        <v>3.3438630706164272</v>
      </c>
      <c r="W18">
        <f t="shared" si="15"/>
        <v>78.436661434888251</v>
      </c>
      <c r="X18">
        <f t="shared" si="16"/>
        <v>2.7884729814254787</v>
      </c>
      <c r="Y18">
        <f t="shared" si="17"/>
        <v>3.5550633216843921</v>
      </c>
      <c r="Z18">
        <f t="shared" si="18"/>
        <v>0.55539008919094845</v>
      </c>
      <c r="AA18">
        <f t="shared" si="19"/>
        <v>-158.96439524496779</v>
      </c>
      <c r="AB18">
        <f t="shared" si="20"/>
        <v>135.43082263414217</v>
      </c>
      <c r="AC18">
        <f t="shared" si="21"/>
        <v>11.999064250214378</v>
      </c>
      <c r="AD18">
        <f t="shared" si="22"/>
        <v>214.15711830605531</v>
      </c>
      <c r="AE18">
        <f t="shared" si="23"/>
        <v>21.463902963069582</v>
      </c>
      <c r="AF18">
        <f t="shared" si="24"/>
        <v>3.6046348128110615</v>
      </c>
      <c r="AG18">
        <f t="shared" si="25"/>
        <v>21.420530213568835</v>
      </c>
      <c r="AH18">
        <v>305.99490454590551</v>
      </c>
      <c r="AI18">
        <v>256.82480606060591</v>
      </c>
      <c r="AJ18">
        <v>9.0894211051456423E-4</v>
      </c>
      <c r="AK18">
        <v>83.97285148576583</v>
      </c>
      <c r="AL18">
        <f t="shared" si="26"/>
        <v>3.6037465545967611</v>
      </c>
      <c r="AM18">
        <v>19.544074617678479</v>
      </c>
      <c r="AN18">
        <v>27.430899209486171</v>
      </c>
      <c r="AO18">
        <v>5.2678287134437081E-6</v>
      </c>
      <c r="AP18">
        <v>90.551659989945747</v>
      </c>
      <c r="AQ18">
        <v>33</v>
      </c>
      <c r="AR18">
        <v>8</v>
      </c>
      <c r="AS18">
        <f t="shared" si="27"/>
        <v>1.0009220126752016</v>
      </c>
      <c r="AT18">
        <f t="shared" si="28"/>
        <v>9.2201267520164443E-2</v>
      </c>
      <c r="AU18">
        <f t="shared" si="29"/>
        <v>53736.39751382891</v>
      </c>
      <c r="AV18">
        <f t="shared" si="30"/>
        <v>1187.850666666666</v>
      </c>
      <c r="AW18">
        <f t="shared" si="31"/>
        <v>950.28053333333287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336</v>
      </c>
      <c r="BC18">
        <v>2</v>
      </c>
      <c r="BD18" t="b">
        <v>0</v>
      </c>
      <c r="BE18">
        <v>1754996254.849999</v>
      </c>
      <c r="BF18">
        <v>249.71440000000001</v>
      </c>
      <c r="BG18">
        <v>299.99450000000002</v>
      </c>
      <c r="BH18">
        <v>27.42579666666666</v>
      </c>
      <c r="BI18">
        <v>19.544409999999999</v>
      </c>
      <c r="BJ18">
        <v>247.29536666666669</v>
      </c>
      <c r="BK18">
        <v>27.126919999999998</v>
      </c>
      <c r="BL18">
        <v>399.95613333333341</v>
      </c>
      <c r="BM18">
        <v>101.5735</v>
      </c>
      <c r="BN18">
        <v>9.9863049999999995E-2</v>
      </c>
      <c r="BO18">
        <v>26.885033333333329</v>
      </c>
      <c r="BP18">
        <v>25.84716666666667</v>
      </c>
      <c r="BQ18">
        <v>999.9000000000002</v>
      </c>
      <c r="BR18">
        <v>0</v>
      </c>
      <c r="BS18">
        <v>0</v>
      </c>
      <c r="BT18">
        <v>10001.283333333329</v>
      </c>
      <c r="BU18">
        <v>1187.850666666666</v>
      </c>
      <c r="BV18">
        <v>20.440930000000002</v>
      </c>
      <c r="BW18">
        <v>-50.280089999999987</v>
      </c>
      <c r="BX18">
        <v>256.75623333333328</v>
      </c>
      <c r="BY18">
        <v>305.97466666666668</v>
      </c>
      <c r="BZ18">
        <v>7.8813763333333338</v>
      </c>
      <c r="CA18">
        <v>299.99450000000002</v>
      </c>
      <c r="CB18">
        <v>19.544409999999999</v>
      </c>
      <c r="CC18">
        <v>2.785733</v>
      </c>
      <c r="CD18">
        <v>1.985193333333334</v>
      </c>
      <c r="CE18">
        <v>22.79978333333333</v>
      </c>
      <c r="CF18">
        <v>17.326746666666669</v>
      </c>
      <c r="CG18">
        <v>1754995818.5999999</v>
      </c>
      <c r="CH18" t="s">
        <v>337</v>
      </c>
      <c r="CI18">
        <v>1754995806.5999999</v>
      </c>
      <c r="CJ18">
        <v>1754995818.5999999</v>
      </c>
      <c r="CK18">
        <v>3</v>
      </c>
      <c r="CL18">
        <v>-1.0629999999999999</v>
      </c>
      <c r="CM18">
        <v>3.5999999999999997E-2</v>
      </c>
      <c r="CN18">
        <v>4.1210000000000004</v>
      </c>
      <c r="CO18">
        <v>0.29899999999999999</v>
      </c>
      <c r="CP18">
        <v>450</v>
      </c>
      <c r="CQ18">
        <v>19</v>
      </c>
      <c r="CR18">
        <v>0.05</v>
      </c>
      <c r="CS18">
        <v>0.01</v>
      </c>
      <c r="CT18">
        <v>-50.297336585365848</v>
      </c>
      <c r="CU18">
        <v>0.23307595818806731</v>
      </c>
      <c r="CV18">
        <v>3.751260442543624E-2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7.87858512195122</v>
      </c>
      <c r="DC18">
        <v>4.9518815331014182E-2</v>
      </c>
      <c r="DD18">
        <v>4.9644153842198649E-3</v>
      </c>
      <c r="DE18">
        <v>1</v>
      </c>
      <c r="DF18">
        <v>2</v>
      </c>
      <c r="DG18">
        <v>2</v>
      </c>
      <c r="DH18" t="s">
        <v>338</v>
      </c>
      <c r="DI18">
        <v>3.0244599999999999</v>
      </c>
      <c r="DJ18">
        <v>2.6910099999999999</v>
      </c>
      <c r="DK18">
        <v>6.3695299999999996E-2</v>
      </c>
      <c r="DL18">
        <v>7.5117199999999995E-2</v>
      </c>
      <c r="DM18">
        <v>0.131684</v>
      </c>
      <c r="DN18">
        <v>0.105069</v>
      </c>
      <c r="DO18">
        <v>26125.7</v>
      </c>
      <c r="DP18">
        <v>16805.599999999999</v>
      </c>
      <c r="DQ18">
        <v>26471.7</v>
      </c>
      <c r="DR18">
        <v>16500</v>
      </c>
      <c r="DS18">
        <v>32671.4</v>
      </c>
      <c r="DT18">
        <v>19290.7</v>
      </c>
      <c r="DU18">
        <v>38562</v>
      </c>
      <c r="DV18">
        <v>21872.1</v>
      </c>
      <c r="DW18">
        <v>1.7352799999999999</v>
      </c>
      <c r="DX18">
        <v>2.21136</v>
      </c>
      <c r="DY18">
        <v>7.9780799999999999E-2</v>
      </c>
      <c r="DZ18">
        <v>0</v>
      </c>
      <c r="EA18">
        <v>24.535399999999999</v>
      </c>
      <c r="EB18">
        <v>999.9</v>
      </c>
      <c r="EC18">
        <v>62.8</v>
      </c>
      <c r="ED18">
        <v>30.5</v>
      </c>
      <c r="EE18">
        <v>27.109400000000001</v>
      </c>
      <c r="EF18">
        <v>62.675800000000002</v>
      </c>
      <c r="EG18">
        <v>36.498399999999997</v>
      </c>
      <c r="EH18">
        <v>1</v>
      </c>
      <c r="EI18">
        <v>-1.2884100000000001E-2</v>
      </c>
      <c r="EJ18">
        <v>-0.272144</v>
      </c>
      <c r="EK18">
        <v>20.3443</v>
      </c>
      <c r="EL18">
        <v>5.2519099999999996</v>
      </c>
      <c r="EM18">
        <v>11.962</v>
      </c>
      <c r="EN18">
        <v>4.9897600000000004</v>
      </c>
      <c r="EO18">
        <v>3.2912599999999999</v>
      </c>
      <c r="EP18">
        <v>9999</v>
      </c>
      <c r="EQ18">
        <v>9999</v>
      </c>
      <c r="ER18">
        <v>9999</v>
      </c>
      <c r="ES18">
        <v>999.9</v>
      </c>
      <c r="ET18">
        <v>4.97262</v>
      </c>
      <c r="EU18">
        <v>1.8717900000000001</v>
      </c>
      <c r="EV18">
        <v>1.8720600000000001</v>
      </c>
      <c r="EW18">
        <v>1.8770899999999999</v>
      </c>
      <c r="EX18">
        <v>1.8712299999999999</v>
      </c>
      <c r="EY18">
        <v>1.8719699999999999</v>
      </c>
      <c r="EZ18">
        <v>1.87164</v>
      </c>
      <c r="FA18">
        <v>1.8686199999999999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2.419</v>
      </c>
      <c r="FP18">
        <v>0.29880000000000001</v>
      </c>
      <c r="FQ18">
        <v>0.53999230802340548</v>
      </c>
      <c r="FR18">
        <v>7.0338458001993282E-3</v>
      </c>
      <c r="FS18">
        <v>2.3387658340725169E-6</v>
      </c>
      <c r="FT18">
        <v>-2.2874075696057401E-10</v>
      </c>
      <c r="FU18">
        <v>0.29886666666666528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7.6</v>
      </c>
      <c r="GD18">
        <v>7.4</v>
      </c>
      <c r="GE18">
        <v>0.79834000000000005</v>
      </c>
      <c r="GF18">
        <v>2.6293899999999999</v>
      </c>
      <c r="GG18">
        <v>1.7981</v>
      </c>
      <c r="GH18">
        <v>2.3779300000000001</v>
      </c>
      <c r="GI18">
        <v>1.5979000000000001</v>
      </c>
      <c r="GJ18">
        <v>2.5268600000000001</v>
      </c>
      <c r="GK18">
        <v>33.738100000000003</v>
      </c>
      <c r="GL18">
        <v>24.1663</v>
      </c>
      <c r="GM18">
        <v>18</v>
      </c>
      <c r="GN18">
        <v>328.89600000000002</v>
      </c>
      <c r="GO18">
        <v>680.274</v>
      </c>
      <c r="GP18">
        <v>25.830200000000001</v>
      </c>
      <c r="GQ18">
        <v>26.844100000000001</v>
      </c>
      <c r="GR18">
        <v>30.000399999999999</v>
      </c>
      <c r="GS18">
        <v>26.750399999999999</v>
      </c>
      <c r="GT18">
        <v>26.774100000000001</v>
      </c>
      <c r="GU18">
        <v>15.9213</v>
      </c>
      <c r="GV18">
        <v>35.282600000000002</v>
      </c>
      <c r="GW18">
        <v>0</v>
      </c>
      <c r="GX18">
        <v>25.83</v>
      </c>
      <c r="GY18">
        <v>300</v>
      </c>
      <c r="GZ18">
        <v>19.5</v>
      </c>
      <c r="HA18">
        <v>100.58799999999999</v>
      </c>
      <c r="HB18">
        <v>68.261700000000005</v>
      </c>
    </row>
    <row r="19" spans="1:210" x14ac:dyDescent="0.3">
      <c r="A19">
        <v>3</v>
      </c>
      <c r="B19">
        <v>1754996443.0999999</v>
      </c>
      <c r="C19">
        <v>361</v>
      </c>
      <c r="D19" t="s">
        <v>344</v>
      </c>
      <c r="E19" t="s">
        <v>345</v>
      </c>
      <c r="F19">
        <v>15</v>
      </c>
      <c r="G19">
        <v>1754996435.349999</v>
      </c>
      <c r="H19">
        <f t="shared" si="0"/>
        <v>3.682620312789557E-3</v>
      </c>
      <c r="I19">
        <f t="shared" si="1"/>
        <v>3.6826203127895569</v>
      </c>
      <c r="J19">
        <f t="shared" si="2"/>
        <v>13.090518737163386</v>
      </c>
      <c r="K19">
        <f t="shared" si="3"/>
        <v>168.94540085370022</v>
      </c>
      <c r="L19">
        <f t="shared" si="4"/>
        <v>136.93508240137319</v>
      </c>
      <c r="M19">
        <f t="shared" si="5"/>
        <v>13.921969493266184</v>
      </c>
      <c r="N19">
        <f t="shared" si="6"/>
        <v>17.176407064324771</v>
      </c>
      <c r="O19">
        <f t="shared" si="7"/>
        <v>0.77704296974083864</v>
      </c>
      <c r="P19">
        <f t="shared" si="8"/>
        <v>2.4196556687233954</v>
      </c>
      <c r="Q19">
        <f t="shared" si="9"/>
        <v>0.668815445854409</v>
      </c>
      <c r="R19">
        <f t="shared" si="10"/>
        <v>0.42654182269253005</v>
      </c>
      <c r="S19">
        <f t="shared" si="11"/>
        <v>225.57996999999997</v>
      </c>
      <c r="T19">
        <f t="shared" si="12"/>
        <v>27.350877582590627</v>
      </c>
      <c r="U19">
        <f t="shared" si="13"/>
        <v>25.866046666666659</v>
      </c>
      <c r="V19">
        <f t="shared" si="14"/>
        <v>3.3476049151970839</v>
      </c>
      <c r="W19">
        <f t="shared" si="15"/>
        <v>78.796086919776982</v>
      </c>
      <c r="X19">
        <f t="shared" si="16"/>
        <v>2.8047381015284794</v>
      </c>
      <c r="Y19">
        <f t="shared" si="17"/>
        <v>3.5594890700397452</v>
      </c>
      <c r="Z19">
        <f t="shared" si="18"/>
        <v>0.54286681366860456</v>
      </c>
      <c r="AA19">
        <f t="shared" si="19"/>
        <v>-162.40355579401947</v>
      </c>
      <c r="AB19">
        <f t="shared" si="20"/>
        <v>135.68641756842311</v>
      </c>
      <c r="AC19">
        <f t="shared" si="21"/>
        <v>12.027914358269634</v>
      </c>
      <c r="AD19">
        <f t="shared" si="22"/>
        <v>210.89074613267326</v>
      </c>
      <c r="AE19">
        <f t="shared" si="23"/>
        <v>13.090518737163386</v>
      </c>
      <c r="AF19">
        <f t="shared" si="24"/>
        <v>3.6826203127895569</v>
      </c>
      <c r="AG19">
        <f t="shared" si="25"/>
        <v>13.084703844354113</v>
      </c>
      <c r="AH19">
        <v>203.97391334292041</v>
      </c>
      <c r="AI19">
        <v>173.94994545454551</v>
      </c>
      <c r="AJ19">
        <v>-8.4861195090662971E-5</v>
      </c>
      <c r="AK19">
        <v>83.97285148576583</v>
      </c>
      <c r="AL19">
        <f t="shared" si="26"/>
        <v>3.680458039392001</v>
      </c>
      <c r="AM19">
        <v>19.538803148927219</v>
      </c>
      <c r="AN19">
        <v>27.590622868435918</v>
      </c>
      <c r="AO19">
        <v>4.7355272063810391E-6</v>
      </c>
      <c r="AP19">
        <v>90.551659989945747</v>
      </c>
      <c r="AQ19">
        <v>33</v>
      </c>
      <c r="AR19">
        <v>8</v>
      </c>
      <c r="AS19">
        <f t="shared" si="27"/>
        <v>1.0009225188287596</v>
      </c>
      <c r="AT19">
        <f t="shared" si="28"/>
        <v>9.2251882875959978E-2</v>
      </c>
      <c r="AU19">
        <f t="shared" si="29"/>
        <v>53706.941405892532</v>
      </c>
      <c r="AV19">
        <f t="shared" si="30"/>
        <v>1187.2629999999999</v>
      </c>
      <c r="AW19">
        <f t="shared" si="31"/>
        <v>949.81039999999996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336</v>
      </c>
      <c r="BC19">
        <v>2</v>
      </c>
      <c r="BD19" t="b">
        <v>0</v>
      </c>
      <c r="BE19">
        <v>1754996435.349999</v>
      </c>
      <c r="BF19">
        <v>169.16476666666671</v>
      </c>
      <c r="BG19">
        <v>199.99033333333341</v>
      </c>
      <c r="BH19">
        <v>27.587119999999999</v>
      </c>
      <c r="BI19">
        <v>19.538133333333331</v>
      </c>
      <c r="BJ19">
        <v>167.3829666666667</v>
      </c>
      <c r="BK19">
        <v>27.288256666666669</v>
      </c>
      <c r="BL19">
        <v>400.03420000000011</v>
      </c>
      <c r="BM19">
        <v>101.5683333333334</v>
      </c>
      <c r="BN19">
        <v>0.1000576233333333</v>
      </c>
      <c r="BO19">
        <v>26.906200000000009</v>
      </c>
      <c r="BP19">
        <v>25.866046666666659</v>
      </c>
      <c r="BQ19">
        <v>999.9000000000002</v>
      </c>
      <c r="BR19">
        <v>0</v>
      </c>
      <c r="BS19">
        <v>0</v>
      </c>
      <c r="BT19">
        <v>9996.8333333333339</v>
      </c>
      <c r="BU19">
        <v>1187.2629999999999</v>
      </c>
      <c r="BV19">
        <v>20.417803333333339</v>
      </c>
      <c r="BW19">
        <v>-30.82555000000001</v>
      </c>
      <c r="BX19">
        <v>173.96396666666669</v>
      </c>
      <c r="BY19">
        <v>203.97566666666671</v>
      </c>
      <c r="BZ19">
        <v>8.0490019999999998</v>
      </c>
      <c r="CA19">
        <v>199.99033333333341</v>
      </c>
      <c r="CB19">
        <v>19.538133333333331</v>
      </c>
      <c r="CC19">
        <v>2.801978333333333</v>
      </c>
      <c r="CD19">
        <v>1.9844546666666669</v>
      </c>
      <c r="CE19">
        <v>22.895736666666661</v>
      </c>
      <c r="CF19">
        <v>17.32085</v>
      </c>
      <c r="CG19">
        <v>1754995818.5999999</v>
      </c>
      <c r="CH19" t="s">
        <v>337</v>
      </c>
      <c r="CI19">
        <v>1754995806.5999999</v>
      </c>
      <c r="CJ19">
        <v>1754995818.5999999</v>
      </c>
      <c r="CK19">
        <v>3</v>
      </c>
      <c r="CL19">
        <v>-1.0629999999999999</v>
      </c>
      <c r="CM19">
        <v>3.5999999999999997E-2</v>
      </c>
      <c r="CN19">
        <v>4.1210000000000004</v>
      </c>
      <c r="CO19">
        <v>0.29899999999999999</v>
      </c>
      <c r="CP19">
        <v>450</v>
      </c>
      <c r="CQ19">
        <v>19</v>
      </c>
      <c r="CR19">
        <v>0.05</v>
      </c>
      <c r="CS19">
        <v>0.01</v>
      </c>
      <c r="CT19">
        <v>-30.846272500000001</v>
      </c>
      <c r="CU19">
        <v>0.25962439024393141</v>
      </c>
      <c r="CV19">
        <v>4.4470529497072427E-2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8.0499515000000006</v>
      </c>
      <c r="DC19">
        <v>-1.221748592871196E-2</v>
      </c>
      <c r="DD19">
        <v>2.26518713354988E-3</v>
      </c>
      <c r="DE19">
        <v>1</v>
      </c>
      <c r="DF19">
        <v>2</v>
      </c>
      <c r="DG19">
        <v>2</v>
      </c>
      <c r="DH19" t="s">
        <v>338</v>
      </c>
      <c r="DI19">
        <v>3.0247799999999998</v>
      </c>
      <c r="DJ19">
        <v>2.6913100000000001</v>
      </c>
      <c r="DK19">
        <v>4.5133199999999998E-2</v>
      </c>
      <c r="DL19">
        <v>5.3200499999999998E-2</v>
      </c>
      <c r="DM19">
        <v>0.13218299999999999</v>
      </c>
      <c r="DN19">
        <v>0.105034</v>
      </c>
      <c r="DO19">
        <v>26638.9</v>
      </c>
      <c r="DP19">
        <v>17201.900000000001</v>
      </c>
      <c r="DQ19">
        <v>26467.4</v>
      </c>
      <c r="DR19">
        <v>16498.3</v>
      </c>
      <c r="DS19">
        <v>32646.9</v>
      </c>
      <c r="DT19">
        <v>19290</v>
      </c>
      <c r="DU19">
        <v>38555.699999999997</v>
      </c>
      <c r="DV19">
        <v>21870.5</v>
      </c>
      <c r="DW19">
        <v>1.7362</v>
      </c>
      <c r="DX19">
        <v>2.2088800000000002</v>
      </c>
      <c r="DY19">
        <v>7.9542399999999999E-2</v>
      </c>
      <c r="DZ19">
        <v>0</v>
      </c>
      <c r="EA19">
        <v>24.5626</v>
      </c>
      <c r="EB19">
        <v>999.9</v>
      </c>
      <c r="EC19">
        <v>62.9</v>
      </c>
      <c r="ED19">
        <v>30.6</v>
      </c>
      <c r="EE19">
        <v>27.307300000000001</v>
      </c>
      <c r="EF19">
        <v>62.575800000000001</v>
      </c>
      <c r="EG19">
        <v>36.350200000000001</v>
      </c>
      <c r="EH19">
        <v>1</v>
      </c>
      <c r="EI19">
        <v>-6.3353699999999999E-3</v>
      </c>
      <c r="EJ19">
        <v>-0.25219200000000003</v>
      </c>
      <c r="EK19">
        <v>20.3445</v>
      </c>
      <c r="EL19">
        <v>5.2511900000000002</v>
      </c>
      <c r="EM19">
        <v>11.962</v>
      </c>
      <c r="EN19">
        <v>4.9896000000000003</v>
      </c>
      <c r="EO19">
        <v>3.2914599999999998</v>
      </c>
      <c r="EP19">
        <v>9999</v>
      </c>
      <c r="EQ19">
        <v>9999</v>
      </c>
      <c r="ER19">
        <v>9999</v>
      </c>
      <c r="ES19">
        <v>999.9</v>
      </c>
      <c r="ET19">
        <v>4.9726299999999997</v>
      </c>
      <c r="EU19">
        <v>1.8717999999999999</v>
      </c>
      <c r="EV19">
        <v>1.8720300000000001</v>
      </c>
      <c r="EW19">
        <v>1.87714</v>
      </c>
      <c r="EX19">
        <v>1.8712500000000001</v>
      </c>
      <c r="EY19">
        <v>1.8720300000000001</v>
      </c>
      <c r="EZ19">
        <v>1.87165</v>
      </c>
      <c r="FA19">
        <v>1.86866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1.7809999999999999</v>
      </c>
      <c r="FP19">
        <v>0.2989</v>
      </c>
      <c r="FQ19">
        <v>0.53999230802340548</v>
      </c>
      <c r="FR19">
        <v>7.0338458001993282E-3</v>
      </c>
      <c r="FS19">
        <v>2.3387658340725169E-6</v>
      </c>
      <c r="FT19">
        <v>-2.2874075696057401E-10</v>
      </c>
      <c r="FU19">
        <v>0.29886666666666528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10.6</v>
      </c>
      <c r="GD19">
        <v>10.4</v>
      </c>
      <c r="GE19">
        <v>0.58593799999999996</v>
      </c>
      <c r="GF19">
        <v>2.65015</v>
      </c>
      <c r="GG19">
        <v>1.7981</v>
      </c>
      <c r="GH19">
        <v>2.3791500000000001</v>
      </c>
      <c r="GI19">
        <v>1.5979000000000001</v>
      </c>
      <c r="GJ19">
        <v>2.47925</v>
      </c>
      <c r="GK19">
        <v>33.760599999999997</v>
      </c>
      <c r="GL19">
        <v>24.1663</v>
      </c>
      <c r="GM19">
        <v>18</v>
      </c>
      <c r="GN19">
        <v>329.82600000000002</v>
      </c>
      <c r="GO19">
        <v>679.19500000000005</v>
      </c>
      <c r="GP19">
        <v>25.830200000000001</v>
      </c>
      <c r="GQ19">
        <v>26.926100000000002</v>
      </c>
      <c r="GR19">
        <v>30.000299999999999</v>
      </c>
      <c r="GS19">
        <v>26.834399999999999</v>
      </c>
      <c r="GT19">
        <v>26.858699999999999</v>
      </c>
      <c r="GU19">
        <v>11.6638</v>
      </c>
      <c r="GV19">
        <v>35.8414</v>
      </c>
      <c r="GW19">
        <v>0</v>
      </c>
      <c r="GX19">
        <v>25.83</v>
      </c>
      <c r="GY19">
        <v>200</v>
      </c>
      <c r="GZ19">
        <v>19.5</v>
      </c>
      <c r="HA19">
        <v>100.572</v>
      </c>
      <c r="HB19">
        <v>68.255899999999997</v>
      </c>
    </row>
    <row r="20" spans="1:210" x14ac:dyDescent="0.3">
      <c r="A20">
        <v>4</v>
      </c>
      <c r="B20">
        <v>1754996623.5999999</v>
      </c>
      <c r="C20">
        <v>541.5</v>
      </c>
      <c r="D20" t="s">
        <v>346</v>
      </c>
      <c r="E20" t="s">
        <v>347</v>
      </c>
      <c r="F20">
        <v>15</v>
      </c>
      <c r="G20">
        <v>1754996615.849999</v>
      </c>
      <c r="H20">
        <f t="shared" si="0"/>
        <v>3.7554467473012855E-3</v>
      </c>
      <c r="I20">
        <f t="shared" si="1"/>
        <v>3.7554467473012854</v>
      </c>
      <c r="J20">
        <f t="shared" si="2"/>
        <v>6.5941423784452207</v>
      </c>
      <c r="K20">
        <f t="shared" si="3"/>
        <v>109.14436262571066</v>
      </c>
      <c r="L20">
        <f t="shared" si="4"/>
        <v>93.460233270962078</v>
      </c>
      <c r="M20">
        <f t="shared" si="5"/>
        <v>9.5006865692166329</v>
      </c>
      <c r="N20">
        <f t="shared" si="6"/>
        <v>11.095054482663871</v>
      </c>
      <c r="O20">
        <f t="shared" si="7"/>
        <v>0.81489991785267035</v>
      </c>
      <c r="P20">
        <f t="shared" si="8"/>
        <v>2.4197337958687664</v>
      </c>
      <c r="Q20">
        <f t="shared" si="9"/>
        <v>0.69668068720956933</v>
      </c>
      <c r="R20">
        <f t="shared" si="10"/>
        <v>0.44469014543404084</v>
      </c>
      <c r="S20">
        <f t="shared" si="11"/>
        <v>225.47325333333328</v>
      </c>
      <c r="T20">
        <f t="shared" si="12"/>
        <v>27.345838596306873</v>
      </c>
      <c r="U20">
        <f t="shared" si="13"/>
        <v>25.881233333333331</v>
      </c>
      <c r="V20">
        <f t="shared" si="14"/>
        <v>3.3506174282713852</v>
      </c>
      <c r="W20">
        <f t="shared" si="15"/>
        <v>79.11925673855454</v>
      </c>
      <c r="X20">
        <f t="shared" si="16"/>
        <v>2.8192778215319612</v>
      </c>
      <c r="Y20">
        <f t="shared" si="17"/>
        <v>3.5633269797365736</v>
      </c>
      <c r="Z20">
        <f t="shared" si="18"/>
        <v>0.53133960673942404</v>
      </c>
      <c r="AA20">
        <f t="shared" si="19"/>
        <v>-165.61520155598669</v>
      </c>
      <c r="AB20">
        <f t="shared" si="20"/>
        <v>136.10172465301582</v>
      </c>
      <c r="AC20">
        <f t="shared" si="21"/>
        <v>12.066366351028998</v>
      </c>
      <c r="AD20">
        <f t="shared" si="22"/>
        <v>208.0261427813914</v>
      </c>
      <c r="AE20">
        <f t="shared" si="23"/>
        <v>6.5941423784452207</v>
      </c>
      <c r="AF20">
        <f t="shared" si="24"/>
        <v>3.7554467473012854</v>
      </c>
      <c r="AG20">
        <f t="shared" si="25"/>
        <v>6.576173098504003</v>
      </c>
      <c r="AH20">
        <v>127.4806207457497</v>
      </c>
      <c r="AI20">
        <v>112.3882303030303</v>
      </c>
      <c r="AJ20">
        <v>1.6013641785737591E-4</v>
      </c>
      <c r="AK20">
        <v>83.97285148576583</v>
      </c>
      <c r="AL20">
        <f t="shared" si="26"/>
        <v>3.7557108578923435</v>
      </c>
      <c r="AM20">
        <v>19.526412314972031</v>
      </c>
      <c r="AN20">
        <v>27.74229689440994</v>
      </c>
      <c r="AO20">
        <v>1.473421985365854E-6</v>
      </c>
      <c r="AP20">
        <v>90.551659989945747</v>
      </c>
      <c r="AQ20">
        <v>32</v>
      </c>
      <c r="AR20">
        <v>8</v>
      </c>
      <c r="AS20">
        <f t="shared" si="27"/>
        <v>1.0008945546841697</v>
      </c>
      <c r="AT20">
        <f t="shared" si="28"/>
        <v>8.9455468416965722E-2</v>
      </c>
      <c r="AU20">
        <f t="shared" si="29"/>
        <v>53705.982960040412</v>
      </c>
      <c r="AV20">
        <f t="shared" si="30"/>
        <v>1186.701333333333</v>
      </c>
      <c r="AW20">
        <f t="shared" si="31"/>
        <v>949.36106666666637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336</v>
      </c>
      <c r="BC20">
        <v>2</v>
      </c>
      <c r="BD20" t="b">
        <v>0</v>
      </c>
      <c r="BE20">
        <v>1754996615.849999</v>
      </c>
      <c r="BF20">
        <v>109.2548666666667</v>
      </c>
      <c r="BG20">
        <v>125.0015666666666</v>
      </c>
      <c r="BH20">
        <v>27.733823333333341</v>
      </c>
      <c r="BI20">
        <v>19.525983333333329</v>
      </c>
      <c r="BJ20">
        <v>107.9287666666667</v>
      </c>
      <c r="BK20">
        <v>27.43496</v>
      </c>
      <c r="BL20">
        <v>400.00093333333331</v>
      </c>
      <c r="BM20">
        <v>101.5548666666667</v>
      </c>
      <c r="BN20">
        <v>9.9989486666666669E-2</v>
      </c>
      <c r="BO20">
        <v>26.924536666666661</v>
      </c>
      <c r="BP20">
        <v>25.881233333333331</v>
      </c>
      <c r="BQ20">
        <v>999.9000000000002</v>
      </c>
      <c r="BR20">
        <v>0</v>
      </c>
      <c r="BS20">
        <v>0</v>
      </c>
      <c r="BT20">
        <v>9998.6666666666661</v>
      </c>
      <c r="BU20">
        <v>1186.701333333333</v>
      </c>
      <c r="BV20">
        <v>20.444896666666668</v>
      </c>
      <c r="BW20">
        <v>-15.746586666666669</v>
      </c>
      <c r="BX20">
        <v>112.3715</v>
      </c>
      <c r="BY20">
        <v>127.491</v>
      </c>
      <c r="BZ20">
        <v>8.2078406666666659</v>
      </c>
      <c r="CA20">
        <v>125.0015666666666</v>
      </c>
      <c r="CB20">
        <v>19.525983333333329</v>
      </c>
      <c r="CC20">
        <v>2.8165033333333329</v>
      </c>
      <c r="CD20">
        <v>1.9829583333333329</v>
      </c>
      <c r="CE20">
        <v>22.981133333333329</v>
      </c>
      <c r="CF20">
        <v>17.308900000000001</v>
      </c>
      <c r="CG20">
        <v>1754995818.5999999</v>
      </c>
      <c r="CH20" t="s">
        <v>337</v>
      </c>
      <c r="CI20">
        <v>1754995806.5999999</v>
      </c>
      <c r="CJ20">
        <v>1754995818.5999999</v>
      </c>
      <c r="CK20">
        <v>3</v>
      </c>
      <c r="CL20">
        <v>-1.0629999999999999</v>
      </c>
      <c r="CM20">
        <v>3.5999999999999997E-2</v>
      </c>
      <c r="CN20">
        <v>4.1210000000000004</v>
      </c>
      <c r="CO20">
        <v>0.29899999999999999</v>
      </c>
      <c r="CP20">
        <v>450</v>
      </c>
      <c r="CQ20">
        <v>19</v>
      </c>
      <c r="CR20">
        <v>0.05</v>
      </c>
      <c r="CS20">
        <v>0.01</v>
      </c>
      <c r="CT20">
        <v>-15.745257499999999</v>
      </c>
      <c r="CU20">
        <v>-1.9148217635916571E-3</v>
      </c>
      <c r="CV20">
        <v>1.269158948871278E-2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8.2064679999999992</v>
      </c>
      <c r="DC20">
        <v>3.113110694184126E-2</v>
      </c>
      <c r="DD20">
        <v>3.3653389130962131E-3</v>
      </c>
      <c r="DE20">
        <v>1</v>
      </c>
      <c r="DF20">
        <v>2</v>
      </c>
      <c r="DG20">
        <v>2</v>
      </c>
      <c r="DH20" t="s">
        <v>338</v>
      </c>
      <c r="DI20">
        <v>3.0246499999999998</v>
      </c>
      <c r="DJ20">
        <v>2.6914500000000001</v>
      </c>
      <c r="DK20">
        <v>2.9907099999999999E-2</v>
      </c>
      <c r="DL20">
        <v>3.4546599999999997E-2</v>
      </c>
      <c r="DM20">
        <v>0.13264699999999999</v>
      </c>
      <c r="DN20">
        <v>0.10495500000000001</v>
      </c>
      <c r="DO20">
        <v>27059</v>
      </c>
      <c r="DP20">
        <v>17539.400000000001</v>
      </c>
      <c r="DQ20">
        <v>26463.200000000001</v>
      </c>
      <c r="DR20">
        <v>16497.099999999999</v>
      </c>
      <c r="DS20">
        <v>32624.9</v>
      </c>
      <c r="DT20">
        <v>19290.7</v>
      </c>
      <c r="DU20">
        <v>38550.5</v>
      </c>
      <c r="DV20">
        <v>21869.599999999999</v>
      </c>
      <c r="DW20">
        <v>1.7353400000000001</v>
      </c>
      <c r="DX20">
        <v>2.2075399999999998</v>
      </c>
      <c r="DY20">
        <v>7.9423199999999999E-2</v>
      </c>
      <c r="DZ20">
        <v>0</v>
      </c>
      <c r="EA20">
        <v>24.5871</v>
      </c>
      <c r="EB20">
        <v>999.9</v>
      </c>
      <c r="EC20">
        <v>63</v>
      </c>
      <c r="ED20">
        <v>30.6</v>
      </c>
      <c r="EE20">
        <v>27.355799999999999</v>
      </c>
      <c r="EF20">
        <v>62.755800000000001</v>
      </c>
      <c r="EG20">
        <v>36.366199999999999</v>
      </c>
      <c r="EH20">
        <v>1</v>
      </c>
      <c r="EI20">
        <v>-1.5650399999999999E-4</v>
      </c>
      <c r="EJ20">
        <v>-0.23532500000000001</v>
      </c>
      <c r="EK20">
        <v>20.3443</v>
      </c>
      <c r="EL20">
        <v>5.2491599999999998</v>
      </c>
      <c r="EM20">
        <v>11.962</v>
      </c>
      <c r="EN20">
        <v>4.9896799999999999</v>
      </c>
      <c r="EO20">
        <v>3.29122</v>
      </c>
      <c r="EP20">
        <v>9999</v>
      </c>
      <c r="EQ20">
        <v>9999</v>
      </c>
      <c r="ER20">
        <v>9999</v>
      </c>
      <c r="ES20">
        <v>999.9</v>
      </c>
      <c r="ET20">
        <v>4.9726400000000002</v>
      </c>
      <c r="EU20">
        <v>1.8717900000000001</v>
      </c>
      <c r="EV20">
        <v>1.87205</v>
      </c>
      <c r="EW20">
        <v>1.8771</v>
      </c>
      <c r="EX20">
        <v>1.87124</v>
      </c>
      <c r="EY20">
        <v>1.8720000000000001</v>
      </c>
      <c r="EZ20">
        <v>1.87164</v>
      </c>
      <c r="FA20">
        <v>1.86863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1.3260000000000001</v>
      </c>
      <c r="FP20">
        <v>0.29880000000000001</v>
      </c>
      <c r="FQ20">
        <v>0.53999230802340548</v>
      </c>
      <c r="FR20">
        <v>7.0338458001993282E-3</v>
      </c>
      <c r="FS20">
        <v>2.3387658340725169E-6</v>
      </c>
      <c r="FT20">
        <v>-2.2874075696057401E-10</v>
      </c>
      <c r="FU20">
        <v>0.29886666666666528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13.6</v>
      </c>
      <c r="GD20">
        <v>13.4</v>
      </c>
      <c r="GE20">
        <v>0.41992200000000002</v>
      </c>
      <c r="GF20">
        <v>2.6464799999999999</v>
      </c>
      <c r="GG20">
        <v>1.7981</v>
      </c>
      <c r="GH20">
        <v>2.3791500000000001</v>
      </c>
      <c r="GI20">
        <v>1.5979000000000001</v>
      </c>
      <c r="GJ20">
        <v>2.5415000000000001</v>
      </c>
      <c r="GK20">
        <v>33.805700000000002</v>
      </c>
      <c r="GL20">
        <v>24.1663</v>
      </c>
      <c r="GM20">
        <v>18</v>
      </c>
      <c r="GN20">
        <v>329.88499999999999</v>
      </c>
      <c r="GO20">
        <v>679.04600000000005</v>
      </c>
      <c r="GP20">
        <v>25.830200000000001</v>
      </c>
      <c r="GQ20">
        <v>27.000299999999999</v>
      </c>
      <c r="GR20">
        <v>30.000299999999999</v>
      </c>
      <c r="GS20">
        <v>26.912800000000001</v>
      </c>
      <c r="GT20">
        <v>26.938199999999998</v>
      </c>
      <c r="GU20">
        <v>8.3752300000000002</v>
      </c>
      <c r="GV20">
        <v>36.112099999999998</v>
      </c>
      <c r="GW20">
        <v>0</v>
      </c>
      <c r="GX20">
        <v>25.83</v>
      </c>
      <c r="GY20">
        <v>125</v>
      </c>
      <c r="GZ20">
        <v>19.5</v>
      </c>
      <c r="HA20">
        <v>100.55800000000001</v>
      </c>
      <c r="HB20">
        <v>68.251999999999995</v>
      </c>
    </row>
    <row r="21" spans="1:210" x14ac:dyDescent="0.3">
      <c r="A21">
        <v>5</v>
      </c>
      <c r="B21">
        <v>1754996804.0999999</v>
      </c>
      <c r="C21">
        <v>722</v>
      </c>
      <c r="D21" t="s">
        <v>348</v>
      </c>
      <c r="E21" t="s">
        <v>349</v>
      </c>
      <c r="F21">
        <v>15</v>
      </c>
      <c r="G21">
        <v>1754996796.349999</v>
      </c>
      <c r="H21">
        <f t="shared" si="0"/>
        <v>3.8230206324354906E-3</v>
      </c>
      <c r="I21">
        <f t="shared" si="1"/>
        <v>3.8230206324354907</v>
      </c>
      <c r="J21">
        <f t="shared" si="2"/>
        <v>2.0819960478036617</v>
      </c>
      <c r="K21">
        <f t="shared" si="3"/>
        <v>69.689419719184698</v>
      </c>
      <c r="L21">
        <f t="shared" si="4"/>
        <v>64.643139365423494</v>
      </c>
      <c r="M21">
        <f t="shared" si="5"/>
        <v>6.570217701450443</v>
      </c>
      <c r="N21">
        <f t="shared" si="6"/>
        <v>7.0831129728162026</v>
      </c>
      <c r="O21">
        <f t="shared" si="7"/>
        <v>0.85456217172775117</v>
      </c>
      <c r="P21">
        <f t="shared" si="8"/>
        <v>2.4193550714319314</v>
      </c>
      <c r="Q21">
        <f t="shared" si="9"/>
        <v>0.72545532579235572</v>
      </c>
      <c r="R21">
        <f t="shared" si="10"/>
        <v>0.4634649596023005</v>
      </c>
      <c r="S21">
        <f t="shared" si="11"/>
        <v>225.40238333333326</v>
      </c>
      <c r="T21">
        <f t="shared" si="12"/>
        <v>27.340820876395046</v>
      </c>
      <c r="U21">
        <f t="shared" si="13"/>
        <v>25.8978</v>
      </c>
      <c r="V21">
        <f t="shared" si="14"/>
        <v>3.3539063861278091</v>
      </c>
      <c r="W21">
        <f t="shared" si="15"/>
        <v>79.472524999554679</v>
      </c>
      <c r="X21">
        <f t="shared" si="16"/>
        <v>2.8345968541910769</v>
      </c>
      <c r="Y21">
        <f t="shared" si="17"/>
        <v>3.5667632986456139</v>
      </c>
      <c r="Z21">
        <f t="shared" si="18"/>
        <v>0.51930953193673224</v>
      </c>
      <c r="AA21">
        <f t="shared" si="19"/>
        <v>-168.59520989040513</v>
      </c>
      <c r="AB21">
        <f t="shared" si="20"/>
        <v>136.05911876519863</v>
      </c>
      <c r="AC21">
        <f t="shared" si="21"/>
        <v>12.066470202578657</v>
      </c>
      <c r="AD21">
        <f t="shared" si="22"/>
        <v>204.93276241070544</v>
      </c>
      <c r="AE21">
        <f t="shared" si="23"/>
        <v>2.0819960478036617</v>
      </c>
      <c r="AF21">
        <f t="shared" si="24"/>
        <v>3.8230206324354907</v>
      </c>
      <c r="AG21">
        <f t="shared" si="25"/>
        <v>2.0735926437601711</v>
      </c>
      <c r="AH21">
        <v>76.488833289196293</v>
      </c>
      <c r="AI21">
        <v>71.730239393939371</v>
      </c>
      <c r="AJ21">
        <v>-1.8458686737866391E-5</v>
      </c>
      <c r="AK21">
        <v>83.97285148576583</v>
      </c>
      <c r="AL21">
        <f t="shared" si="26"/>
        <v>3.8227820529095005</v>
      </c>
      <c r="AM21">
        <v>19.533673313739062</v>
      </c>
      <c r="AN21">
        <v>27.895339412761171</v>
      </c>
      <c r="AO21">
        <v>3.4680498911778972E-6</v>
      </c>
      <c r="AP21">
        <v>90.551659989945747</v>
      </c>
      <c r="AQ21">
        <v>32</v>
      </c>
      <c r="AR21">
        <v>8</v>
      </c>
      <c r="AS21">
        <f t="shared" si="27"/>
        <v>1.0008948210472155</v>
      </c>
      <c r="AT21">
        <f t="shared" si="28"/>
        <v>8.9482104721549938E-2</v>
      </c>
      <c r="AU21">
        <f t="shared" si="29"/>
        <v>53690.010488428925</v>
      </c>
      <c r="AV21">
        <f t="shared" si="30"/>
        <v>1186.3283333333329</v>
      </c>
      <c r="AW21">
        <f t="shared" si="31"/>
        <v>949.06266666666636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336</v>
      </c>
      <c r="BC21">
        <v>2</v>
      </c>
      <c r="BD21" t="b">
        <v>0</v>
      </c>
      <c r="BE21">
        <v>1754996796.349999</v>
      </c>
      <c r="BF21">
        <v>69.724320000000006</v>
      </c>
      <c r="BG21">
        <v>75.004613333333339</v>
      </c>
      <c r="BH21">
        <v>27.889066666666661</v>
      </c>
      <c r="BI21">
        <v>19.534483333333331</v>
      </c>
      <c r="BJ21">
        <v>68.690206666666668</v>
      </c>
      <c r="BK21">
        <v>27.590199999999999</v>
      </c>
      <c r="BL21">
        <v>399.98213333333331</v>
      </c>
      <c r="BM21">
        <v>101.5383333333334</v>
      </c>
      <c r="BN21">
        <v>9.9949800000000019E-2</v>
      </c>
      <c r="BO21">
        <v>26.940940000000001</v>
      </c>
      <c r="BP21">
        <v>25.8978</v>
      </c>
      <c r="BQ21">
        <v>999.9000000000002</v>
      </c>
      <c r="BR21">
        <v>0</v>
      </c>
      <c r="BS21">
        <v>0</v>
      </c>
      <c r="BT21">
        <v>9997.8333333333339</v>
      </c>
      <c r="BU21">
        <v>1186.3283333333329</v>
      </c>
      <c r="BV21">
        <v>20.44063666666667</v>
      </c>
      <c r="BW21">
        <v>-5.2802870000000004</v>
      </c>
      <c r="BX21">
        <v>71.724656666666675</v>
      </c>
      <c r="BY21">
        <v>76.498973333333353</v>
      </c>
      <c r="BZ21">
        <v>8.354591000000001</v>
      </c>
      <c r="CA21">
        <v>75.004613333333339</v>
      </c>
      <c r="CB21">
        <v>19.534483333333331</v>
      </c>
      <c r="CC21">
        <v>2.8318106666666671</v>
      </c>
      <c r="CD21">
        <v>1.9834989999999999</v>
      </c>
      <c r="CE21">
        <v>23.07069666666667</v>
      </c>
      <c r="CF21">
        <v>17.31322333333333</v>
      </c>
      <c r="CG21">
        <v>1754995818.5999999</v>
      </c>
      <c r="CH21" t="s">
        <v>337</v>
      </c>
      <c r="CI21">
        <v>1754995806.5999999</v>
      </c>
      <c r="CJ21">
        <v>1754995818.5999999</v>
      </c>
      <c r="CK21">
        <v>3</v>
      </c>
      <c r="CL21">
        <v>-1.0629999999999999</v>
      </c>
      <c r="CM21">
        <v>3.5999999999999997E-2</v>
      </c>
      <c r="CN21">
        <v>4.1210000000000004</v>
      </c>
      <c r="CO21">
        <v>0.29899999999999999</v>
      </c>
      <c r="CP21">
        <v>450</v>
      </c>
      <c r="CQ21">
        <v>19</v>
      </c>
      <c r="CR21">
        <v>0.05</v>
      </c>
      <c r="CS21">
        <v>0.01</v>
      </c>
      <c r="CT21">
        <v>-5.2705339999999996</v>
      </c>
      <c r="CU21">
        <v>-0.1166866041275767</v>
      </c>
      <c r="CV21">
        <v>2.4036434718984451E-2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8.3525892499999994</v>
      </c>
      <c r="DC21">
        <v>4.3406341463395573E-2</v>
      </c>
      <c r="DD21">
        <v>4.3609410609983003E-3</v>
      </c>
      <c r="DE21">
        <v>1</v>
      </c>
      <c r="DF21">
        <v>2</v>
      </c>
      <c r="DG21">
        <v>2</v>
      </c>
      <c r="DH21" t="s">
        <v>338</v>
      </c>
      <c r="DI21">
        <v>3.0247199999999999</v>
      </c>
      <c r="DJ21">
        <v>2.6913100000000001</v>
      </c>
      <c r="DK21">
        <v>1.9252100000000001E-2</v>
      </c>
      <c r="DL21">
        <v>2.1076999999999999E-2</v>
      </c>
      <c r="DM21">
        <v>0.13311600000000001</v>
      </c>
      <c r="DN21">
        <v>0.10495</v>
      </c>
      <c r="DO21">
        <v>27352.7</v>
      </c>
      <c r="DP21">
        <v>17783.2</v>
      </c>
      <c r="DQ21">
        <v>26460.2</v>
      </c>
      <c r="DR21">
        <v>16496.5</v>
      </c>
      <c r="DS21">
        <v>32603.7</v>
      </c>
      <c r="DT21">
        <v>19290.400000000001</v>
      </c>
      <c r="DU21">
        <v>38546.400000000001</v>
      </c>
      <c r="DV21">
        <v>21869.1</v>
      </c>
      <c r="DW21">
        <v>1.7350399999999999</v>
      </c>
      <c r="DX21">
        <v>2.2058</v>
      </c>
      <c r="DY21">
        <v>7.7962900000000002E-2</v>
      </c>
      <c r="DZ21">
        <v>0</v>
      </c>
      <c r="EA21">
        <v>24.620200000000001</v>
      </c>
      <c r="EB21">
        <v>999.9</v>
      </c>
      <c r="EC21">
        <v>63.1</v>
      </c>
      <c r="ED21">
        <v>30.6</v>
      </c>
      <c r="EE21">
        <v>27.4025</v>
      </c>
      <c r="EF21">
        <v>62.835799999999999</v>
      </c>
      <c r="EG21">
        <v>36.185899999999997</v>
      </c>
      <c r="EH21">
        <v>1</v>
      </c>
      <c r="EI21">
        <v>5.0162599999999998E-3</v>
      </c>
      <c r="EJ21">
        <v>-0.21227199999999999</v>
      </c>
      <c r="EK21">
        <v>20.344000000000001</v>
      </c>
      <c r="EL21">
        <v>5.2523900000000001</v>
      </c>
      <c r="EM21">
        <v>11.962</v>
      </c>
      <c r="EN21">
        <v>4.9896799999999999</v>
      </c>
      <c r="EO21">
        <v>3.2913199999999998</v>
      </c>
      <c r="EP21">
        <v>9999</v>
      </c>
      <c r="EQ21">
        <v>9999</v>
      </c>
      <c r="ER21">
        <v>9999</v>
      </c>
      <c r="ES21">
        <v>999.9</v>
      </c>
      <c r="ET21">
        <v>4.9726299999999997</v>
      </c>
      <c r="EU21">
        <v>1.8717900000000001</v>
      </c>
      <c r="EV21">
        <v>1.87202</v>
      </c>
      <c r="EW21">
        <v>1.8771100000000001</v>
      </c>
      <c r="EX21">
        <v>1.87124</v>
      </c>
      <c r="EY21">
        <v>1.8720300000000001</v>
      </c>
      <c r="EZ21">
        <v>1.87164</v>
      </c>
      <c r="FA21">
        <v>1.8686799999999999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1.034</v>
      </c>
      <c r="FP21">
        <v>0.2989</v>
      </c>
      <c r="FQ21">
        <v>0.53999230802340548</v>
      </c>
      <c r="FR21">
        <v>7.0338458001993282E-3</v>
      </c>
      <c r="FS21">
        <v>2.3387658340725169E-6</v>
      </c>
      <c r="FT21">
        <v>-2.2874075696057401E-10</v>
      </c>
      <c r="FU21">
        <v>0.29886666666666528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16.600000000000001</v>
      </c>
      <c r="GD21">
        <v>16.399999999999999</v>
      </c>
      <c r="GE21">
        <v>0.31005899999999997</v>
      </c>
      <c r="GF21">
        <v>2.6831100000000001</v>
      </c>
      <c r="GG21">
        <v>1.7981</v>
      </c>
      <c r="GH21">
        <v>2.3791500000000001</v>
      </c>
      <c r="GI21">
        <v>1.5979000000000001</v>
      </c>
      <c r="GJ21">
        <v>2.3864700000000001</v>
      </c>
      <c r="GK21">
        <v>33.828299999999999</v>
      </c>
      <c r="GL21">
        <v>24.157499999999999</v>
      </c>
      <c r="GM21">
        <v>18</v>
      </c>
      <c r="GN21">
        <v>330.18200000000002</v>
      </c>
      <c r="GO21">
        <v>678.47699999999998</v>
      </c>
      <c r="GP21">
        <v>25.830100000000002</v>
      </c>
      <c r="GQ21">
        <v>27.072800000000001</v>
      </c>
      <c r="GR21">
        <v>30.0001</v>
      </c>
      <c r="GS21">
        <v>26.986999999999998</v>
      </c>
      <c r="GT21">
        <v>27.0124</v>
      </c>
      <c r="GU21">
        <v>6.1618300000000001</v>
      </c>
      <c r="GV21">
        <v>36.389200000000002</v>
      </c>
      <c r="GW21">
        <v>0</v>
      </c>
      <c r="GX21">
        <v>25.83</v>
      </c>
      <c r="GY21">
        <v>75</v>
      </c>
      <c r="GZ21">
        <v>19.5</v>
      </c>
      <c r="HA21">
        <v>100.547</v>
      </c>
      <c r="HB21">
        <v>68.250200000000007</v>
      </c>
    </row>
    <row r="22" spans="1:210" x14ac:dyDescent="0.3">
      <c r="A22">
        <v>6</v>
      </c>
      <c r="B22">
        <v>1754996985</v>
      </c>
      <c r="C22">
        <v>902.90000009536743</v>
      </c>
      <c r="D22" t="s">
        <v>350</v>
      </c>
      <c r="E22" t="s">
        <v>351</v>
      </c>
      <c r="F22">
        <v>15</v>
      </c>
      <c r="G22">
        <v>1754996977</v>
      </c>
      <c r="H22">
        <f t="shared" si="0"/>
        <v>3.8505941688013533E-3</v>
      </c>
      <c r="I22">
        <f t="shared" si="1"/>
        <v>3.8505941688013534</v>
      </c>
      <c r="J22">
        <f t="shared" si="2"/>
        <v>33.360545297082943</v>
      </c>
      <c r="K22">
        <f t="shared" si="3"/>
        <v>371.22976917770632</v>
      </c>
      <c r="L22">
        <f t="shared" si="4"/>
        <v>297.07599927583288</v>
      </c>
      <c r="M22">
        <f t="shared" si="5"/>
        <v>30.191610699452511</v>
      </c>
      <c r="N22">
        <f t="shared" si="6"/>
        <v>37.727802644381093</v>
      </c>
      <c r="O22">
        <f t="shared" si="7"/>
        <v>0.86259686467795083</v>
      </c>
      <c r="P22">
        <f t="shared" si="8"/>
        <v>2.4190764445552491</v>
      </c>
      <c r="Q22">
        <f t="shared" si="9"/>
        <v>0.7312258190165567</v>
      </c>
      <c r="R22">
        <f t="shared" si="10"/>
        <v>0.46723494288183709</v>
      </c>
      <c r="S22">
        <f t="shared" si="11"/>
        <v>225.38615161290315</v>
      </c>
      <c r="T22">
        <f t="shared" si="12"/>
        <v>27.337053180513994</v>
      </c>
      <c r="U22">
        <f t="shared" si="13"/>
        <v>25.90345806451613</v>
      </c>
      <c r="V22">
        <f t="shared" si="14"/>
        <v>3.3550303198160258</v>
      </c>
      <c r="W22">
        <f t="shared" si="15"/>
        <v>79.493549901774458</v>
      </c>
      <c r="X22">
        <f t="shared" si="16"/>
        <v>2.8361576164843201</v>
      </c>
      <c r="Y22">
        <f t="shared" si="17"/>
        <v>3.5677833232869771</v>
      </c>
      <c r="Z22">
        <f t="shared" si="18"/>
        <v>0.51887270333170576</v>
      </c>
      <c r="AA22">
        <f t="shared" si="19"/>
        <v>-169.81120284413967</v>
      </c>
      <c r="AB22">
        <f t="shared" si="20"/>
        <v>135.94020943541975</v>
      </c>
      <c r="AC22">
        <f t="shared" si="21"/>
        <v>12.05794893129646</v>
      </c>
      <c r="AD22">
        <f t="shared" si="22"/>
        <v>203.57310713547969</v>
      </c>
      <c r="AE22">
        <f t="shared" si="23"/>
        <v>33.360545297082943</v>
      </c>
      <c r="AF22">
        <f t="shared" si="24"/>
        <v>3.8505941688013534</v>
      </c>
      <c r="AG22">
        <f t="shared" si="25"/>
        <v>33.604796634557438</v>
      </c>
      <c r="AH22">
        <v>458.94928368392931</v>
      </c>
      <c r="AI22">
        <v>382.13804242424231</v>
      </c>
      <c r="AJ22">
        <v>-3.5250932905020183E-2</v>
      </c>
      <c r="AK22">
        <v>83.97285148576583</v>
      </c>
      <c r="AL22">
        <f t="shared" si="26"/>
        <v>3.8493626443755695</v>
      </c>
      <c r="AM22">
        <v>19.493264298884679</v>
      </c>
      <c r="AN22">
        <v>27.912388255223039</v>
      </c>
      <c r="AO22">
        <v>2.2295348669523361E-6</v>
      </c>
      <c r="AP22">
        <v>90.551659989945747</v>
      </c>
      <c r="AQ22">
        <v>31</v>
      </c>
      <c r="AR22">
        <v>8</v>
      </c>
      <c r="AS22">
        <f t="shared" si="27"/>
        <v>1.0008670016438519</v>
      </c>
      <c r="AT22">
        <f t="shared" si="28"/>
        <v>8.670016438518946E-2</v>
      </c>
      <c r="AU22">
        <f t="shared" si="29"/>
        <v>53679.616303462688</v>
      </c>
      <c r="AV22">
        <f t="shared" si="30"/>
        <v>1186.242903225806</v>
      </c>
      <c r="AW22">
        <f t="shared" si="31"/>
        <v>948.99432258064485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336</v>
      </c>
      <c r="BC22">
        <v>2</v>
      </c>
      <c r="BD22" t="b">
        <v>0</v>
      </c>
      <c r="BE22">
        <v>1754996977</v>
      </c>
      <c r="BF22">
        <v>371.78909677419358</v>
      </c>
      <c r="BG22">
        <v>450.00483870967741</v>
      </c>
      <c r="BH22">
        <v>27.906903225806449</v>
      </c>
      <c r="BI22">
        <v>19.492522580645161</v>
      </c>
      <c r="BJ22">
        <v>368.3522258064516</v>
      </c>
      <c r="BK22">
        <v>27.608029032258059</v>
      </c>
      <c r="BL22">
        <v>400.00809677419352</v>
      </c>
      <c r="BM22">
        <v>101.52922580645161</v>
      </c>
      <c r="BN22">
        <v>0.1000231838709677</v>
      </c>
      <c r="BO22">
        <v>26.945806451612899</v>
      </c>
      <c r="BP22">
        <v>25.90345806451613</v>
      </c>
      <c r="BQ22">
        <v>999.90000000000032</v>
      </c>
      <c r="BR22">
        <v>0</v>
      </c>
      <c r="BS22">
        <v>0</v>
      </c>
      <c r="BT22">
        <v>9996.9193548387102</v>
      </c>
      <c r="BU22">
        <v>1186.242903225806</v>
      </c>
      <c r="BV22">
        <v>20.430929032258071</v>
      </c>
      <c r="BW22">
        <v>-78.21576774193548</v>
      </c>
      <c r="BX22">
        <v>382.46232258064521</v>
      </c>
      <c r="BY22">
        <v>458.95090322580648</v>
      </c>
      <c r="BZ22">
        <v>8.4143787096774183</v>
      </c>
      <c r="CA22">
        <v>450.00483870967741</v>
      </c>
      <c r="CB22">
        <v>19.492522580645161</v>
      </c>
      <c r="CC22">
        <v>2.8333670967741931</v>
      </c>
      <c r="CD22">
        <v>1.97906064516129</v>
      </c>
      <c r="CE22">
        <v>23.079780645161289</v>
      </c>
      <c r="CF22">
        <v>17.277799999999999</v>
      </c>
      <c r="CG22">
        <v>1754995818.5999999</v>
      </c>
      <c r="CH22" t="s">
        <v>337</v>
      </c>
      <c r="CI22">
        <v>1754995806.5999999</v>
      </c>
      <c r="CJ22">
        <v>1754995818.5999999</v>
      </c>
      <c r="CK22">
        <v>3</v>
      </c>
      <c r="CL22">
        <v>-1.0629999999999999</v>
      </c>
      <c r="CM22">
        <v>3.5999999999999997E-2</v>
      </c>
      <c r="CN22">
        <v>4.1210000000000004</v>
      </c>
      <c r="CO22">
        <v>0.29899999999999999</v>
      </c>
      <c r="CP22">
        <v>450</v>
      </c>
      <c r="CQ22">
        <v>19</v>
      </c>
      <c r="CR22">
        <v>0.05</v>
      </c>
      <c r="CS22">
        <v>0.01</v>
      </c>
      <c r="CT22">
        <v>-78.095360975609765</v>
      </c>
      <c r="CU22">
        <v>-2.7509414634145388</v>
      </c>
      <c r="CV22">
        <v>0.27394149533676221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8.4129107317073171</v>
      </c>
      <c r="DC22">
        <v>3.8572264808380247E-2</v>
      </c>
      <c r="DD22">
        <v>3.9234898541140586E-3</v>
      </c>
      <c r="DE22">
        <v>1</v>
      </c>
      <c r="DF22">
        <v>1</v>
      </c>
      <c r="DG22">
        <v>2</v>
      </c>
      <c r="DH22" t="s">
        <v>352</v>
      </c>
      <c r="DI22">
        <v>3.0247600000000001</v>
      </c>
      <c r="DJ22">
        <v>2.69137</v>
      </c>
      <c r="DK22">
        <v>8.7866200000000005E-2</v>
      </c>
      <c r="DL22">
        <v>0.10284</v>
      </c>
      <c r="DM22">
        <v>0.13313900000000001</v>
      </c>
      <c r="DN22">
        <v>0.104763</v>
      </c>
      <c r="DO22">
        <v>25437.599999999999</v>
      </c>
      <c r="DP22">
        <v>16297.6</v>
      </c>
      <c r="DQ22">
        <v>26458.7</v>
      </c>
      <c r="DR22">
        <v>16496.3</v>
      </c>
      <c r="DS22">
        <v>32603</v>
      </c>
      <c r="DT22">
        <v>19296.2</v>
      </c>
      <c r="DU22">
        <v>38544.1</v>
      </c>
      <c r="DV22">
        <v>21869.599999999999</v>
      </c>
      <c r="DW22">
        <v>1.7359599999999999</v>
      </c>
      <c r="DX22">
        <v>2.2053799999999999</v>
      </c>
      <c r="DY22">
        <v>7.6681399999999997E-2</v>
      </c>
      <c r="DZ22">
        <v>0</v>
      </c>
      <c r="EA22">
        <v>24.651299999999999</v>
      </c>
      <c r="EB22">
        <v>999.9</v>
      </c>
      <c r="EC22">
        <v>63.2</v>
      </c>
      <c r="ED22">
        <v>30.7</v>
      </c>
      <c r="EE22">
        <v>27.6068</v>
      </c>
      <c r="EF22">
        <v>62.825800000000001</v>
      </c>
      <c r="EG22">
        <v>36.105800000000002</v>
      </c>
      <c r="EH22">
        <v>1</v>
      </c>
      <c r="EI22">
        <v>8.5975600000000006E-3</v>
      </c>
      <c r="EJ22">
        <v>-0.19989299999999999</v>
      </c>
      <c r="EK22">
        <v>20.344000000000001</v>
      </c>
      <c r="EL22">
        <v>5.2517899999999997</v>
      </c>
      <c r="EM22">
        <v>11.962</v>
      </c>
      <c r="EN22">
        <v>4.9896000000000003</v>
      </c>
      <c r="EO22">
        <v>3.2914400000000001</v>
      </c>
      <c r="EP22">
        <v>9999</v>
      </c>
      <c r="EQ22">
        <v>9999</v>
      </c>
      <c r="ER22">
        <v>9999</v>
      </c>
      <c r="ES22">
        <v>999.9</v>
      </c>
      <c r="ET22">
        <v>4.97262</v>
      </c>
      <c r="EU22">
        <v>1.8717999999999999</v>
      </c>
      <c r="EV22">
        <v>1.8720699999999999</v>
      </c>
      <c r="EW22">
        <v>1.87713</v>
      </c>
      <c r="EX22">
        <v>1.8712299999999999</v>
      </c>
      <c r="EY22">
        <v>1.8720300000000001</v>
      </c>
      <c r="EZ22">
        <v>1.87164</v>
      </c>
      <c r="FA22">
        <v>1.86863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3.4340000000000002</v>
      </c>
      <c r="FP22">
        <v>0.2989</v>
      </c>
      <c r="FQ22">
        <v>0.53999230802340548</v>
      </c>
      <c r="FR22">
        <v>7.0338458001993282E-3</v>
      </c>
      <c r="FS22">
        <v>2.3387658340725169E-6</v>
      </c>
      <c r="FT22">
        <v>-2.2874075696057401E-10</v>
      </c>
      <c r="FU22">
        <v>0.29886666666666528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19.600000000000001</v>
      </c>
      <c r="GD22">
        <v>19.399999999999999</v>
      </c>
      <c r="GE22">
        <v>1.09863</v>
      </c>
      <c r="GF22">
        <v>2.6440399999999999</v>
      </c>
      <c r="GG22">
        <v>1.79932</v>
      </c>
      <c r="GH22">
        <v>2.3779300000000001</v>
      </c>
      <c r="GI22">
        <v>1.5979000000000001</v>
      </c>
      <c r="GJ22">
        <v>2.3901400000000002</v>
      </c>
      <c r="GK22">
        <v>33.8735</v>
      </c>
      <c r="GL22">
        <v>24.157499999999999</v>
      </c>
      <c r="GM22">
        <v>18</v>
      </c>
      <c r="GN22">
        <v>330.95100000000002</v>
      </c>
      <c r="GO22">
        <v>678.851</v>
      </c>
      <c r="GP22">
        <v>25.830300000000001</v>
      </c>
      <c r="GQ22">
        <v>27.126100000000001</v>
      </c>
      <c r="GR22">
        <v>30.0001</v>
      </c>
      <c r="GS22">
        <v>27.043600000000001</v>
      </c>
      <c r="GT22">
        <v>27.0701</v>
      </c>
      <c r="GU22">
        <v>21.9435</v>
      </c>
      <c r="GV22">
        <v>36.6616</v>
      </c>
      <c r="GW22">
        <v>0</v>
      </c>
      <c r="GX22">
        <v>25.83</v>
      </c>
      <c r="GY22">
        <v>450</v>
      </c>
      <c r="GZ22">
        <v>19.5</v>
      </c>
      <c r="HA22">
        <v>100.541</v>
      </c>
      <c r="HB22">
        <v>68.250600000000006</v>
      </c>
    </row>
    <row r="23" spans="1:210" x14ac:dyDescent="0.3">
      <c r="A23">
        <v>7</v>
      </c>
      <c r="B23">
        <v>1754997165.5</v>
      </c>
      <c r="C23">
        <v>1083.400000095367</v>
      </c>
      <c r="D23" t="s">
        <v>353</v>
      </c>
      <c r="E23" t="s">
        <v>354</v>
      </c>
      <c r="F23">
        <v>15</v>
      </c>
      <c r="G23">
        <v>1754997157.75</v>
      </c>
      <c r="H23">
        <f t="shared" si="0"/>
        <v>3.8821927748969648E-3</v>
      </c>
      <c r="I23">
        <f t="shared" si="1"/>
        <v>3.8821927748969647</v>
      </c>
      <c r="J23">
        <f t="shared" si="2"/>
        <v>34.395628526309444</v>
      </c>
      <c r="K23">
        <f t="shared" si="3"/>
        <v>368.89767960719712</v>
      </c>
      <c r="L23">
        <f t="shared" si="4"/>
        <v>294.40541089711394</v>
      </c>
      <c r="M23">
        <f t="shared" si="5"/>
        <v>29.919011082434658</v>
      </c>
      <c r="N23">
        <f t="shared" si="6"/>
        <v>37.489303375301375</v>
      </c>
      <c r="O23">
        <f t="shared" si="7"/>
        <v>0.88776174510747907</v>
      </c>
      <c r="P23">
        <f t="shared" si="8"/>
        <v>2.4195935542461089</v>
      </c>
      <c r="Q23">
        <f t="shared" si="9"/>
        <v>0.74925815597422007</v>
      </c>
      <c r="R23">
        <f t="shared" si="10"/>
        <v>0.47901835152781114</v>
      </c>
      <c r="S23">
        <f t="shared" si="11"/>
        <v>225.38768999999999</v>
      </c>
      <c r="T23">
        <f t="shared" si="12"/>
        <v>27.339345369718121</v>
      </c>
      <c r="U23">
        <f t="shared" si="13"/>
        <v>25.91817</v>
      </c>
      <c r="V23">
        <f t="shared" si="14"/>
        <v>3.3579542795637356</v>
      </c>
      <c r="W23">
        <f t="shared" si="15"/>
        <v>79.753617147795893</v>
      </c>
      <c r="X23">
        <f t="shared" si="16"/>
        <v>2.847471590817694</v>
      </c>
      <c r="Y23">
        <f t="shared" si="17"/>
        <v>3.570335356126713</v>
      </c>
      <c r="Z23">
        <f t="shared" si="18"/>
        <v>0.51048268874604164</v>
      </c>
      <c r="AA23">
        <f t="shared" si="19"/>
        <v>-171.20470137295615</v>
      </c>
      <c r="AB23">
        <f t="shared" si="20"/>
        <v>135.63771341302277</v>
      </c>
      <c r="AC23">
        <f t="shared" si="21"/>
        <v>12.030165920865844</v>
      </c>
      <c r="AD23">
        <f t="shared" si="22"/>
        <v>201.85086796093245</v>
      </c>
      <c r="AE23">
        <f t="shared" si="23"/>
        <v>34.395628526309444</v>
      </c>
      <c r="AF23">
        <f t="shared" si="24"/>
        <v>3.8821927748969647</v>
      </c>
      <c r="AG23">
        <f t="shared" si="25"/>
        <v>34.417533451736617</v>
      </c>
      <c r="AH23">
        <v>459.00541925532048</v>
      </c>
      <c r="AI23">
        <v>380.06820606060597</v>
      </c>
      <c r="AJ23">
        <v>-3.4208968539295669E-3</v>
      </c>
      <c r="AK23">
        <v>83.97285148576583</v>
      </c>
      <c r="AL23">
        <f t="shared" si="26"/>
        <v>3.8826642690485338</v>
      </c>
      <c r="AM23">
        <v>19.539738541295371</v>
      </c>
      <c r="AN23">
        <v>28.029121005081869</v>
      </c>
      <c r="AO23">
        <v>6.5474044325640811E-7</v>
      </c>
      <c r="AP23">
        <v>90.551659989945747</v>
      </c>
      <c r="AQ23">
        <v>31</v>
      </c>
      <c r="AR23">
        <v>8</v>
      </c>
      <c r="AS23">
        <f t="shared" si="27"/>
        <v>1.0008667585468756</v>
      </c>
      <c r="AT23">
        <f t="shared" si="28"/>
        <v>8.6675854687556786E-2</v>
      </c>
      <c r="AU23">
        <f t="shared" si="29"/>
        <v>53694.658610749175</v>
      </c>
      <c r="AV23">
        <f t="shared" si="30"/>
        <v>1186.251</v>
      </c>
      <c r="AW23">
        <f t="shared" si="31"/>
        <v>949.00080000000003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336</v>
      </c>
      <c r="BC23">
        <v>2</v>
      </c>
      <c r="BD23" t="b">
        <v>0</v>
      </c>
      <c r="BE23">
        <v>1754997157.75</v>
      </c>
      <c r="BF23">
        <v>369.47419999999988</v>
      </c>
      <c r="BG23">
        <v>450.00813333333332</v>
      </c>
      <c r="BH23">
        <v>28.019343333333339</v>
      </c>
      <c r="BI23">
        <v>19.538463333333329</v>
      </c>
      <c r="BJ23">
        <v>366.05743333333328</v>
      </c>
      <c r="BK23">
        <v>27.72048666666667</v>
      </c>
      <c r="BL23">
        <v>400.08216666666669</v>
      </c>
      <c r="BM23">
        <v>101.5251333333333</v>
      </c>
      <c r="BN23">
        <v>0.10007454333333329</v>
      </c>
      <c r="BO23">
        <v>26.957976666666671</v>
      </c>
      <c r="BP23">
        <v>25.91817</v>
      </c>
      <c r="BQ23">
        <v>999.9000000000002</v>
      </c>
      <c r="BR23">
        <v>0</v>
      </c>
      <c r="BS23">
        <v>0</v>
      </c>
      <c r="BT23">
        <v>10000.683333333331</v>
      </c>
      <c r="BU23">
        <v>1186.251</v>
      </c>
      <c r="BV23">
        <v>20.414806666666671</v>
      </c>
      <c r="BW23">
        <v>-80.533810000000003</v>
      </c>
      <c r="BX23">
        <v>380.12513333333322</v>
      </c>
      <c r="BY23">
        <v>458.9758333333333</v>
      </c>
      <c r="BZ23">
        <v>8.4808859999999981</v>
      </c>
      <c r="CA23">
        <v>450.00813333333332</v>
      </c>
      <c r="CB23">
        <v>19.538463333333329</v>
      </c>
      <c r="CC23">
        <v>2.8446703333333341</v>
      </c>
      <c r="CD23">
        <v>1.983646</v>
      </c>
      <c r="CE23">
        <v>23.145610000000001</v>
      </c>
      <c r="CF23">
        <v>17.31440666666667</v>
      </c>
      <c r="CG23">
        <v>1754995818.5999999</v>
      </c>
      <c r="CH23" t="s">
        <v>337</v>
      </c>
      <c r="CI23">
        <v>1754995806.5999999</v>
      </c>
      <c r="CJ23">
        <v>1754995818.5999999</v>
      </c>
      <c r="CK23">
        <v>3</v>
      </c>
      <c r="CL23">
        <v>-1.0629999999999999</v>
      </c>
      <c r="CM23">
        <v>3.5999999999999997E-2</v>
      </c>
      <c r="CN23">
        <v>4.1210000000000004</v>
      </c>
      <c r="CO23">
        <v>0.29899999999999999</v>
      </c>
      <c r="CP23">
        <v>450</v>
      </c>
      <c r="CQ23">
        <v>19</v>
      </c>
      <c r="CR23">
        <v>0.05</v>
      </c>
      <c r="CS23">
        <v>0.01</v>
      </c>
      <c r="CT23">
        <v>-80.512746341463426</v>
      </c>
      <c r="CU23">
        <v>-0.42028850174218191</v>
      </c>
      <c r="CV23">
        <v>4.9366761295040217E-2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8.4790017073170727</v>
      </c>
      <c r="DC23">
        <v>3.2197003484312543E-2</v>
      </c>
      <c r="DD23">
        <v>3.6669711715355971E-3</v>
      </c>
      <c r="DE23">
        <v>1</v>
      </c>
      <c r="DF23">
        <v>2</v>
      </c>
      <c r="DG23">
        <v>2</v>
      </c>
      <c r="DH23" t="s">
        <v>338</v>
      </c>
      <c r="DI23">
        <v>3.02467</v>
      </c>
      <c r="DJ23">
        <v>2.6911999999999998</v>
      </c>
      <c r="DK23">
        <v>8.7472599999999998E-2</v>
      </c>
      <c r="DL23">
        <v>0.10281800000000001</v>
      </c>
      <c r="DM23">
        <v>0.13350000000000001</v>
      </c>
      <c r="DN23">
        <v>0.104919</v>
      </c>
      <c r="DO23">
        <v>25445.7</v>
      </c>
      <c r="DP23">
        <v>16296.3</v>
      </c>
      <c r="DQ23">
        <v>26456</v>
      </c>
      <c r="DR23">
        <v>16494.599999999999</v>
      </c>
      <c r="DS23">
        <v>32586.2</v>
      </c>
      <c r="DT23">
        <v>19291.5</v>
      </c>
      <c r="DU23">
        <v>38540.199999999997</v>
      </c>
      <c r="DV23">
        <v>21867.9</v>
      </c>
      <c r="DW23">
        <v>1.7352399999999999</v>
      </c>
      <c r="DX23">
        <v>2.2044999999999999</v>
      </c>
      <c r="DY23">
        <v>7.6234300000000005E-2</v>
      </c>
      <c r="DZ23">
        <v>0</v>
      </c>
      <c r="EA23">
        <v>24.67</v>
      </c>
      <c r="EB23">
        <v>999.9</v>
      </c>
      <c r="EC23">
        <v>63.2</v>
      </c>
      <c r="ED23">
        <v>30.7</v>
      </c>
      <c r="EE23">
        <v>27.605499999999999</v>
      </c>
      <c r="EF23">
        <v>62.615900000000003</v>
      </c>
      <c r="EG23">
        <v>36.181899999999999</v>
      </c>
      <c r="EH23">
        <v>1</v>
      </c>
      <c r="EI23">
        <v>1.21301E-2</v>
      </c>
      <c r="EJ23">
        <v>-0.18749199999999999</v>
      </c>
      <c r="EK23">
        <v>20.344000000000001</v>
      </c>
      <c r="EL23">
        <v>5.25</v>
      </c>
      <c r="EM23">
        <v>11.962</v>
      </c>
      <c r="EN23">
        <v>4.9897200000000002</v>
      </c>
      <c r="EO23">
        <v>3.29128</v>
      </c>
      <c r="EP23">
        <v>9999</v>
      </c>
      <c r="EQ23">
        <v>9999</v>
      </c>
      <c r="ER23">
        <v>9999</v>
      </c>
      <c r="ES23">
        <v>999.9</v>
      </c>
      <c r="ET23">
        <v>4.9726299999999997</v>
      </c>
      <c r="EU23">
        <v>1.8717999999999999</v>
      </c>
      <c r="EV23">
        <v>1.8720399999999999</v>
      </c>
      <c r="EW23">
        <v>1.8771199999999999</v>
      </c>
      <c r="EX23">
        <v>1.8712500000000001</v>
      </c>
      <c r="EY23">
        <v>1.87202</v>
      </c>
      <c r="EZ23">
        <v>1.87164</v>
      </c>
      <c r="FA23">
        <v>1.8687100000000001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3.4159999999999999</v>
      </c>
      <c r="FP23">
        <v>0.2989</v>
      </c>
      <c r="FQ23">
        <v>0.53999230802340548</v>
      </c>
      <c r="FR23">
        <v>7.0338458001993282E-3</v>
      </c>
      <c r="FS23">
        <v>2.3387658340725169E-6</v>
      </c>
      <c r="FT23">
        <v>-2.2874075696057401E-10</v>
      </c>
      <c r="FU23">
        <v>0.29886666666666528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22.6</v>
      </c>
      <c r="GD23">
        <v>22.4</v>
      </c>
      <c r="GE23">
        <v>1.09741</v>
      </c>
      <c r="GF23">
        <v>2.6355</v>
      </c>
      <c r="GG23">
        <v>1.7981</v>
      </c>
      <c r="GH23">
        <v>2.3791500000000001</v>
      </c>
      <c r="GI23">
        <v>1.5979000000000001</v>
      </c>
      <c r="GJ23">
        <v>2.5</v>
      </c>
      <c r="GK23">
        <v>33.896099999999997</v>
      </c>
      <c r="GL23">
        <v>24.1663</v>
      </c>
      <c r="GM23">
        <v>18</v>
      </c>
      <c r="GN23">
        <v>330.91899999999998</v>
      </c>
      <c r="GO23">
        <v>678.75300000000004</v>
      </c>
      <c r="GP23">
        <v>25.830100000000002</v>
      </c>
      <c r="GQ23">
        <v>27.174399999999999</v>
      </c>
      <c r="GR23">
        <v>30.0001</v>
      </c>
      <c r="GS23">
        <v>27.095700000000001</v>
      </c>
      <c r="GT23">
        <v>27.122599999999998</v>
      </c>
      <c r="GU23">
        <v>21.939699999999998</v>
      </c>
      <c r="GV23">
        <v>36.6616</v>
      </c>
      <c r="GW23">
        <v>0</v>
      </c>
      <c r="GX23">
        <v>25.83</v>
      </c>
      <c r="GY23">
        <v>450</v>
      </c>
      <c r="GZ23">
        <v>19.5</v>
      </c>
      <c r="HA23">
        <v>100.53100000000001</v>
      </c>
      <c r="HB23">
        <v>68.244600000000005</v>
      </c>
    </row>
    <row r="24" spans="1:210" x14ac:dyDescent="0.3">
      <c r="A24">
        <v>8</v>
      </c>
      <c r="B24">
        <v>1754997346</v>
      </c>
      <c r="C24">
        <v>1263.900000095367</v>
      </c>
      <c r="D24" t="s">
        <v>355</v>
      </c>
      <c r="E24" t="s">
        <v>356</v>
      </c>
      <c r="F24">
        <v>15</v>
      </c>
      <c r="G24">
        <v>1754997338.25</v>
      </c>
      <c r="H24">
        <f t="shared" si="0"/>
        <v>3.9181129904971258E-3</v>
      </c>
      <c r="I24">
        <f t="shared" si="1"/>
        <v>3.9181129904971259</v>
      </c>
      <c r="J24">
        <f t="shared" si="2"/>
        <v>34.657346842624179</v>
      </c>
      <c r="K24">
        <f t="shared" si="3"/>
        <v>368.26909281855342</v>
      </c>
      <c r="L24">
        <f t="shared" si="4"/>
        <v>294.84556378297719</v>
      </c>
      <c r="M24">
        <f t="shared" si="5"/>
        <v>29.964383938650982</v>
      </c>
      <c r="N24">
        <f t="shared" si="6"/>
        <v>37.426225269837111</v>
      </c>
      <c r="O24">
        <f t="shared" si="7"/>
        <v>0.91074888436812795</v>
      </c>
      <c r="P24">
        <f t="shared" si="8"/>
        <v>2.420370892009946</v>
      </c>
      <c r="Q24">
        <f t="shared" si="9"/>
        <v>0.76560910521713632</v>
      </c>
      <c r="R24">
        <f t="shared" si="10"/>
        <v>0.48971258110342014</v>
      </c>
      <c r="S24">
        <f t="shared" si="11"/>
        <v>225.42246</v>
      </c>
      <c r="T24">
        <f t="shared" si="12"/>
        <v>27.336205526697306</v>
      </c>
      <c r="U24">
        <f t="shared" si="13"/>
        <v>25.92421666666667</v>
      </c>
      <c r="V24">
        <f t="shared" si="14"/>
        <v>3.3591566844172607</v>
      </c>
      <c r="W24">
        <f t="shared" si="15"/>
        <v>79.926501693065333</v>
      </c>
      <c r="X24">
        <f t="shared" si="16"/>
        <v>2.8549649715848764</v>
      </c>
      <c r="Y24">
        <f t="shared" si="17"/>
        <v>3.5719879027716557</v>
      </c>
      <c r="Z24">
        <f t="shared" si="18"/>
        <v>0.50419171283238429</v>
      </c>
      <c r="AA24">
        <f t="shared" si="19"/>
        <v>-172.78878288092324</v>
      </c>
      <c r="AB24">
        <f t="shared" si="20"/>
        <v>135.92008073272538</v>
      </c>
      <c r="AC24">
        <f t="shared" si="21"/>
        <v>12.052179016064491</v>
      </c>
      <c r="AD24">
        <f t="shared" si="22"/>
        <v>200.60593686786663</v>
      </c>
      <c r="AE24">
        <f t="shared" si="23"/>
        <v>34.657346842624179</v>
      </c>
      <c r="AF24">
        <f t="shared" si="24"/>
        <v>3.9181129904971259</v>
      </c>
      <c r="AG24">
        <f t="shared" si="25"/>
        <v>34.64724562960906</v>
      </c>
      <c r="AH24">
        <v>459.00603240834931</v>
      </c>
      <c r="AI24">
        <v>379.50289696969679</v>
      </c>
      <c r="AJ24">
        <v>7.5028862361308042E-5</v>
      </c>
      <c r="AK24">
        <v>83.97285148576583</v>
      </c>
      <c r="AL24">
        <f t="shared" si="26"/>
        <v>3.9175365563710693</v>
      </c>
      <c r="AM24">
        <v>19.531746126506409</v>
      </c>
      <c r="AN24">
        <v>28.09778831168834</v>
      </c>
      <c r="AO24">
        <v>1.18541923538556E-6</v>
      </c>
      <c r="AP24">
        <v>90.551659989945747</v>
      </c>
      <c r="AQ24">
        <v>31</v>
      </c>
      <c r="AR24">
        <v>8</v>
      </c>
      <c r="AS24">
        <f t="shared" si="27"/>
        <v>1.0008663603324464</v>
      </c>
      <c r="AT24">
        <f t="shared" si="28"/>
        <v>8.6636033244635868E-2</v>
      </c>
      <c r="AU24">
        <f t="shared" si="29"/>
        <v>53719.317485418127</v>
      </c>
      <c r="AV24">
        <f t="shared" si="30"/>
        <v>1186.434</v>
      </c>
      <c r="AW24">
        <f t="shared" si="31"/>
        <v>949.1472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336</v>
      </c>
      <c r="BC24">
        <v>2</v>
      </c>
      <c r="BD24" t="b">
        <v>0</v>
      </c>
      <c r="BE24">
        <v>1754997338.25</v>
      </c>
      <c r="BF24">
        <v>368.8497333333334</v>
      </c>
      <c r="BG24">
        <v>450.00596666666672</v>
      </c>
      <c r="BH24">
        <v>28.09247666666667</v>
      </c>
      <c r="BI24">
        <v>19.532746666666661</v>
      </c>
      <c r="BJ24">
        <v>365.43796666666663</v>
      </c>
      <c r="BK24">
        <v>27.793599999999991</v>
      </c>
      <c r="BL24">
        <v>400.03443333333331</v>
      </c>
      <c r="BM24">
        <v>101.52736666666669</v>
      </c>
      <c r="BN24">
        <v>0.1000193933333333</v>
      </c>
      <c r="BO24">
        <v>26.965853333333332</v>
      </c>
      <c r="BP24">
        <v>25.92421666666667</v>
      </c>
      <c r="BQ24">
        <v>999.9000000000002</v>
      </c>
      <c r="BR24">
        <v>0</v>
      </c>
      <c r="BS24">
        <v>0</v>
      </c>
      <c r="BT24">
        <v>10005.51666666667</v>
      </c>
      <c r="BU24">
        <v>1186.434</v>
      </c>
      <c r="BV24">
        <v>20.460413333333332</v>
      </c>
      <c r="BW24">
        <v>-81.156239999999997</v>
      </c>
      <c r="BX24">
        <v>379.5111</v>
      </c>
      <c r="BY24">
        <v>458.97103333333342</v>
      </c>
      <c r="BZ24">
        <v>8.5597333333333321</v>
      </c>
      <c r="CA24">
        <v>450.00596666666672</v>
      </c>
      <c r="CB24">
        <v>19.532746666666661</v>
      </c>
      <c r="CC24">
        <v>2.852154000000001</v>
      </c>
      <c r="CD24">
        <v>1.983107</v>
      </c>
      <c r="CE24">
        <v>23.189083333333329</v>
      </c>
      <c r="CF24">
        <v>17.310103333333331</v>
      </c>
      <c r="CG24">
        <v>1754995818.5999999</v>
      </c>
      <c r="CH24" t="s">
        <v>337</v>
      </c>
      <c r="CI24">
        <v>1754995806.5999999</v>
      </c>
      <c r="CJ24">
        <v>1754995818.5999999</v>
      </c>
      <c r="CK24">
        <v>3</v>
      </c>
      <c r="CL24">
        <v>-1.0629999999999999</v>
      </c>
      <c r="CM24">
        <v>3.5999999999999997E-2</v>
      </c>
      <c r="CN24">
        <v>4.1210000000000004</v>
      </c>
      <c r="CO24">
        <v>0.29899999999999999</v>
      </c>
      <c r="CP24">
        <v>450</v>
      </c>
      <c r="CQ24">
        <v>19</v>
      </c>
      <c r="CR24">
        <v>0.05</v>
      </c>
      <c r="CS24">
        <v>0.01</v>
      </c>
      <c r="CT24">
        <v>-81.13824146341463</v>
      </c>
      <c r="CU24">
        <v>-0.33911707317082268</v>
      </c>
      <c r="CV24">
        <v>4.1574223813119343E-2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8.5595817073170721</v>
      </c>
      <c r="DC24">
        <v>5.8657839721202917E-3</v>
      </c>
      <c r="DD24">
        <v>1.307199394048289E-3</v>
      </c>
      <c r="DE24">
        <v>1</v>
      </c>
      <c r="DF24">
        <v>2</v>
      </c>
      <c r="DG24">
        <v>2</v>
      </c>
      <c r="DH24" t="s">
        <v>338</v>
      </c>
      <c r="DI24">
        <v>3.02481</v>
      </c>
      <c r="DJ24">
        <v>2.6911999999999998</v>
      </c>
      <c r="DK24">
        <v>8.7362400000000007E-2</v>
      </c>
      <c r="DL24">
        <v>0.10281899999999999</v>
      </c>
      <c r="DM24">
        <v>0.13372100000000001</v>
      </c>
      <c r="DN24">
        <v>0.104893</v>
      </c>
      <c r="DO24">
        <v>25446</v>
      </c>
      <c r="DP24">
        <v>16295.8</v>
      </c>
      <c r="DQ24">
        <v>26453.4</v>
      </c>
      <c r="DR24">
        <v>16494.2</v>
      </c>
      <c r="DS24">
        <v>32574.9</v>
      </c>
      <c r="DT24">
        <v>19291.900000000001</v>
      </c>
      <c r="DU24">
        <v>38536.400000000001</v>
      </c>
      <c r="DV24">
        <v>21867.599999999999</v>
      </c>
      <c r="DW24">
        <v>1.7356799999999999</v>
      </c>
      <c r="DX24">
        <v>2.2033399999999999</v>
      </c>
      <c r="DY24">
        <v>7.5656200000000007E-2</v>
      </c>
      <c r="DZ24">
        <v>0</v>
      </c>
      <c r="EA24">
        <v>24.682500000000001</v>
      </c>
      <c r="EB24">
        <v>999.9</v>
      </c>
      <c r="EC24">
        <v>63.2</v>
      </c>
      <c r="ED24">
        <v>30.7</v>
      </c>
      <c r="EE24">
        <v>27.606400000000001</v>
      </c>
      <c r="EF24">
        <v>62.635899999999999</v>
      </c>
      <c r="EG24">
        <v>36.177900000000001</v>
      </c>
      <c r="EH24">
        <v>1</v>
      </c>
      <c r="EI24">
        <v>1.5485799999999999E-2</v>
      </c>
      <c r="EJ24">
        <v>-0.178235</v>
      </c>
      <c r="EK24">
        <v>20.344100000000001</v>
      </c>
      <c r="EL24">
        <v>5.2510700000000003</v>
      </c>
      <c r="EM24">
        <v>11.962</v>
      </c>
      <c r="EN24">
        <v>4.9897999999999998</v>
      </c>
      <c r="EO24">
        <v>3.29148</v>
      </c>
      <c r="EP24">
        <v>9999</v>
      </c>
      <c r="EQ24">
        <v>9999</v>
      </c>
      <c r="ER24">
        <v>9999</v>
      </c>
      <c r="ES24">
        <v>999.9</v>
      </c>
      <c r="ET24">
        <v>4.9726600000000003</v>
      </c>
      <c r="EU24">
        <v>1.8717900000000001</v>
      </c>
      <c r="EV24">
        <v>1.87208</v>
      </c>
      <c r="EW24">
        <v>1.8771100000000001</v>
      </c>
      <c r="EX24">
        <v>1.8712500000000001</v>
      </c>
      <c r="EY24">
        <v>1.87201</v>
      </c>
      <c r="EZ24">
        <v>1.87164</v>
      </c>
      <c r="FA24">
        <v>1.86866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3.4119999999999999</v>
      </c>
      <c r="FP24">
        <v>0.2989</v>
      </c>
      <c r="FQ24">
        <v>0.53999230802340548</v>
      </c>
      <c r="FR24">
        <v>7.0338458001993282E-3</v>
      </c>
      <c r="FS24">
        <v>2.3387658340725169E-6</v>
      </c>
      <c r="FT24">
        <v>-2.2874075696057401E-10</v>
      </c>
      <c r="FU24">
        <v>0.29886666666666528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25.7</v>
      </c>
      <c r="GD24">
        <v>25.5</v>
      </c>
      <c r="GE24">
        <v>1.09863</v>
      </c>
      <c r="GF24">
        <v>2.6428199999999999</v>
      </c>
      <c r="GG24">
        <v>1.79932</v>
      </c>
      <c r="GH24">
        <v>2.3791500000000001</v>
      </c>
      <c r="GI24">
        <v>1.5979000000000001</v>
      </c>
      <c r="GJ24">
        <v>2.47925</v>
      </c>
      <c r="GK24">
        <v>33.941299999999998</v>
      </c>
      <c r="GL24">
        <v>24.1663</v>
      </c>
      <c r="GM24">
        <v>18</v>
      </c>
      <c r="GN24">
        <v>331.41</v>
      </c>
      <c r="GO24">
        <v>678.35599999999999</v>
      </c>
      <c r="GP24">
        <v>25.83</v>
      </c>
      <c r="GQ24">
        <v>27.2182</v>
      </c>
      <c r="GR24">
        <v>30.0002</v>
      </c>
      <c r="GS24">
        <v>27.1433</v>
      </c>
      <c r="GT24">
        <v>27.1709</v>
      </c>
      <c r="GU24">
        <v>21.936399999999999</v>
      </c>
      <c r="GV24">
        <v>36.940800000000003</v>
      </c>
      <c r="GW24">
        <v>0</v>
      </c>
      <c r="GX24">
        <v>25.83</v>
      </c>
      <c r="GY24">
        <v>450</v>
      </c>
      <c r="GZ24">
        <v>19.5</v>
      </c>
      <c r="HA24">
        <v>100.521</v>
      </c>
      <c r="HB24">
        <v>68.243399999999994</v>
      </c>
    </row>
    <row r="25" spans="1:210" x14ac:dyDescent="0.3">
      <c r="A25">
        <v>9</v>
      </c>
      <c r="B25">
        <v>1754997526.5</v>
      </c>
      <c r="C25">
        <v>1444.400000095367</v>
      </c>
      <c r="D25" t="s">
        <v>357</v>
      </c>
      <c r="E25" t="s">
        <v>358</v>
      </c>
      <c r="F25">
        <v>15</v>
      </c>
      <c r="G25">
        <v>1754997518.75</v>
      </c>
      <c r="H25">
        <f t="shared" si="0"/>
        <v>3.9615646001811807E-3</v>
      </c>
      <c r="I25">
        <f t="shared" si="1"/>
        <v>3.9615646001811804</v>
      </c>
      <c r="J25">
        <f t="shared" si="2"/>
        <v>42.690710995648764</v>
      </c>
      <c r="K25">
        <f t="shared" si="3"/>
        <v>498.86473547881644</v>
      </c>
      <c r="L25">
        <f t="shared" si="4"/>
        <v>409.0384625039618</v>
      </c>
      <c r="M25">
        <f t="shared" si="5"/>
        <v>41.567610166295623</v>
      </c>
      <c r="N25">
        <f t="shared" si="6"/>
        <v>50.696002334730998</v>
      </c>
      <c r="O25">
        <f t="shared" si="7"/>
        <v>0.9228565047805154</v>
      </c>
      <c r="P25">
        <f t="shared" si="8"/>
        <v>2.419500774972756</v>
      </c>
      <c r="Q25">
        <f t="shared" si="9"/>
        <v>0.77410427223103218</v>
      </c>
      <c r="R25">
        <f t="shared" si="10"/>
        <v>0.49527903259286565</v>
      </c>
      <c r="S25">
        <f t="shared" si="11"/>
        <v>225.39345333333347</v>
      </c>
      <c r="T25">
        <f t="shared" si="12"/>
        <v>27.327817724927367</v>
      </c>
      <c r="U25">
        <f t="shared" si="13"/>
        <v>25.93508666666667</v>
      </c>
      <c r="V25">
        <f t="shared" si="14"/>
        <v>3.3613191748871456</v>
      </c>
      <c r="W25">
        <f t="shared" si="15"/>
        <v>79.963751150484086</v>
      </c>
      <c r="X25">
        <f t="shared" si="16"/>
        <v>2.8571653969898989</v>
      </c>
      <c r="Y25">
        <f t="shared" si="17"/>
        <v>3.5730757447996511</v>
      </c>
      <c r="Z25">
        <f t="shared" si="18"/>
        <v>0.50415377789724669</v>
      </c>
      <c r="AA25">
        <f t="shared" si="19"/>
        <v>-174.70499886799007</v>
      </c>
      <c r="AB25">
        <f t="shared" si="20"/>
        <v>135.12944830213408</v>
      </c>
      <c r="AC25">
        <f t="shared" si="21"/>
        <v>11.987345384477653</v>
      </c>
      <c r="AD25">
        <f t="shared" si="22"/>
        <v>197.80524815195514</v>
      </c>
      <c r="AE25">
        <f t="shared" si="23"/>
        <v>42.690710995648764</v>
      </c>
      <c r="AF25">
        <f t="shared" si="24"/>
        <v>3.9615646001811804</v>
      </c>
      <c r="AG25">
        <f t="shared" si="25"/>
        <v>42.687221869563878</v>
      </c>
      <c r="AH25">
        <v>611.92278362320508</v>
      </c>
      <c r="AI25">
        <v>513.94963636363616</v>
      </c>
      <c r="AJ25">
        <v>2.9424038134342012E-3</v>
      </c>
      <c r="AK25">
        <v>83.97285148576583</v>
      </c>
      <c r="AL25">
        <f t="shared" si="26"/>
        <v>3.9600347299486089</v>
      </c>
      <c r="AM25">
        <v>19.461045020792302</v>
      </c>
      <c r="AN25">
        <v>28.120174195369859</v>
      </c>
      <c r="AO25">
        <v>2.9851816502252972E-7</v>
      </c>
      <c r="AP25">
        <v>90.551659989945747</v>
      </c>
      <c r="AQ25">
        <v>31</v>
      </c>
      <c r="AR25">
        <v>8</v>
      </c>
      <c r="AS25">
        <f t="shared" si="27"/>
        <v>1.0008668473358786</v>
      </c>
      <c r="AT25">
        <f t="shared" si="28"/>
        <v>8.6684733587860663E-2</v>
      </c>
      <c r="AU25">
        <f t="shared" si="29"/>
        <v>53689.163564137038</v>
      </c>
      <c r="AV25">
        <f t="shared" si="30"/>
        <v>1186.281333333334</v>
      </c>
      <c r="AW25">
        <f t="shared" si="31"/>
        <v>949.02506666666727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336</v>
      </c>
      <c r="BC25">
        <v>2</v>
      </c>
      <c r="BD25" t="b">
        <v>0</v>
      </c>
      <c r="BE25">
        <v>1754997518.75</v>
      </c>
      <c r="BF25">
        <v>499.58036666666658</v>
      </c>
      <c r="BG25">
        <v>599.99973333333332</v>
      </c>
      <c r="BH25">
        <v>28.115413333333329</v>
      </c>
      <c r="BI25">
        <v>19.460613333333331</v>
      </c>
      <c r="BJ25">
        <v>495.01323333333329</v>
      </c>
      <c r="BK25">
        <v>27.816549999999999</v>
      </c>
      <c r="BL25">
        <v>400.01816666666667</v>
      </c>
      <c r="BM25">
        <v>101.52273333333331</v>
      </c>
      <c r="BN25">
        <v>0.1000087233333333</v>
      </c>
      <c r="BO25">
        <v>26.97103666666667</v>
      </c>
      <c r="BP25">
        <v>25.93508666666667</v>
      </c>
      <c r="BQ25">
        <v>999.9000000000002</v>
      </c>
      <c r="BR25">
        <v>0</v>
      </c>
      <c r="BS25">
        <v>0</v>
      </c>
      <c r="BT25">
        <v>10000.316666666669</v>
      </c>
      <c r="BU25">
        <v>1186.281333333334</v>
      </c>
      <c r="BV25">
        <v>20.412863333333341</v>
      </c>
      <c r="BW25">
        <v>-100.4194</v>
      </c>
      <c r="BX25">
        <v>514.0326</v>
      </c>
      <c r="BY25">
        <v>611.90789999999981</v>
      </c>
      <c r="BZ25">
        <v>8.6547926666666672</v>
      </c>
      <c r="CA25">
        <v>599.99973333333332</v>
      </c>
      <c r="CB25">
        <v>19.460613333333331</v>
      </c>
      <c r="CC25">
        <v>2.854353333333334</v>
      </c>
      <c r="CD25">
        <v>1.975695</v>
      </c>
      <c r="CE25">
        <v>23.201836666666669</v>
      </c>
      <c r="CF25">
        <v>17.250883333333331</v>
      </c>
      <c r="CG25">
        <v>1754995818.5999999</v>
      </c>
      <c r="CH25" t="s">
        <v>337</v>
      </c>
      <c r="CI25">
        <v>1754995806.5999999</v>
      </c>
      <c r="CJ25">
        <v>1754995818.5999999</v>
      </c>
      <c r="CK25">
        <v>3</v>
      </c>
      <c r="CL25">
        <v>-1.0629999999999999</v>
      </c>
      <c r="CM25">
        <v>3.5999999999999997E-2</v>
      </c>
      <c r="CN25">
        <v>4.1210000000000004</v>
      </c>
      <c r="CO25">
        <v>0.29899999999999999</v>
      </c>
      <c r="CP25">
        <v>450</v>
      </c>
      <c r="CQ25">
        <v>19</v>
      </c>
      <c r="CR25">
        <v>0.05</v>
      </c>
      <c r="CS25">
        <v>0.01</v>
      </c>
      <c r="CT25">
        <v>-100.35442500000001</v>
      </c>
      <c r="CU25">
        <v>-1.3678311444653961</v>
      </c>
      <c r="CV25">
        <v>0.14508530034086919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8.6543907499999992</v>
      </c>
      <c r="DC25">
        <v>4.9390243902055261E-3</v>
      </c>
      <c r="DD25">
        <v>1.0543158623013301E-3</v>
      </c>
      <c r="DE25">
        <v>1</v>
      </c>
      <c r="DF25">
        <v>1</v>
      </c>
      <c r="DG25">
        <v>2</v>
      </c>
      <c r="DH25" t="s">
        <v>352</v>
      </c>
      <c r="DI25">
        <v>3.0247099999999998</v>
      </c>
      <c r="DJ25">
        <v>2.6912600000000002</v>
      </c>
      <c r="DK25">
        <v>0.10970299999999999</v>
      </c>
      <c r="DL25">
        <v>0.12640599999999999</v>
      </c>
      <c r="DM25">
        <v>0.13377</v>
      </c>
      <c r="DN25">
        <v>0.104605</v>
      </c>
      <c r="DO25">
        <v>24821.200000000001</v>
      </c>
      <c r="DP25">
        <v>15867</v>
      </c>
      <c r="DQ25">
        <v>26451.5</v>
      </c>
      <c r="DR25">
        <v>16493.900000000001</v>
      </c>
      <c r="DS25">
        <v>32571.599999999999</v>
      </c>
      <c r="DT25">
        <v>19298.8</v>
      </c>
      <c r="DU25">
        <v>38533.599999999999</v>
      </c>
      <c r="DV25">
        <v>21867.8</v>
      </c>
      <c r="DW25">
        <v>1.7355799999999999</v>
      </c>
      <c r="DX25">
        <v>2.2027399999999999</v>
      </c>
      <c r="DY25">
        <v>7.4708499999999997E-2</v>
      </c>
      <c r="DZ25">
        <v>0</v>
      </c>
      <c r="EA25">
        <v>24.7074</v>
      </c>
      <c r="EB25">
        <v>999.9</v>
      </c>
      <c r="EC25">
        <v>63.3</v>
      </c>
      <c r="ED25">
        <v>30.8</v>
      </c>
      <c r="EE25">
        <v>27.8109</v>
      </c>
      <c r="EF25">
        <v>62.635899999999999</v>
      </c>
      <c r="EG25">
        <v>36.145800000000001</v>
      </c>
      <c r="EH25">
        <v>1</v>
      </c>
      <c r="EI25">
        <v>1.8451200000000001E-2</v>
      </c>
      <c r="EJ25">
        <v>-0.16564300000000001</v>
      </c>
      <c r="EK25">
        <v>20.344000000000001</v>
      </c>
      <c r="EL25">
        <v>5.2513100000000001</v>
      </c>
      <c r="EM25">
        <v>11.962</v>
      </c>
      <c r="EN25">
        <v>4.98956</v>
      </c>
      <c r="EO25">
        <v>3.2911800000000002</v>
      </c>
      <c r="EP25">
        <v>9999</v>
      </c>
      <c r="EQ25">
        <v>9999</v>
      </c>
      <c r="ER25">
        <v>9999</v>
      </c>
      <c r="ES25">
        <v>999.9</v>
      </c>
      <c r="ET25">
        <v>4.9726499999999998</v>
      </c>
      <c r="EU25">
        <v>1.8717999999999999</v>
      </c>
      <c r="EV25">
        <v>1.8720600000000001</v>
      </c>
      <c r="EW25">
        <v>1.8771199999999999</v>
      </c>
      <c r="EX25">
        <v>1.87124</v>
      </c>
      <c r="EY25">
        <v>1.87202</v>
      </c>
      <c r="EZ25">
        <v>1.87164</v>
      </c>
      <c r="FA25">
        <v>1.8686799999999999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4.5659999999999998</v>
      </c>
      <c r="FP25">
        <v>0.2989</v>
      </c>
      <c r="FQ25">
        <v>0.53999230802340548</v>
      </c>
      <c r="FR25">
        <v>7.0338458001993282E-3</v>
      </c>
      <c r="FS25">
        <v>2.3387658340725169E-6</v>
      </c>
      <c r="FT25">
        <v>-2.2874075696057401E-10</v>
      </c>
      <c r="FU25">
        <v>0.29886666666666528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28.7</v>
      </c>
      <c r="GD25">
        <v>28.5</v>
      </c>
      <c r="GE25">
        <v>1.38428</v>
      </c>
      <c r="GF25">
        <v>2.63428</v>
      </c>
      <c r="GG25">
        <v>1.7981</v>
      </c>
      <c r="GH25">
        <v>2.3791500000000001</v>
      </c>
      <c r="GI25">
        <v>1.5979000000000001</v>
      </c>
      <c r="GJ25">
        <v>2.4731399999999999</v>
      </c>
      <c r="GK25">
        <v>33.986499999999999</v>
      </c>
      <c r="GL25">
        <v>24.1663</v>
      </c>
      <c r="GM25">
        <v>18</v>
      </c>
      <c r="GN25">
        <v>331.60599999999999</v>
      </c>
      <c r="GO25">
        <v>678.36199999999997</v>
      </c>
      <c r="GP25">
        <v>25.83</v>
      </c>
      <c r="GQ25">
        <v>27.258500000000002</v>
      </c>
      <c r="GR25">
        <v>30.0001</v>
      </c>
      <c r="GS25">
        <v>27.1845</v>
      </c>
      <c r="GT25">
        <v>27.212399999999999</v>
      </c>
      <c r="GU25">
        <v>27.6496</v>
      </c>
      <c r="GV25">
        <v>37.218400000000003</v>
      </c>
      <c r="GW25">
        <v>0</v>
      </c>
      <c r="GX25">
        <v>25.83</v>
      </c>
      <c r="GY25">
        <v>600</v>
      </c>
      <c r="GZ25">
        <v>19.5</v>
      </c>
      <c r="HA25">
        <v>100.51300000000001</v>
      </c>
      <c r="HB25">
        <v>68.243099999999998</v>
      </c>
    </row>
    <row r="26" spans="1:210" x14ac:dyDescent="0.3">
      <c r="A26">
        <v>10</v>
      </c>
      <c r="B26">
        <v>1754997707</v>
      </c>
      <c r="C26">
        <v>1624.900000095367</v>
      </c>
      <c r="D26" t="s">
        <v>359</v>
      </c>
      <c r="E26" t="s">
        <v>360</v>
      </c>
      <c r="F26">
        <v>15</v>
      </c>
      <c r="G26">
        <v>1754997699.25</v>
      </c>
      <c r="H26">
        <f t="shared" si="0"/>
        <v>3.962703960723791E-3</v>
      </c>
      <c r="I26">
        <f t="shared" si="1"/>
        <v>3.9627039607237911</v>
      </c>
      <c r="J26">
        <f t="shared" si="2"/>
        <v>49.245147897439232</v>
      </c>
      <c r="K26">
        <f t="shared" si="3"/>
        <v>781.50981417593198</v>
      </c>
      <c r="L26">
        <f t="shared" si="4"/>
        <v>677.36939272705126</v>
      </c>
      <c r="M26">
        <f t="shared" si="5"/>
        <v>68.835403009468777</v>
      </c>
      <c r="N26">
        <f t="shared" si="6"/>
        <v>79.418325646627594</v>
      </c>
      <c r="O26">
        <f t="shared" si="7"/>
        <v>0.93449118160889588</v>
      </c>
      <c r="P26">
        <f t="shared" si="8"/>
        <v>2.4193876801697622</v>
      </c>
      <c r="Q26">
        <f t="shared" si="9"/>
        <v>0.78226989008419212</v>
      </c>
      <c r="R26">
        <f t="shared" si="10"/>
        <v>0.50062886608094792</v>
      </c>
      <c r="S26">
        <f t="shared" si="11"/>
        <v>225.39478333333327</v>
      </c>
      <c r="T26">
        <f t="shared" si="12"/>
        <v>27.335849610891387</v>
      </c>
      <c r="U26">
        <f t="shared" si="13"/>
        <v>25.937650000000001</v>
      </c>
      <c r="V26">
        <f t="shared" si="14"/>
        <v>3.3618293045485448</v>
      </c>
      <c r="W26">
        <f t="shared" si="15"/>
        <v>80.082532219834832</v>
      </c>
      <c r="X26">
        <f t="shared" si="16"/>
        <v>2.8628156622178866</v>
      </c>
      <c r="Y26">
        <f t="shared" si="17"/>
        <v>3.5748315929360994</v>
      </c>
      <c r="Z26">
        <f t="shared" si="18"/>
        <v>0.49901364233065815</v>
      </c>
      <c r="AA26">
        <f t="shared" si="19"/>
        <v>-174.75524466791919</v>
      </c>
      <c r="AB26">
        <f t="shared" si="20"/>
        <v>135.87964930791762</v>
      </c>
      <c r="AC26">
        <f t="shared" si="21"/>
        <v>12.055119438305709</v>
      </c>
      <c r="AD26">
        <f t="shared" si="22"/>
        <v>198.57430741163739</v>
      </c>
      <c r="AE26">
        <f t="shared" si="23"/>
        <v>49.245147897439232</v>
      </c>
      <c r="AF26">
        <f t="shared" si="24"/>
        <v>3.9627039607237911</v>
      </c>
      <c r="AG26">
        <f t="shared" si="25"/>
        <v>49.259125588355587</v>
      </c>
      <c r="AH26">
        <v>917.96987276458162</v>
      </c>
      <c r="AI26">
        <v>804.93620606060631</v>
      </c>
      <c r="AJ26">
        <v>-1.2529672892530269E-3</v>
      </c>
      <c r="AK26">
        <v>83.97285148576583</v>
      </c>
      <c r="AL26">
        <f t="shared" si="26"/>
        <v>3.9602540508140955</v>
      </c>
      <c r="AM26">
        <v>19.513537128261401</v>
      </c>
      <c r="AN26">
        <v>28.173486561264831</v>
      </c>
      <c r="AO26">
        <v>4.2642819786933502E-7</v>
      </c>
      <c r="AP26">
        <v>90.551659989945747</v>
      </c>
      <c r="AQ26">
        <v>31</v>
      </c>
      <c r="AR26">
        <v>8</v>
      </c>
      <c r="AS26">
        <f t="shared" si="27"/>
        <v>1.0008669330616586</v>
      </c>
      <c r="AT26">
        <f t="shared" si="28"/>
        <v>8.6693306165863682E-2</v>
      </c>
      <c r="AU26">
        <f t="shared" si="29"/>
        <v>53683.85916476549</v>
      </c>
      <c r="AV26">
        <f t="shared" si="30"/>
        <v>1186.288333333333</v>
      </c>
      <c r="AW26">
        <f t="shared" si="31"/>
        <v>949.03066666666643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336</v>
      </c>
      <c r="BC26">
        <v>2</v>
      </c>
      <c r="BD26" t="b">
        <v>0</v>
      </c>
      <c r="BE26">
        <v>1754997699.25</v>
      </c>
      <c r="BF26">
        <v>782.33540000000005</v>
      </c>
      <c r="BG26">
        <v>900.02213333333339</v>
      </c>
      <c r="BH26">
        <v>28.17131333333333</v>
      </c>
      <c r="BI26">
        <v>19.513706666666671</v>
      </c>
      <c r="BJ26">
        <v>775.04550000000006</v>
      </c>
      <c r="BK26">
        <v>27.872450000000001</v>
      </c>
      <c r="BL26">
        <v>399.98043333333328</v>
      </c>
      <c r="BM26">
        <v>101.5217</v>
      </c>
      <c r="BN26">
        <v>9.9961310000000012E-2</v>
      </c>
      <c r="BO26">
        <v>26.979399999999998</v>
      </c>
      <c r="BP26">
        <v>25.937650000000001</v>
      </c>
      <c r="BQ26">
        <v>999.9000000000002</v>
      </c>
      <c r="BR26">
        <v>0</v>
      </c>
      <c r="BS26">
        <v>0</v>
      </c>
      <c r="BT26">
        <v>9999.6833333333325</v>
      </c>
      <c r="BU26">
        <v>1186.288333333333</v>
      </c>
      <c r="BV26">
        <v>20.464206666666659</v>
      </c>
      <c r="BW26">
        <v>-117.68656666666671</v>
      </c>
      <c r="BX26">
        <v>805.01369999999997</v>
      </c>
      <c r="BY26">
        <v>917.93443333333335</v>
      </c>
      <c r="BZ26">
        <v>8.657607333333333</v>
      </c>
      <c r="CA26">
        <v>900.02213333333339</v>
      </c>
      <c r="CB26">
        <v>19.513706666666671</v>
      </c>
      <c r="CC26">
        <v>2.8599969999999999</v>
      </c>
      <c r="CD26">
        <v>1.981063</v>
      </c>
      <c r="CE26">
        <v>23.234516666666671</v>
      </c>
      <c r="CF26">
        <v>17.293783333333341</v>
      </c>
      <c r="CG26">
        <v>1754995818.5999999</v>
      </c>
      <c r="CH26" t="s">
        <v>337</v>
      </c>
      <c r="CI26">
        <v>1754995806.5999999</v>
      </c>
      <c r="CJ26">
        <v>1754995818.5999999</v>
      </c>
      <c r="CK26">
        <v>3</v>
      </c>
      <c r="CL26">
        <v>-1.0629999999999999</v>
      </c>
      <c r="CM26">
        <v>3.5999999999999997E-2</v>
      </c>
      <c r="CN26">
        <v>4.1210000000000004</v>
      </c>
      <c r="CO26">
        <v>0.29899999999999999</v>
      </c>
      <c r="CP26">
        <v>450</v>
      </c>
      <c r="CQ26">
        <v>19</v>
      </c>
      <c r="CR26">
        <v>0.05</v>
      </c>
      <c r="CS26">
        <v>0.01</v>
      </c>
      <c r="CT26">
        <v>-117.6691</v>
      </c>
      <c r="CU26">
        <v>-0.3933658536587028</v>
      </c>
      <c r="CV26">
        <v>4.6818158870249663E-2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8.6584439999999994</v>
      </c>
      <c r="DC26">
        <v>-1.308697936210281E-2</v>
      </c>
      <c r="DD26">
        <v>1.594427483456001E-3</v>
      </c>
      <c r="DE26">
        <v>1</v>
      </c>
      <c r="DF26">
        <v>2</v>
      </c>
      <c r="DG26">
        <v>2</v>
      </c>
      <c r="DH26" t="s">
        <v>338</v>
      </c>
      <c r="DI26">
        <v>3.0247000000000002</v>
      </c>
      <c r="DJ26">
        <v>2.6915</v>
      </c>
      <c r="DK26">
        <v>0.149641</v>
      </c>
      <c r="DL26">
        <v>0.16586899999999999</v>
      </c>
      <c r="DM26">
        <v>0.13394300000000001</v>
      </c>
      <c r="DN26">
        <v>0.104796</v>
      </c>
      <c r="DO26">
        <v>23706.400000000001</v>
      </c>
      <c r="DP26">
        <v>15150.1</v>
      </c>
      <c r="DQ26">
        <v>26449.9</v>
      </c>
      <c r="DR26">
        <v>16493.7</v>
      </c>
      <c r="DS26">
        <v>32563.8</v>
      </c>
      <c r="DT26">
        <v>19295.5</v>
      </c>
      <c r="DU26">
        <v>38530.800000000003</v>
      </c>
      <c r="DV26">
        <v>21868.1</v>
      </c>
      <c r="DW26">
        <v>1.7347399999999999</v>
      </c>
      <c r="DX26">
        <v>2.2025800000000002</v>
      </c>
      <c r="DY26">
        <v>7.4327000000000004E-2</v>
      </c>
      <c r="DZ26">
        <v>0</v>
      </c>
      <c r="EA26">
        <v>24.724</v>
      </c>
      <c r="EB26">
        <v>999.9</v>
      </c>
      <c r="EC26">
        <v>63.3</v>
      </c>
      <c r="ED26">
        <v>30.8</v>
      </c>
      <c r="EE26">
        <v>27.810400000000001</v>
      </c>
      <c r="EF26">
        <v>63.045900000000003</v>
      </c>
      <c r="EG26">
        <v>36.238</v>
      </c>
      <c r="EH26">
        <v>1</v>
      </c>
      <c r="EI26">
        <v>2.0638199999999999E-2</v>
      </c>
      <c r="EJ26">
        <v>-0.14932200000000001</v>
      </c>
      <c r="EK26">
        <v>20.344100000000001</v>
      </c>
      <c r="EL26">
        <v>5.25143</v>
      </c>
      <c r="EM26">
        <v>11.962</v>
      </c>
      <c r="EN26">
        <v>4.9896799999999999</v>
      </c>
      <c r="EO26">
        <v>3.2915199999999998</v>
      </c>
      <c r="EP26">
        <v>9999</v>
      </c>
      <c r="EQ26">
        <v>9999</v>
      </c>
      <c r="ER26">
        <v>9999</v>
      </c>
      <c r="ES26">
        <v>999.9</v>
      </c>
      <c r="ET26">
        <v>4.9726299999999997</v>
      </c>
      <c r="EU26">
        <v>1.8717999999999999</v>
      </c>
      <c r="EV26">
        <v>1.8720399999999999</v>
      </c>
      <c r="EW26">
        <v>1.8771199999999999</v>
      </c>
      <c r="EX26">
        <v>1.8712599999999999</v>
      </c>
      <c r="EY26">
        <v>1.8719699999999999</v>
      </c>
      <c r="EZ26">
        <v>1.87164</v>
      </c>
      <c r="FA26">
        <v>1.8687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7.2880000000000003</v>
      </c>
      <c r="FP26">
        <v>0.2989</v>
      </c>
      <c r="FQ26">
        <v>0.53999230802340548</v>
      </c>
      <c r="FR26">
        <v>7.0338458001993282E-3</v>
      </c>
      <c r="FS26">
        <v>2.3387658340725169E-6</v>
      </c>
      <c r="FT26">
        <v>-2.2874075696057401E-10</v>
      </c>
      <c r="FU26">
        <v>0.29886666666666528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31.7</v>
      </c>
      <c r="GD26">
        <v>31.5</v>
      </c>
      <c r="GE26">
        <v>1.9238299999999999</v>
      </c>
      <c r="GF26">
        <v>2.6147499999999999</v>
      </c>
      <c r="GG26">
        <v>1.7981</v>
      </c>
      <c r="GH26">
        <v>2.3791500000000001</v>
      </c>
      <c r="GI26">
        <v>1.5979000000000001</v>
      </c>
      <c r="GJ26">
        <v>2.5598100000000001</v>
      </c>
      <c r="GK26">
        <v>34.0092</v>
      </c>
      <c r="GL26">
        <v>24.1663</v>
      </c>
      <c r="GM26">
        <v>18</v>
      </c>
      <c r="GN26">
        <v>331.43700000000001</v>
      </c>
      <c r="GO26">
        <v>678.72400000000005</v>
      </c>
      <c r="GP26">
        <v>25.83</v>
      </c>
      <c r="GQ26">
        <v>27.2944</v>
      </c>
      <c r="GR26">
        <v>30.0002</v>
      </c>
      <c r="GS26">
        <v>27.223099999999999</v>
      </c>
      <c r="GT26">
        <v>27.2516</v>
      </c>
      <c r="GU26">
        <v>38.463099999999997</v>
      </c>
      <c r="GV26">
        <v>37.218400000000003</v>
      </c>
      <c r="GW26">
        <v>0</v>
      </c>
      <c r="GX26">
        <v>25.83</v>
      </c>
      <c r="GY26">
        <v>900</v>
      </c>
      <c r="GZ26">
        <v>19.5</v>
      </c>
      <c r="HA26">
        <v>100.50700000000001</v>
      </c>
      <c r="HB26">
        <v>68.243300000000005</v>
      </c>
    </row>
    <row r="27" spans="1:210" x14ac:dyDescent="0.3">
      <c r="A27">
        <v>11</v>
      </c>
      <c r="B27">
        <v>1754997887.5</v>
      </c>
      <c r="C27">
        <v>1805.400000095367</v>
      </c>
      <c r="D27" t="s">
        <v>361</v>
      </c>
      <c r="E27" t="s">
        <v>362</v>
      </c>
      <c r="F27">
        <v>15</v>
      </c>
      <c r="G27">
        <v>1754997879.75</v>
      </c>
      <c r="H27">
        <f t="shared" si="0"/>
        <v>3.9885089114906824E-3</v>
      </c>
      <c r="I27">
        <f t="shared" si="1"/>
        <v>3.988508911490682</v>
      </c>
      <c r="J27">
        <f t="shared" si="2"/>
        <v>50.553691818071712</v>
      </c>
      <c r="K27">
        <f t="shared" si="3"/>
        <v>1075.8584304191074</v>
      </c>
      <c r="L27">
        <f t="shared" si="4"/>
        <v>968.24411666793901</v>
      </c>
      <c r="M27">
        <f t="shared" si="5"/>
        <v>98.387704035113572</v>
      </c>
      <c r="N27">
        <f t="shared" si="6"/>
        <v>109.32288563758847</v>
      </c>
      <c r="O27">
        <f t="shared" si="7"/>
        <v>0.94985310950332535</v>
      </c>
      <c r="P27">
        <f t="shared" si="8"/>
        <v>2.4187226299190376</v>
      </c>
      <c r="Q27">
        <f t="shared" si="9"/>
        <v>0.79297264021684444</v>
      </c>
      <c r="R27">
        <f t="shared" si="10"/>
        <v>0.50764764022859565</v>
      </c>
      <c r="S27">
        <f t="shared" si="11"/>
        <v>225.34323000000001</v>
      </c>
      <c r="T27">
        <f t="shared" si="12"/>
        <v>27.336625023160845</v>
      </c>
      <c r="U27">
        <f t="shared" si="13"/>
        <v>25.946059999999999</v>
      </c>
      <c r="V27">
        <f t="shared" si="14"/>
        <v>3.3635034558267591</v>
      </c>
      <c r="W27">
        <f t="shared" si="15"/>
        <v>80.186880727627738</v>
      </c>
      <c r="X27">
        <f t="shared" si="16"/>
        <v>2.8680724317579394</v>
      </c>
      <c r="Y27">
        <f t="shared" si="17"/>
        <v>3.5767352536133359</v>
      </c>
      <c r="Z27">
        <f t="shared" si="18"/>
        <v>0.49543102406881978</v>
      </c>
      <c r="AA27">
        <f t="shared" si="19"/>
        <v>-175.8932429967391</v>
      </c>
      <c r="AB27">
        <f t="shared" si="20"/>
        <v>135.9274916803619</v>
      </c>
      <c r="AC27">
        <f t="shared" si="21"/>
        <v>12.063735660577031</v>
      </c>
      <c r="AD27">
        <f t="shared" si="22"/>
        <v>197.44121434419984</v>
      </c>
      <c r="AE27">
        <f t="shared" si="23"/>
        <v>50.553691818071712</v>
      </c>
      <c r="AF27">
        <f t="shared" si="24"/>
        <v>3.988508911490682</v>
      </c>
      <c r="AG27">
        <f t="shared" si="25"/>
        <v>50.628873035169882</v>
      </c>
      <c r="AH27">
        <v>1223.9612201504301</v>
      </c>
      <c r="AI27">
        <v>1107.9129090909089</v>
      </c>
      <c r="AJ27">
        <v>-1.453985723310513E-2</v>
      </c>
      <c r="AK27">
        <v>83.97285148576583</v>
      </c>
      <c r="AL27">
        <f t="shared" si="26"/>
        <v>3.9843060189641695</v>
      </c>
      <c r="AM27">
        <v>19.51152774670317</v>
      </c>
      <c r="AN27">
        <v>28.222498136645982</v>
      </c>
      <c r="AO27">
        <v>-6.5227467619294976E-8</v>
      </c>
      <c r="AP27">
        <v>90.551659989945747</v>
      </c>
      <c r="AQ27">
        <v>31</v>
      </c>
      <c r="AR27">
        <v>8</v>
      </c>
      <c r="AS27">
        <f t="shared" si="27"/>
        <v>1.0008673216843644</v>
      </c>
      <c r="AT27">
        <f t="shared" si="28"/>
        <v>8.6732168436443047E-2</v>
      </c>
      <c r="AU27">
        <f t="shared" si="29"/>
        <v>53659.825757074388</v>
      </c>
      <c r="AV27">
        <f t="shared" si="30"/>
        <v>1186.0170000000001</v>
      </c>
      <c r="AW27">
        <f t="shared" si="31"/>
        <v>948.81360000000006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336</v>
      </c>
      <c r="BC27">
        <v>2</v>
      </c>
      <c r="BD27" t="b">
        <v>0</v>
      </c>
      <c r="BE27">
        <v>1754997879.75</v>
      </c>
      <c r="BF27">
        <v>1076.7063333333331</v>
      </c>
      <c r="BG27">
        <v>1200.0060000000001</v>
      </c>
      <c r="BH27">
        <v>28.22501333333333</v>
      </c>
      <c r="BI27">
        <v>19.51265333333334</v>
      </c>
      <c r="BJ27">
        <v>1066.2843333333331</v>
      </c>
      <c r="BK27">
        <v>27.926143333333339</v>
      </c>
      <c r="BL27">
        <v>400.03273333333328</v>
      </c>
      <c r="BM27">
        <v>101.5145333333333</v>
      </c>
      <c r="BN27">
        <v>0.10003094999999999</v>
      </c>
      <c r="BO27">
        <v>26.988463333333328</v>
      </c>
      <c r="BP27">
        <v>25.946059999999999</v>
      </c>
      <c r="BQ27">
        <v>999.9000000000002</v>
      </c>
      <c r="BR27">
        <v>0</v>
      </c>
      <c r="BS27">
        <v>0</v>
      </c>
      <c r="BT27">
        <v>9996.0666666666675</v>
      </c>
      <c r="BU27">
        <v>1186.0170000000001</v>
      </c>
      <c r="BV27">
        <v>20.468</v>
      </c>
      <c r="BW27">
        <v>-123.2994666666667</v>
      </c>
      <c r="BX27">
        <v>1107.9786666666671</v>
      </c>
      <c r="BY27">
        <v>1223.8869999999999</v>
      </c>
      <c r="BZ27">
        <v>8.7123670000000004</v>
      </c>
      <c r="CA27">
        <v>1200.0060000000001</v>
      </c>
      <c r="CB27">
        <v>19.51265333333334</v>
      </c>
      <c r="CC27">
        <v>2.8652489999999999</v>
      </c>
      <c r="CD27">
        <v>1.980818</v>
      </c>
      <c r="CE27">
        <v>23.264900000000001</v>
      </c>
      <c r="CF27">
        <v>17.291840000000001</v>
      </c>
      <c r="CG27">
        <v>1754995818.5999999</v>
      </c>
      <c r="CH27" t="s">
        <v>337</v>
      </c>
      <c r="CI27">
        <v>1754995806.5999999</v>
      </c>
      <c r="CJ27">
        <v>1754995818.5999999</v>
      </c>
      <c r="CK27">
        <v>3</v>
      </c>
      <c r="CL27">
        <v>-1.0629999999999999</v>
      </c>
      <c r="CM27">
        <v>3.5999999999999997E-2</v>
      </c>
      <c r="CN27">
        <v>4.1210000000000004</v>
      </c>
      <c r="CO27">
        <v>0.29899999999999999</v>
      </c>
      <c r="CP27">
        <v>450</v>
      </c>
      <c r="CQ27">
        <v>19</v>
      </c>
      <c r="CR27">
        <v>0.05</v>
      </c>
      <c r="CS27">
        <v>0.01</v>
      </c>
      <c r="CT27">
        <v>-123.259775</v>
      </c>
      <c r="CU27">
        <v>-0.74344840525305</v>
      </c>
      <c r="CV27">
        <v>9.6643025485548109E-2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8.7130202499999996</v>
      </c>
      <c r="DC27">
        <v>-1.194022514073277E-2</v>
      </c>
      <c r="DD27">
        <v>1.502264103778057E-3</v>
      </c>
      <c r="DE27">
        <v>1</v>
      </c>
      <c r="DF27">
        <v>1</v>
      </c>
      <c r="DG27">
        <v>2</v>
      </c>
      <c r="DH27" t="s">
        <v>352</v>
      </c>
      <c r="DI27">
        <v>3.0246300000000002</v>
      </c>
      <c r="DJ27">
        <v>2.69116</v>
      </c>
      <c r="DK27">
        <v>0.18379100000000001</v>
      </c>
      <c r="DL27">
        <v>0.198875</v>
      </c>
      <c r="DM27">
        <v>0.13408200000000001</v>
      </c>
      <c r="DN27">
        <v>0.104766</v>
      </c>
      <c r="DO27">
        <v>22752.7</v>
      </c>
      <c r="DP27">
        <v>14549.7</v>
      </c>
      <c r="DQ27">
        <v>26448</v>
      </c>
      <c r="DR27">
        <v>16492.599999999999</v>
      </c>
      <c r="DS27">
        <v>32557.8</v>
      </c>
      <c r="DT27">
        <v>19295.8</v>
      </c>
      <c r="DU27">
        <v>38528.6</v>
      </c>
      <c r="DV27">
        <v>21866.9</v>
      </c>
      <c r="DW27">
        <v>1.73472</v>
      </c>
      <c r="DX27">
        <v>2.2023600000000001</v>
      </c>
      <c r="DY27">
        <v>7.4142200000000005E-2</v>
      </c>
      <c r="DZ27">
        <v>0</v>
      </c>
      <c r="EA27">
        <v>24.734500000000001</v>
      </c>
      <c r="EB27">
        <v>999.9</v>
      </c>
      <c r="EC27">
        <v>63.3</v>
      </c>
      <c r="ED27">
        <v>30.8</v>
      </c>
      <c r="EE27">
        <v>27.812100000000001</v>
      </c>
      <c r="EF27">
        <v>62.835900000000002</v>
      </c>
      <c r="EG27">
        <v>36.133800000000001</v>
      </c>
      <c r="EH27">
        <v>1</v>
      </c>
      <c r="EI27">
        <v>2.34492E-2</v>
      </c>
      <c r="EJ27">
        <v>-0.14071700000000001</v>
      </c>
      <c r="EK27">
        <v>20.3443</v>
      </c>
      <c r="EL27">
        <v>5.2520300000000004</v>
      </c>
      <c r="EM27">
        <v>11.962</v>
      </c>
      <c r="EN27">
        <v>4.9897200000000002</v>
      </c>
      <c r="EO27">
        <v>3.29128</v>
      </c>
      <c r="EP27">
        <v>9999</v>
      </c>
      <c r="EQ27">
        <v>9999</v>
      </c>
      <c r="ER27">
        <v>9999</v>
      </c>
      <c r="ES27">
        <v>999.9</v>
      </c>
      <c r="ET27">
        <v>4.9726499999999998</v>
      </c>
      <c r="EU27">
        <v>1.8717999999999999</v>
      </c>
      <c r="EV27">
        <v>1.8720600000000001</v>
      </c>
      <c r="EW27">
        <v>1.87713</v>
      </c>
      <c r="EX27">
        <v>1.8712299999999999</v>
      </c>
      <c r="EY27">
        <v>1.87201</v>
      </c>
      <c r="EZ27">
        <v>1.87165</v>
      </c>
      <c r="FA27">
        <v>1.86873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10.42</v>
      </c>
      <c r="FP27">
        <v>0.2989</v>
      </c>
      <c r="FQ27">
        <v>0.53999230802340548</v>
      </c>
      <c r="FR27">
        <v>7.0338458001993282E-3</v>
      </c>
      <c r="FS27">
        <v>2.3387658340725169E-6</v>
      </c>
      <c r="FT27">
        <v>-2.2874075696057401E-10</v>
      </c>
      <c r="FU27">
        <v>0.29886666666666528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34.700000000000003</v>
      </c>
      <c r="GD27">
        <v>34.5</v>
      </c>
      <c r="GE27">
        <v>2.4352999999999998</v>
      </c>
      <c r="GF27">
        <v>2.6184099999999999</v>
      </c>
      <c r="GG27">
        <v>1.7981</v>
      </c>
      <c r="GH27">
        <v>2.3791500000000001</v>
      </c>
      <c r="GI27">
        <v>1.5979000000000001</v>
      </c>
      <c r="GJ27">
        <v>2.4499499999999999</v>
      </c>
      <c r="GK27">
        <v>34.054499999999997</v>
      </c>
      <c r="GL27">
        <v>24.157499999999999</v>
      </c>
      <c r="GM27">
        <v>18</v>
      </c>
      <c r="GN27">
        <v>331.649</v>
      </c>
      <c r="GO27">
        <v>679.01</v>
      </c>
      <c r="GP27">
        <v>25.830100000000002</v>
      </c>
      <c r="GQ27">
        <v>27.333500000000001</v>
      </c>
      <c r="GR27">
        <v>30.0002</v>
      </c>
      <c r="GS27">
        <v>27.2607</v>
      </c>
      <c r="GT27">
        <v>27.289100000000001</v>
      </c>
      <c r="GU27">
        <v>48.6875</v>
      </c>
      <c r="GV27">
        <v>37.491399999999999</v>
      </c>
      <c r="GW27">
        <v>0</v>
      </c>
      <c r="GX27">
        <v>25.83</v>
      </c>
      <c r="GY27">
        <v>1200</v>
      </c>
      <c r="GZ27">
        <v>19.5</v>
      </c>
      <c r="HA27">
        <v>100.5</v>
      </c>
      <c r="HB27">
        <v>68.239500000000007</v>
      </c>
    </row>
    <row r="28" spans="1:210" x14ac:dyDescent="0.3">
      <c r="A28">
        <v>12</v>
      </c>
      <c r="B28">
        <v>1754998068</v>
      </c>
      <c r="C28">
        <v>1985.900000095367</v>
      </c>
      <c r="D28" t="s">
        <v>363</v>
      </c>
      <c r="E28" t="s">
        <v>364</v>
      </c>
      <c r="F28">
        <v>15</v>
      </c>
      <c r="G28">
        <v>1754998060.25</v>
      </c>
      <c r="H28">
        <f t="shared" si="0"/>
        <v>4.0119224981196135E-3</v>
      </c>
      <c r="I28">
        <f t="shared" si="1"/>
        <v>4.0119224981196133</v>
      </c>
      <c r="J28">
        <f t="shared" si="2"/>
        <v>49.782004129383161</v>
      </c>
      <c r="K28">
        <f t="shared" si="3"/>
        <v>1473.9575394916269</v>
      </c>
      <c r="L28">
        <f t="shared" si="4"/>
        <v>1365.6740596862696</v>
      </c>
      <c r="M28">
        <f t="shared" si="5"/>
        <v>138.77557535851437</v>
      </c>
      <c r="N28">
        <f t="shared" si="6"/>
        <v>149.77900776995128</v>
      </c>
      <c r="O28">
        <f t="shared" si="7"/>
        <v>0.96011316200044583</v>
      </c>
      <c r="P28">
        <f t="shared" si="8"/>
        <v>2.4191098090214687</v>
      </c>
      <c r="Q28">
        <f t="shared" si="9"/>
        <v>0.80013375206879389</v>
      </c>
      <c r="R28">
        <f t="shared" si="10"/>
        <v>0.51234218902701922</v>
      </c>
      <c r="S28">
        <f t="shared" si="11"/>
        <v>225.41023666666672</v>
      </c>
      <c r="T28">
        <f t="shared" si="12"/>
        <v>27.34281320858614</v>
      </c>
      <c r="U28">
        <f t="shared" si="13"/>
        <v>25.964253333333328</v>
      </c>
      <c r="V28">
        <f t="shared" si="14"/>
        <v>3.367127635092277</v>
      </c>
      <c r="W28">
        <f t="shared" si="15"/>
        <v>80.270378758981735</v>
      </c>
      <c r="X28">
        <f t="shared" si="16"/>
        <v>2.8732587220654731</v>
      </c>
      <c r="Y28">
        <f t="shared" si="17"/>
        <v>3.5794757250276139</v>
      </c>
      <c r="Z28">
        <f t="shared" si="18"/>
        <v>0.49386891302680391</v>
      </c>
      <c r="AA28">
        <f t="shared" si="19"/>
        <v>-176.92578216707494</v>
      </c>
      <c r="AB28">
        <f t="shared" si="20"/>
        <v>135.27715756285815</v>
      </c>
      <c r="AC28">
        <f t="shared" si="21"/>
        <v>12.005973834663394</v>
      </c>
      <c r="AD28">
        <f t="shared" si="22"/>
        <v>195.76758589711332</v>
      </c>
      <c r="AE28">
        <f t="shared" si="23"/>
        <v>49.782004129383161</v>
      </c>
      <c r="AF28">
        <f t="shared" si="24"/>
        <v>4.0119224981196133</v>
      </c>
      <c r="AG28">
        <f t="shared" si="25"/>
        <v>49.914231128217054</v>
      </c>
      <c r="AH28">
        <v>1631.837682245467</v>
      </c>
      <c r="AI28">
        <v>1517.5512121212109</v>
      </c>
      <c r="AJ28">
        <v>-2.9824227860572521E-2</v>
      </c>
      <c r="AK28">
        <v>83.97285148576583</v>
      </c>
      <c r="AL28">
        <f t="shared" si="26"/>
        <v>4.016652253233473</v>
      </c>
      <c r="AM28">
        <v>19.485898982865901</v>
      </c>
      <c r="AN28">
        <v>28.267835008469799</v>
      </c>
      <c r="AO28">
        <v>4.4385837705305401E-7</v>
      </c>
      <c r="AP28">
        <v>90.551659989945747</v>
      </c>
      <c r="AQ28">
        <v>31</v>
      </c>
      <c r="AR28">
        <v>8</v>
      </c>
      <c r="AS28">
        <f t="shared" si="27"/>
        <v>1.0008671490215675</v>
      </c>
      <c r="AT28">
        <f t="shared" si="28"/>
        <v>8.6714902156748153E-2</v>
      </c>
      <c r="AU28">
        <f t="shared" si="29"/>
        <v>53670.501000370132</v>
      </c>
      <c r="AV28">
        <f t="shared" si="30"/>
        <v>1186.3696666666669</v>
      </c>
      <c r="AW28">
        <f t="shared" si="31"/>
        <v>949.09573333333356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336</v>
      </c>
      <c r="BC28">
        <v>2</v>
      </c>
      <c r="BD28" t="b">
        <v>0</v>
      </c>
      <c r="BE28">
        <v>1754998060.25</v>
      </c>
      <c r="BF28">
        <v>1474.792333333334</v>
      </c>
      <c r="BG28">
        <v>1600.0166666666671</v>
      </c>
      <c r="BH28">
        <v>28.275400000000001</v>
      </c>
      <c r="BI28">
        <v>19.511690000000002</v>
      </c>
      <c r="BJ28">
        <v>1459.7123333333329</v>
      </c>
      <c r="BK28">
        <v>27.97654</v>
      </c>
      <c r="BL28">
        <v>400.00263333333328</v>
      </c>
      <c r="BM28">
        <v>101.51690000000001</v>
      </c>
      <c r="BN28">
        <v>0.10000805666666659</v>
      </c>
      <c r="BO28">
        <v>27.001503333333329</v>
      </c>
      <c r="BP28">
        <v>25.964253333333328</v>
      </c>
      <c r="BQ28">
        <v>999.9000000000002</v>
      </c>
      <c r="BR28">
        <v>0</v>
      </c>
      <c r="BS28">
        <v>0</v>
      </c>
      <c r="BT28">
        <v>9998.35</v>
      </c>
      <c r="BU28">
        <v>1186.3696666666669</v>
      </c>
      <c r="BV28">
        <v>20.468</v>
      </c>
      <c r="BW28">
        <v>-125.2245333333333</v>
      </c>
      <c r="BX28">
        <v>1517.7070000000001</v>
      </c>
      <c r="BY28">
        <v>1631.857</v>
      </c>
      <c r="BZ28">
        <v>8.7637029999999996</v>
      </c>
      <c r="CA28">
        <v>1600.0166666666671</v>
      </c>
      <c r="CB28">
        <v>19.511690000000002</v>
      </c>
      <c r="CC28">
        <v>2.8704260000000001</v>
      </c>
      <c r="CD28">
        <v>1.980764</v>
      </c>
      <c r="CE28">
        <v>23.294789999999999</v>
      </c>
      <c r="CF28">
        <v>17.291363333333329</v>
      </c>
      <c r="CG28">
        <v>1754995818.5999999</v>
      </c>
      <c r="CH28" t="s">
        <v>337</v>
      </c>
      <c r="CI28">
        <v>1754995806.5999999</v>
      </c>
      <c r="CJ28">
        <v>1754995818.5999999</v>
      </c>
      <c r="CK28">
        <v>3</v>
      </c>
      <c r="CL28">
        <v>-1.0629999999999999</v>
      </c>
      <c r="CM28">
        <v>3.5999999999999997E-2</v>
      </c>
      <c r="CN28">
        <v>4.1210000000000004</v>
      </c>
      <c r="CO28">
        <v>0.29899999999999999</v>
      </c>
      <c r="CP28">
        <v>450</v>
      </c>
      <c r="CQ28">
        <v>19</v>
      </c>
      <c r="CR28">
        <v>0.05</v>
      </c>
      <c r="CS28">
        <v>0.01</v>
      </c>
      <c r="CT28">
        <v>-125.1666829268293</v>
      </c>
      <c r="CU28">
        <v>-1.250027874564513</v>
      </c>
      <c r="CV28">
        <v>0.14217259161338941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8.748900731707316</v>
      </c>
      <c r="DC28">
        <v>0.40609818815330889</v>
      </c>
      <c r="DD28">
        <v>4.3302271522135991E-2</v>
      </c>
      <c r="DE28">
        <v>0</v>
      </c>
      <c r="DF28">
        <v>0</v>
      </c>
      <c r="DG28">
        <v>2</v>
      </c>
      <c r="DH28" t="s">
        <v>365</v>
      </c>
      <c r="DI28">
        <v>3.0245899999999999</v>
      </c>
      <c r="DJ28">
        <v>2.6912799999999999</v>
      </c>
      <c r="DK28">
        <v>0.22273200000000001</v>
      </c>
      <c r="DL28">
        <v>0.23646400000000001</v>
      </c>
      <c r="DM28">
        <v>0.134218</v>
      </c>
      <c r="DN28">
        <v>0.10456699999999999</v>
      </c>
      <c r="DO28">
        <v>21665.4</v>
      </c>
      <c r="DP28">
        <v>13866.7</v>
      </c>
      <c r="DQ28">
        <v>26445.9</v>
      </c>
      <c r="DR28">
        <v>16492.400000000001</v>
      </c>
      <c r="DS28">
        <v>32550.799999999999</v>
      </c>
      <c r="DT28">
        <v>19300.900000000001</v>
      </c>
      <c r="DU28">
        <v>38525.1</v>
      </c>
      <c r="DV28">
        <v>21867.1</v>
      </c>
      <c r="DW28">
        <v>1.7342200000000001</v>
      </c>
      <c r="DX28">
        <v>2.2023600000000001</v>
      </c>
      <c r="DY28">
        <v>7.3587899999999998E-2</v>
      </c>
      <c r="DZ28">
        <v>0</v>
      </c>
      <c r="EA28">
        <v>24.759499999999999</v>
      </c>
      <c r="EB28">
        <v>999.9</v>
      </c>
      <c r="EC28">
        <v>63.4</v>
      </c>
      <c r="ED28">
        <v>30.8</v>
      </c>
      <c r="EE28">
        <v>27.8552</v>
      </c>
      <c r="EF28">
        <v>62.735999999999997</v>
      </c>
      <c r="EG28">
        <v>36.197899999999997</v>
      </c>
      <c r="EH28">
        <v>1</v>
      </c>
      <c r="EI28">
        <v>2.5605699999999999E-2</v>
      </c>
      <c r="EJ28">
        <v>-0.12699299999999999</v>
      </c>
      <c r="EK28">
        <v>20.343800000000002</v>
      </c>
      <c r="EL28">
        <v>5.2517899999999997</v>
      </c>
      <c r="EM28">
        <v>11.962</v>
      </c>
      <c r="EN28">
        <v>4.9896399999999996</v>
      </c>
      <c r="EO28">
        <v>3.29142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1.8717999999999999</v>
      </c>
      <c r="EV28">
        <v>1.8720399999999999</v>
      </c>
      <c r="EW28">
        <v>1.8771199999999999</v>
      </c>
      <c r="EX28">
        <v>1.8712200000000001</v>
      </c>
      <c r="EY28">
        <v>1.87202</v>
      </c>
      <c r="EZ28">
        <v>1.87164</v>
      </c>
      <c r="FA28">
        <v>1.8686700000000001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15.08</v>
      </c>
      <c r="FP28">
        <v>0.2989</v>
      </c>
      <c r="FQ28">
        <v>0.53999230802340548</v>
      </c>
      <c r="FR28">
        <v>7.0338458001993282E-3</v>
      </c>
      <c r="FS28">
        <v>2.3387658340725169E-6</v>
      </c>
      <c r="FT28">
        <v>-2.2874075696057401E-10</v>
      </c>
      <c r="FU28">
        <v>0.29886666666666528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37.700000000000003</v>
      </c>
      <c r="GD28">
        <v>37.5</v>
      </c>
      <c r="GE28">
        <v>3.0810499999999998</v>
      </c>
      <c r="GF28">
        <v>2.6074199999999998</v>
      </c>
      <c r="GG28">
        <v>1.7981</v>
      </c>
      <c r="GH28">
        <v>2.3779300000000001</v>
      </c>
      <c r="GI28">
        <v>1.5979000000000001</v>
      </c>
      <c r="GJ28">
        <v>2.4719199999999999</v>
      </c>
      <c r="GK28">
        <v>34.099800000000002</v>
      </c>
      <c r="GL28">
        <v>24.1663</v>
      </c>
      <c r="GM28">
        <v>18</v>
      </c>
      <c r="GN28">
        <v>331.608</v>
      </c>
      <c r="GO28">
        <v>679.44799999999998</v>
      </c>
      <c r="GP28">
        <v>25.83</v>
      </c>
      <c r="GQ28">
        <v>27.366199999999999</v>
      </c>
      <c r="GR28">
        <v>30.0001</v>
      </c>
      <c r="GS28">
        <v>27.293900000000001</v>
      </c>
      <c r="GT28">
        <v>27.3233</v>
      </c>
      <c r="GU28">
        <v>61.585799999999999</v>
      </c>
      <c r="GV28">
        <v>37.764699999999998</v>
      </c>
      <c r="GW28">
        <v>0</v>
      </c>
      <c r="GX28">
        <v>25.83</v>
      </c>
      <c r="GY28">
        <v>1600</v>
      </c>
      <c r="GZ28">
        <v>19.5</v>
      </c>
      <c r="HA28">
        <v>100.492</v>
      </c>
      <c r="HB28">
        <v>68.2393</v>
      </c>
    </row>
    <row r="29" spans="1:210" x14ac:dyDescent="0.3">
      <c r="A29">
        <v>13</v>
      </c>
      <c r="B29">
        <v>1754998248.5</v>
      </c>
      <c r="C29">
        <v>2166.400000095367</v>
      </c>
      <c r="D29" t="s">
        <v>366</v>
      </c>
      <c r="E29" t="s">
        <v>367</v>
      </c>
      <c r="F29">
        <v>15</v>
      </c>
      <c r="G29">
        <v>1754998240.75</v>
      </c>
      <c r="H29">
        <f t="shared" si="0"/>
        <v>4.0380177959285241E-3</v>
      </c>
      <c r="I29">
        <f t="shared" si="1"/>
        <v>4.0380177959285239</v>
      </c>
      <c r="J29">
        <f t="shared" si="2"/>
        <v>33.738016907218544</v>
      </c>
      <c r="K29">
        <f t="shared" si="3"/>
        <v>370.22532435992764</v>
      </c>
      <c r="L29">
        <f t="shared" si="4"/>
        <v>302.27508003885299</v>
      </c>
      <c r="M29">
        <f t="shared" si="5"/>
        <v>30.715144460401469</v>
      </c>
      <c r="N29">
        <f t="shared" si="6"/>
        <v>37.619787642277778</v>
      </c>
      <c r="O29">
        <f t="shared" si="7"/>
        <v>0.96914855692111768</v>
      </c>
      <c r="P29">
        <f t="shared" si="8"/>
        <v>2.420341205986936</v>
      </c>
      <c r="Q29">
        <f t="shared" si="9"/>
        <v>0.80646950917239102</v>
      </c>
      <c r="R29">
        <f t="shared" si="10"/>
        <v>0.51649264190650324</v>
      </c>
      <c r="S29">
        <f t="shared" si="11"/>
        <v>225.40377666666674</v>
      </c>
      <c r="T29">
        <f t="shared" si="12"/>
        <v>27.346794263624343</v>
      </c>
      <c r="U29">
        <f t="shared" si="13"/>
        <v>25.978493333333329</v>
      </c>
      <c r="V29">
        <f t="shared" si="14"/>
        <v>3.3699666748304407</v>
      </c>
      <c r="W29">
        <f t="shared" si="15"/>
        <v>80.312039190106915</v>
      </c>
      <c r="X29">
        <f t="shared" si="16"/>
        <v>2.8768250725980691</v>
      </c>
      <c r="Y29">
        <f t="shared" si="17"/>
        <v>3.5820595537218605</v>
      </c>
      <c r="Z29">
        <f t="shared" si="18"/>
        <v>0.49314160223237158</v>
      </c>
      <c r="AA29">
        <f t="shared" si="19"/>
        <v>-178.0765848004479</v>
      </c>
      <c r="AB29">
        <f t="shared" si="20"/>
        <v>135.09113600464798</v>
      </c>
      <c r="AC29">
        <f t="shared" si="21"/>
        <v>11.984956438481204</v>
      </c>
      <c r="AD29">
        <f t="shared" si="22"/>
        <v>194.40328430934801</v>
      </c>
      <c r="AE29">
        <f t="shared" si="23"/>
        <v>33.738016907218544</v>
      </c>
      <c r="AF29">
        <f t="shared" si="24"/>
        <v>4.0380177959285239</v>
      </c>
      <c r="AG29">
        <f t="shared" si="25"/>
        <v>33.884545567242739</v>
      </c>
      <c r="AH29">
        <v>458.96124054105178</v>
      </c>
      <c r="AI29">
        <v>381.48253939393931</v>
      </c>
      <c r="AJ29">
        <v>-3.1210102715771671E-2</v>
      </c>
      <c r="AK29">
        <v>83.97285148576583</v>
      </c>
      <c r="AL29">
        <f t="shared" si="26"/>
        <v>4.0343255657548376</v>
      </c>
      <c r="AM29">
        <v>19.494312482770219</v>
      </c>
      <c r="AN29">
        <v>28.31333037831735</v>
      </c>
      <c r="AO29">
        <v>-4.2742762625891598E-7</v>
      </c>
      <c r="AP29">
        <v>90.551659989945747</v>
      </c>
      <c r="AQ29">
        <v>31</v>
      </c>
      <c r="AR29">
        <v>8</v>
      </c>
      <c r="AS29">
        <f t="shared" si="27"/>
        <v>1.0008665198989151</v>
      </c>
      <c r="AT29">
        <f t="shared" si="28"/>
        <v>8.6651989891506354E-2</v>
      </c>
      <c r="AU29">
        <f t="shared" si="29"/>
        <v>53709.433832467679</v>
      </c>
      <c r="AV29">
        <f t="shared" si="30"/>
        <v>1186.3356666666671</v>
      </c>
      <c r="AW29">
        <f t="shared" si="31"/>
        <v>949.06853333333368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336</v>
      </c>
      <c r="BC29">
        <v>2</v>
      </c>
      <c r="BD29" t="b">
        <v>0</v>
      </c>
      <c r="BE29">
        <v>1754998240.75</v>
      </c>
      <c r="BF29">
        <v>370.79066666666671</v>
      </c>
      <c r="BG29">
        <v>449.99343333333331</v>
      </c>
      <c r="BH29">
        <v>28.311523333333341</v>
      </c>
      <c r="BI29">
        <v>19.492286666666661</v>
      </c>
      <c r="BJ29">
        <v>367.36243333333329</v>
      </c>
      <c r="BK29">
        <v>28.01267</v>
      </c>
      <c r="BL29">
        <v>400.05496666666659</v>
      </c>
      <c r="BM29">
        <v>101.5132333333333</v>
      </c>
      <c r="BN29">
        <v>9.9987500000000021E-2</v>
      </c>
      <c r="BO29">
        <v>27.01379</v>
      </c>
      <c r="BP29">
        <v>25.978493333333329</v>
      </c>
      <c r="BQ29">
        <v>999.9000000000002</v>
      </c>
      <c r="BR29">
        <v>0</v>
      </c>
      <c r="BS29">
        <v>0</v>
      </c>
      <c r="BT29">
        <v>10006.716666666671</v>
      </c>
      <c r="BU29">
        <v>1186.3356666666671</v>
      </c>
      <c r="BV29">
        <v>20.464886666666661</v>
      </c>
      <c r="BW29">
        <v>-79.202763333333323</v>
      </c>
      <c r="BX29">
        <v>381.59426666666673</v>
      </c>
      <c r="BY29">
        <v>458.93926666666658</v>
      </c>
      <c r="BZ29">
        <v>8.8192493333333335</v>
      </c>
      <c r="CA29">
        <v>449.99343333333331</v>
      </c>
      <c r="CB29">
        <v>19.492286666666661</v>
      </c>
      <c r="CC29">
        <v>2.8739946666666669</v>
      </c>
      <c r="CD29">
        <v>1.9787239999999999</v>
      </c>
      <c r="CE29">
        <v>23.315353333333331</v>
      </c>
      <c r="CF29">
        <v>17.27510333333333</v>
      </c>
      <c r="CG29">
        <v>1754995818.5999999</v>
      </c>
      <c r="CH29" t="s">
        <v>337</v>
      </c>
      <c r="CI29">
        <v>1754995806.5999999</v>
      </c>
      <c r="CJ29">
        <v>1754995818.5999999</v>
      </c>
      <c r="CK29">
        <v>3</v>
      </c>
      <c r="CL29">
        <v>-1.0629999999999999</v>
      </c>
      <c r="CM29">
        <v>3.5999999999999997E-2</v>
      </c>
      <c r="CN29">
        <v>4.1210000000000004</v>
      </c>
      <c r="CO29">
        <v>0.29899999999999999</v>
      </c>
      <c r="CP29">
        <v>450</v>
      </c>
      <c r="CQ29">
        <v>19</v>
      </c>
      <c r="CR29">
        <v>0.05</v>
      </c>
      <c r="CS29">
        <v>0.01</v>
      </c>
      <c r="CT29">
        <v>-79.158382926829262</v>
      </c>
      <c r="CU29">
        <v>-0.81939094076654329</v>
      </c>
      <c r="CV29">
        <v>8.2935831505635535E-2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8.818278292682928</v>
      </c>
      <c r="DC29">
        <v>3.9008362369529711E-3</v>
      </c>
      <c r="DD29">
        <v>2.8599956527674271E-3</v>
      </c>
      <c r="DE29">
        <v>1</v>
      </c>
      <c r="DF29">
        <v>1</v>
      </c>
      <c r="DG29">
        <v>2</v>
      </c>
      <c r="DH29" t="s">
        <v>352</v>
      </c>
      <c r="DI29">
        <v>3.02467</v>
      </c>
      <c r="DJ29">
        <v>2.6911800000000001</v>
      </c>
      <c r="DK29">
        <v>8.7649699999999997E-2</v>
      </c>
      <c r="DL29">
        <v>0.10274800000000001</v>
      </c>
      <c r="DM29">
        <v>0.134357</v>
      </c>
      <c r="DN29">
        <v>0.104681</v>
      </c>
      <c r="DO29">
        <v>25428.799999999999</v>
      </c>
      <c r="DP29">
        <v>16294.9</v>
      </c>
      <c r="DQ29">
        <v>26444.7</v>
      </c>
      <c r="DR29">
        <v>16492.400000000001</v>
      </c>
      <c r="DS29">
        <v>32541.9</v>
      </c>
      <c r="DT29">
        <v>19296.599999999999</v>
      </c>
      <c r="DU29">
        <v>38524.5</v>
      </c>
      <c r="DV29">
        <v>21867.200000000001</v>
      </c>
      <c r="DW29">
        <v>1.7324600000000001</v>
      </c>
      <c r="DX29">
        <v>2.1989000000000001</v>
      </c>
      <c r="DY29">
        <v>7.3653499999999997E-2</v>
      </c>
      <c r="DZ29">
        <v>0</v>
      </c>
      <c r="EA29">
        <v>24.761900000000001</v>
      </c>
      <c r="EB29">
        <v>999.9</v>
      </c>
      <c r="EC29">
        <v>63.4</v>
      </c>
      <c r="ED29">
        <v>30.9</v>
      </c>
      <c r="EE29">
        <v>28.015499999999999</v>
      </c>
      <c r="EF29">
        <v>62.375999999999998</v>
      </c>
      <c r="EG29">
        <v>36.201900000000002</v>
      </c>
      <c r="EH29">
        <v>1</v>
      </c>
      <c r="EI29">
        <v>2.7756099999999999E-2</v>
      </c>
      <c r="EJ29">
        <v>-0.124961</v>
      </c>
      <c r="EK29">
        <v>20.344200000000001</v>
      </c>
      <c r="EL29">
        <v>5.2517899999999997</v>
      </c>
      <c r="EM29">
        <v>11.962</v>
      </c>
      <c r="EN29">
        <v>4.9896399999999996</v>
      </c>
      <c r="EO29">
        <v>3.2911000000000001</v>
      </c>
      <c r="EP29">
        <v>9999</v>
      </c>
      <c r="EQ29">
        <v>9999</v>
      </c>
      <c r="ER29">
        <v>9999</v>
      </c>
      <c r="ES29">
        <v>999.9</v>
      </c>
      <c r="ET29">
        <v>4.9726600000000003</v>
      </c>
      <c r="EU29">
        <v>1.8717999999999999</v>
      </c>
      <c r="EV29">
        <v>1.8720699999999999</v>
      </c>
      <c r="EW29">
        <v>1.87713</v>
      </c>
      <c r="EX29">
        <v>1.87121</v>
      </c>
      <c r="EY29">
        <v>1.8719699999999999</v>
      </c>
      <c r="EZ29">
        <v>1.87165</v>
      </c>
      <c r="FA29">
        <v>1.8687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3.4279999999999999</v>
      </c>
      <c r="FP29">
        <v>0.29880000000000001</v>
      </c>
      <c r="FQ29">
        <v>0.53999230802340548</v>
      </c>
      <c r="FR29">
        <v>7.0338458001993282E-3</v>
      </c>
      <c r="FS29">
        <v>2.3387658340725169E-6</v>
      </c>
      <c r="FT29">
        <v>-2.2874075696057401E-10</v>
      </c>
      <c r="FU29">
        <v>0.29886666666666528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40.700000000000003</v>
      </c>
      <c r="GD29">
        <v>40.5</v>
      </c>
      <c r="GE29">
        <v>1.09741</v>
      </c>
      <c r="GF29">
        <v>2.6171899999999999</v>
      </c>
      <c r="GG29">
        <v>1.7981</v>
      </c>
      <c r="GH29">
        <v>2.3791500000000001</v>
      </c>
      <c r="GI29">
        <v>1.5979000000000001</v>
      </c>
      <c r="GJ29">
        <v>2.5451700000000002</v>
      </c>
      <c r="GK29">
        <v>34.122500000000002</v>
      </c>
      <c r="GL29">
        <v>24.1663</v>
      </c>
      <c r="GM29">
        <v>18</v>
      </c>
      <c r="GN29">
        <v>330.96199999999999</v>
      </c>
      <c r="GO29">
        <v>676.83100000000002</v>
      </c>
      <c r="GP29">
        <v>25.829899999999999</v>
      </c>
      <c r="GQ29">
        <v>27.394300000000001</v>
      </c>
      <c r="GR29">
        <v>30.0002</v>
      </c>
      <c r="GS29">
        <v>27.325900000000001</v>
      </c>
      <c r="GT29">
        <v>27.355799999999999</v>
      </c>
      <c r="GU29">
        <v>21.918299999999999</v>
      </c>
      <c r="GV29">
        <v>37.764699999999998</v>
      </c>
      <c r="GW29">
        <v>0</v>
      </c>
      <c r="GX29">
        <v>25.83</v>
      </c>
      <c r="GY29">
        <v>450</v>
      </c>
      <c r="GZ29">
        <v>19.5</v>
      </c>
      <c r="HA29">
        <v>100.489</v>
      </c>
      <c r="HB29">
        <v>68.239400000000003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2025-08-12T11:31:00Z</dcterms:created>
  <dcterms:modified xsi:type="dcterms:W3CDTF">2025-12-01T11:42:09Z</dcterms:modified>
</cp:coreProperties>
</file>