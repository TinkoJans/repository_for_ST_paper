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18" documentId="11_ACE07100113355BE23BCEDFF95F35ED706279B76" xr6:coauthVersionLast="47" xr6:coauthVersionMax="47" xr10:uidLastSave="{E4C10B79-9F86-4A5C-9ABB-A0EE8B0AFE1F}"/>
  <bookViews>
    <workbookView xWindow="1428" yWindow="142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S29" i="1"/>
  <c r="P29" i="1"/>
  <c r="AY28" i="1"/>
  <c r="AX28" i="1"/>
  <c r="AV28" i="1"/>
  <c r="AU28" i="1"/>
  <c r="AS28" i="1" s="1"/>
  <c r="AT28" i="1" s="1"/>
  <c r="AL28" i="1"/>
  <c r="AG28" i="1"/>
  <c r="AE28" i="1"/>
  <c r="J28" i="1" s="1"/>
  <c r="N28" i="1" s="1"/>
  <c r="Y28" i="1"/>
  <c r="X28" i="1"/>
  <c r="W28" i="1" s="1"/>
  <c r="P28" i="1"/>
  <c r="AY27" i="1"/>
  <c r="AX27" i="1"/>
  <c r="AV27" i="1"/>
  <c r="AW27" i="1" s="1"/>
  <c r="AU27" i="1"/>
  <c r="AS27" i="1" s="1"/>
  <c r="AF27" i="1" s="1"/>
  <c r="I27" i="1" s="1"/>
  <c r="H27" i="1" s="1"/>
  <c r="AL27" i="1"/>
  <c r="AG27" i="1"/>
  <c r="AE27" i="1"/>
  <c r="J27" i="1" s="1"/>
  <c r="N27" i="1" s="1"/>
  <c r="Y27" i="1"/>
  <c r="W27" i="1" s="1"/>
  <c r="X27" i="1"/>
  <c r="P27" i="1"/>
  <c r="AY26" i="1"/>
  <c r="AX26" i="1"/>
  <c r="AV26" i="1"/>
  <c r="S26" i="1" s="1"/>
  <c r="AU26" i="1"/>
  <c r="AS26" i="1" s="1"/>
  <c r="AL26" i="1"/>
  <c r="AG26" i="1"/>
  <c r="Y26" i="1"/>
  <c r="X26" i="1"/>
  <c r="W26" i="1" s="1"/>
  <c r="P26" i="1"/>
  <c r="AY25" i="1"/>
  <c r="S25" i="1" s="1"/>
  <c r="AX25" i="1"/>
  <c r="AV25" i="1"/>
  <c r="AU25" i="1"/>
  <c r="AS25" i="1" s="1"/>
  <c r="AL25" i="1"/>
  <c r="AG25" i="1"/>
  <c r="Y25" i="1"/>
  <c r="X25" i="1"/>
  <c r="W25" i="1" s="1"/>
  <c r="P25" i="1"/>
  <c r="AY24" i="1"/>
  <c r="AX24" i="1"/>
  <c r="AV24" i="1"/>
  <c r="AU24" i="1"/>
  <c r="AS24" i="1" s="1"/>
  <c r="AT24" i="1" s="1"/>
  <c r="AL24" i="1"/>
  <c r="AG24" i="1"/>
  <c r="Y24" i="1"/>
  <c r="X24" i="1"/>
  <c r="W24" i="1"/>
  <c r="P24" i="1"/>
  <c r="AY23" i="1"/>
  <c r="AX23" i="1"/>
  <c r="AV23" i="1"/>
  <c r="AU23" i="1"/>
  <c r="AS23" i="1" s="1"/>
  <c r="AL23" i="1"/>
  <c r="AG23" i="1"/>
  <c r="Y23" i="1"/>
  <c r="X23" i="1"/>
  <c r="P23" i="1"/>
  <c r="AY22" i="1"/>
  <c r="AX22" i="1"/>
  <c r="AV22" i="1"/>
  <c r="AU22" i="1"/>
  <c r="AS22" i="1"/>
  <c r="AF22" i="1" s="1"/>
  <c r="I22" i="1" s="1"/>
  <c r="H22" i="1" s="1"/>
  <c r="AA22" i="1" s="1"/>
  <c r="AL22" i="1"/>
  <c r="AG22" i="1"/>
  <c r="Y22" i="1"/>
  <c r="X22" i="1"/>
  <c r="W22" i="1" s="1"/>
  <c r="P22" i="1"/>
  <c r="AY21" i="1"/>
  <c r="AX21" i="1"/>
  <c r="AV21" i="1"/>
  <c r="AU21" i="1"/>
  <c r="AS21" i="1" s="1"/>
  <c r="AT21" i="1" s="1"/>
  <c r="AL21" i="1"/>
  <c r="AG21" i="1"/>
  <c r="Y21" i="1"/>
  <c r="X21" i="1"/>
  <c r="W21" i="1" s="1"/>
  <c r="S21" i="1"/>
  <c r="P21" i="1"/>
  <c r="AY20" i="1"/>
  <c r="AX20" i="1"/>
  <c r="AV20" i="1"/>
  <c r="AU20" i="1"/>
  <c r="AS20" i="1" s="1"/>
  <c r="AT20" i="1" s="1"/>
  <c r="AL20" i="1"/>
  <c r="AG20" i="1"/>
  <c r="Y20" i="1"/>
  <c r="X20" i="1"/>
  <c r="W20" i="1" s="1"/>
  <c r="P20" i="1"/>
  <c r="AY19" i="1"/>
  <c r="AX19" i="1"/>
  <c r="AV19" i="1"/>
  <c r="AU19" i="1"/>
  <c r="AS19" i="1"/>
  <c r="AL19" i="1"/>
  <c r="AG19" i="1"/>
  <c r="Y19" i="1"/>
  <c r="X19" i="1"/>
  <c r="W19" i="1"/>
  <c r="P19" i="1"/>
  <c r="AY18" i="1"/>
  <c r="AX18" i="1"/>
  <c r="AV18" i="1"/>
  <c r="AW18" i="1" s="1"/>
  <c r="AU18" i="1"/>
  <c r="AS18" i="1"/>
  <c r="AF18" i="1" s="1"/>
  <c r="I18" i="1" s="1"/>
  <c r="H18" i="1" s="1"/>
  <c r="AA18" i="1" s="1"/>
  <c r="AL18" i="1"/>
  <c r="AG18" i="1"/>
  <c r="Y18" i="1"/>
  <c r="X18" i="1"/>
  <c r="W18" i="1" s="1"/>
  <c r="P18" i="1"/>
  <c r="AY17" i="1"/>
  <c r="S17" i="1" s="1"/>
  <c r="AX17" i="1"/>
  <c r="AV17" i="1"/>
  <c r="AW17" i="1" s="1"/>
  <c r="AU17" i="1"/>
  <c r="AS17" i="1" s="1"/>
  <c r="AT17" i="1" s="1"/>
  <c r="AL17" i="1"/>
  <c r="AG17" i="1"/>
  <c r="Y17" i="1"/>
  <c r="X17" i="1"/>
  <c r="W17" i="1" s="1"/>
  <c r="P17" i="1"/>
  <c r="N19" i="1" l="1"/>
  <c r="AW25" i="1"/>
  <c r="W29" i="1"/>
  <c r="AT19" i="1"/>
  <c r="S18" i="1"/>
  <c r="AE19" i="1"/>
  <c r="J19" i="1" s="1"/>
  <c r="K19" i="1" s="1"/>
  <c r="S23" i="1"/>
  <c r="S28" i="1"/>
  <c r="AF19" i="1"/>
  <c r="I19" i="1" s="1"/>
  <c r="H19" i="1" s="1"/>
  <c r="S22" i="1"/>
  <c r="S24" i="1"/>
  <c r="AW21" i="1"/>
  <c r="AF20" i="1"/>
  <c r="I20" i="1" s="1"/>
  <c r="H20" i="1" s="1"/>
  <c r="AE20" i="1"/>
  <c r="J20" i="1" s="1"/>
  <c r="N20" i="1" s="1"/>
  <c r="T22" i="1"/>
  <c r="U22" i="1" s="1"/>
  <c r="AF21" i="1"/>
  <c r="I21" i="1" s="1"/>
  <c r="H21" i="1" s="1"/>
  <c r="AE21" i="1"/>
  <c r="J21" i="1" s="1"/>
  <c r="N21" i="1" s="1"/>
  <c r="W23" i="1"/>
  <c r="S20" i="1"/>
  <c r="AW20" i="1"/>
  <c r="AT23" i="1"/>
  <c r="K23" i="1"/>
  <c r="AF23" i="1"/>
  <c r="I23" i="1" s="1"/>
  <c r="H23" i="1" s="1"/>
  <c r="T23" i="1" s="1"/>
  <c r="U23" i="1" s="1"/>
  <c r="AB23" i="1" s="1"/>
  <c r="AE23" i="1"/>
  <c r="J23" i="1" s="1"/>
  <c r="N23" i="1"/>
  <c r="AF17" i="1"/>
  <c r="I17" i="1" s="1"/>
  <c r="H17" i="1" s="1"/>
  <c r="AE17" i="1"/>
  <c r="J17" i="1" s="1"/>
  <c r="K17" i="1" s="1"/>
  <c r="N17" i="1"/>
  <c r="AA27" i="1"/>
  <c r="AF29" i="1"/>
  <c r="I29" i="1" s="1"/>
  <c r="H29" i="1" s="1"/>
  <c r="AE29" i="1"/>
  <c r="J29" i="1" s="1"/>
  <c r="K29" i="1" s="1"/>
  <c r="N29" i="1"/>
  <c r="AT29" i="1"/>
  <c r="T18" i="1"/>
  <c r="U18" i="1" s="1"/>
  <c r="AW23" i="1"/>
  <c r="AW24" i="1"/>
  <c r="AA19" i="1"/>
  <c r="AE26" i="1"/>
  <c r="J26" i="1" s="1"/>
  <c r="K26" i="1" s="1"/>
  <c r="N26" i="1"/>
  <c r="AT26" i="1"/>
  <c r="AF26" i="1"/>
  <c r="I26" i="1" s="1"/>
  <c r="H26" i="1" s="1"/>
  <c r="S19" i="1"/>
  <c r="AE24" i="1"/>
  <c r="J24" i="1" s="1"/>
  <c r="N24" i="1" s="1"/>
  <c r="AE18" i="1"/>
  <c r="J18" i="1" s="1"/>
  <c r="K18" i="1" s="1"/>
  <c r="N18" i="1"/>
  <c r="AT18" i="1"/>
  <c r="AW19" i="1"/>
  <c r="AE22" i="1"/>
  <c r="J22" i="1" s="1"/>
  <c r="K22" i="1" s="1"/>
  <c r="AT22" i="1"/>
  <c r="AW26" i="1"/>
  <c r="AF25" i="1"/>
  <c r="I25" i="1" s="1"/>
  <c r="H25" i="1" s="1"/>
  <c r="AE25" i="1"/>
  <c r="J25" i="1" s="1"/>
  <c r="K25" i="1" s="1"/>
  <c r="K28" i="1"/>
  <c r="AF28" i="1"/>
  <c r="I28" i="1" s="1"/>
  <c r="H28" i="1" s="1"/>
  <c r="AW22" i="1"/>
  <c r="AT25" i="1"/>
  <c r="AT27" i="1"/>
  <c r="K27" i="1"/>
  <c r="K24" i="1"/>
  <c r="AF24" i="1"/>
  <c r="I24" i="1" s="1"/>
  <c r="H24" i="1" s="1"/>
  <c r="S27" i="1"/>
  <c r="AW28" i="1"/>
  <c r="K21" i="1" l="1"/>
  <c r="AA26" i="1"/>
  <c r="AC23" i="1"/>
  <c r="V23" i="1"/>
  <c r="Z23" i="1" s="1"/>
  <c r="V22" i="1"/>
  <c r="Z22" i="1" s="1"/>
  <c r="AC22" i="1"/>
  <c r="T20" i="1"/>
  <c r="U20" i="1" s="1"/>
  <c r="Q20" i="1" s="1"/>
  <c r="O20" i="1" s="1"/>
  <c r="R20" i="1" s="1"/>
  <c r="Q22" i="1"/>
  <c r="O22" i="1" s="1"/>
  <c r="R22" i="1" s="1"/>
  <c r="L22" i="1" s="1"/>
  <c r="M22" i="1" s="1"/>
  <c r="T19" i="1"/>
  <c r="U19" i="1" s="1"/>
  <c r="AA28" i="1"/>
  <c r="T28" i="1"/>
  <c r="U28" i="1" s="1"/>
  <c r="Q28" i="1" s="1"/>
  <c r="O28" i="1" s="1"/>
  <c r="R28" i="1" s="1"/>
  <c r="L28" i="1" s="1"/>
  <c r="M28" i="1" s="1"/>
  <c r="AA20" i="1"/>
  <c r="T27" i="1"/>
  <c r="U27" i="1" s="1"/>
  <c r="V18" i="1"/>
  <c r="Z18" i="1" s="1"/>
  <c r="AC18" i="1"/>
  <c r="Q18" i="1"/>
  <c r="O18" i="1" s="1"/>
  <c r="R18" i="1" s="1"/>
  <c r="L18" i="1" s="1"/>
  <c r="M18" i="1" s="1"/>
  <c r="Q29" i="1"/>
  <c r="O29" i="1" s="1"/>
  <c r="R29" i="1" s="1"/>
  <c r="L29" i="1" s="1"/>
  <c r="M29" i="1" s="1"/>
  <c r="AA29" i="1"/>
  <c r="T29" i="1"/>
  <c r="U29" i="1" s="1"/>
  <c r="T17" i="1"/>
  <c r="U17" i="1" s="1"/>
  <c r="Q17" i="1" s="1"/>
  <c r="O17" i="1" s="1"/>
  <c r="R17" i="1" s="1"/>
  <c r="L17" i="1" s="1"/>
  <c r="M17" i="1" s="1"/>
  <c r="AA17" i="1"/>
  <c r="K20" i="1"/>
  <c r="N25" i="1"/>
  <c r="N22" i="1"/>
  <c r="AB22" i="1"/>
  <c r="AA23" i="1"/>
  <c r="Q23" i="1"/>
  <c r="O23" i="1" s="1"/>
  <c r="R23" i="1" s="1"/>
  <c r="L23" i="1" s="1"/>
  <c r="M23" i="1" s="1"/>
  <c r="Q21" i="1"/>
  <c r="O21" i="1" s="1"/>
  <c r="R21" i="1" s="1"/>
  <c r="L21" i="1" s="1"/>
  <c r="M21" i="1" s="1"/>
  <c r="T21" i="1"/>
  <c r="U21" i="1" s="1"/>
  <c r="AA21" i="1"/>
  <c r="AB18" i="1"/>
  <c r="T26" i="1"/>
  <c r="U26" i="1" s="1"/>
  <c r="AA24" i="1"/>
  <c r="T24" i="1"/>
  <c r="U24" i="1" s="1"/>
  <c r="Q24" i="1" s="1"/>
  <c r="O24" i="1" s="1"/>
  <c r="R24" i="1" s="1"/>
  <c r="L24" i="1" s="1"/>
  <c r="M24" i="1" s="1"/>
  <c r="Q25" i="1"/>
  <c r="O25" i="1" s="1"/>
  <c r="R25" i="1" s="1"/>
  <c r="L25" i="1" s="1"/>
  <c r="M25" i="1" s="1"/>
  <c r="AA25" i="1"/>
  <c r="T25" i="1"/>
  <c r="U25" i="1" s="1"/>
  <c r="AD22" i="1" l="1"/>
  <c r="V21" i="1"/>
  <c r="Z21" i="1" s="1"/>
  <c r="AC21" i="1"/>
  <c r="AB21" i="1"/>
  <c r="V26" i="1"/>
  <c r="Z26" i="1" s="1"/>
  <c r="AC26" i="1"/>
  <c r="AB26" i="1"/>
  <c r="V29" i="1"/>
  <c r="Z29" i="1" s="1"/>
  <c r="AC29" i="1"/>
  <c r="AD29" i="1" s="1"/>
  <c r="AB29" i="1"/>
  <c r="AC27" i="1"/>
  <c r="AD27" i="1" s="1"/>
  <c r="V27" i="1"/>
  <c r="Z27" i="1" s="1"/>
  <c r="Q27" i="1"/>
  <c r="O27" i="1" s="1"/>
  <c r="R27" i="1" s="1"/>
  <c r="L27" i="1" s="1"/>
  <c r="M27" i="1" s="1"/>
  <c r="AB27" i="1"/>
  <c r="AD18" i="1"/>
  <c r="L20" i="1"/>
  <c r="M20" i="1" s="1"/>
  <c r="V20" i="1"/>
  <c r="Z20" i="1" s="1"/>
  <c r="AC20" i="1"/>
  <c r="AB20" i="1"/>
  <c r="AD23" i="1"/>
  <c r="Q26" i="1"/>
  <c r="O26" i="1" s="1"/>
  <c r="R26" i="1" s="1"/>
  <c r="L26" i="1" s="1"/>
  <c r="M26" i="1" s="1"/>
  <c r="V25" i="1"/>
  <c r="Z25" i="1" s="1"/>
  <c r="AC25" i="1"/>
  <c r="AB25" i="1"/>
  <c r="V24" i="1"/>
  <c r="Z24" i="1" s="1"/>
  <c r="AC24" i="1"/>
  <c r="AB24" i="1"/>
  <c r="V17" i="1"/>
  <c r="Z17" i="1" s="1"/>
  <c r="AC17" i="1"/>
  <c r="AD17" i="1" s="1"/>
  <c r="AB17" i="1"/>
  <c r="AC28" i="1"/>
  <c r="AD28" i="1" s="1"/>
  <c r="AB28" i="1"/>
  <c r="V28" i="1"/>
  <c r="Z28" i="1" s="1"/>
  <c r="AC19" i="1"/>
  <c r="V19" i="1"/>
  <c r="Z19" i="1" s="1"/>
  <c r="Q19" i="1"/>
  <c r="O19" i="1" s="1"/>
  <c r="R19" i="1" s="1"/>
  <c r="L19" i="1" s="1"/>
  <c r="M19" i="1" s="1"/>
  <c r="AB19" i="1"/>
  <c r="AD26" i="1" l="1"/>
  <c r="AD24" i="1"/>
  <c r="AD19" i="1"/>
  <c r="AD25" i="1"/>
  <c r="AD20" i="1"/>
  <c r="AD21" i="1"/>
</calcChain>
</file>

<file path=xl/sharedStrings.xml><?xml version="1.0" encoding="utf-8"?>
<sst xmlns="http://schemas.openxmlformats.org/spreadsheetml/2006/main" count="827" uniqueCount="368">
  <si>
    <t>File opened</t>
  </si>
  <si>
    <t>2025-08-13 15:09:17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</si>
  <si>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</si>
  <si>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</si>
  <si>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</si>
  <si>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</si>
  <si>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</si>
  <si>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</si>
  <si>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</si>
  <si>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</si>
  <si>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</si>
  <si>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</si>
  <si>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</si>
  <si>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</si>
  <si>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</si>
  <si>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</si>
  <si>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</si>
  <si>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</si>
  <si>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</si>
  <si>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</si>
  <si>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</si>
  <si>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</si>
  <si>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</si>
  <si>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</si>
  <si>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</si>
  <si>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</si>
  <si>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</si>
  <si>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</si>
  <si>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15:09:17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</si>
  <si>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</si>
  <si>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</si>
  <si>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</si>
  <si>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</si>
  <si>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</si>
  <si>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</si>
  <si>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</si>
  <si>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</si>
  <si>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</si>
  <si>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</si>
  <si>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</si>
  <si>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</si>
  <si>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</si>
  <si>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</si>
  <si>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</si>
  <si>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</si>
  <si>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</si>
  <si>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</si>
  <si>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</si>
  <si>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</si>
  <si>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</si>
  <si>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</si>
  <si>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</si>
  <si>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</si>
  <si>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</si>
  <si>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</si>
  <si>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</si>
  <si>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</si>
  <si>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</si>
  <si>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</si>
  <si>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</si>
  <si>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</si>
  <si>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</si>
  <si>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</si>
  <si>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</si>
  <si>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</si>
  <si>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</si>
  <si>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</si>
  <si>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</si>
  <si>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</si>
  <si>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</si>
  <si>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</si>
  <si>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</si>
  <si>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</si>
  <si>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</si>
  <si>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</si>
  <si>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</si>
  <si>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</si>
  <si>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</si>
  <si>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</si>
  <si>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</si>
  <si>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3.42799 163.935 343.401 588.752 856.125 1051.27 1298.4 1501.22</t>
  </si>
  <si>
    <t>Fs_true</t>
  </si>
  <si>
    <t>0.141856 200.807 384.86 593.89 806.736 1001.56 1201.15 1400.59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</si>
  <si>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</si>
  <si>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</si>
  <si>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</si>
  <si>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</si>
  <si>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</si>
  <si>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</si>
  <si>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</si>
  <si>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</si>
  <si>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</si>
  <si>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</si>
  <si>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</si>
  <si>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</si>
  <si>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</si>
  <si>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</si>
  <si>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</si>
  <si>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</si>
  <si>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</si>
  <si>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</si>
  <si>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</si>
  <si>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</si>
  <si>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</si>
  <si>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</si>
  <si>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</si>
  <si>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</si>
  <si>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</si>
  <si>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</si>
  <si>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</si>
  <si>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</si>
  <si>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</si>
  <si>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</si>
  <si>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</si>
  <si>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</si>
  <si>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</si>
  <si>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</si>
  <si>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</si>
  <si>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</si>
  <si>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</si>
  <si>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</si>
  <si>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</si>
  <si>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</si>
  <si>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</si>
  <si>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</si>
  <si>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</si>
  <si>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</si>
  <si>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</si>
  <si>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</si>
  <si>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</si>
  <si>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</si>
  <si>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</si>
  <si>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</si>
  <si>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</si>
  <si>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</si>
  <si>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</si>
  <si>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</si>
  <si>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</si>
  <si>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</si>
  <si>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</si>
  <si>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</si>
  <si>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</si>
  <si>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</si>
  <si>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</si>
  <si>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</si>
  <si>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</si>
  <si>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</si>
  <si>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</si>
  <si>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</si>
  <si>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</si>
  <si>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</si>
  <si>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</si>
  <si>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</si>
  <si>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</si>
  <si>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</si>
  <si>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</si>
  <si>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</si>
  <si>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</si>
  <si>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</si>
  <si>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</si>
  <si>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</si>
  <si>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</si>
  <si>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</si>
  <si>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</si>
  <si>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</si>
  <si>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</si>
  <si>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</si>
  <si>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</si>
  <si>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</si>
  <si>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</si>
  <si>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</si>
  <si>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</si>
  <si>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</si>
  <si>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</si>
  <si>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</si>
  <si>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</si>
  <si>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</si>
  <si>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</si>
  <si>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</si>
  <si>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</si>
  <si>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</si>
  <si>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</si>
  <si>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</si>
  <si>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</si>
  <si>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</si>
  <si>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</si>
  <si>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</si>
  <si>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</si>
  <si>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</si>
  <si>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</si>
  <si>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</si>
  <si>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</si>
  <si>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</si>
  <si>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</si>
  <si>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</si>
  <si>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</si>
  <si>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</si>
  <si>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</si>
  <si>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</si>
  <si>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</si>
  <si>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</si>
  <si>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</si>
  <si>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</si>
  <si>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</si>
  <si>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</si>
  <si>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</si>
  <si>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</si>
  <si>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</si>
  <si>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</si>
  <si>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</si>
  <si>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</si>
  <si>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</si>
  <si>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</si>
  <si>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</si>
  <si>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</si>
  <si>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</si>
  <si>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</si>
  <si>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</si>
  <si>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</si>
  <si>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</si>
  <si>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</si>
  <si>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</si>
  <si>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</si>
  <si>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</si>
  <si>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</si>
  <si>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</si>
  <si>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</si>
  <si>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</si>
  <si>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</si>
  <si>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</si>
  <si>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</si>
  <si>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</si>
  <si>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</si>
  <si>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</si>
  <si>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</si>
  <si>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</si>
  <si>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</si>
  <si>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</si>
  <si>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</si>
  <si>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</si>
  <si>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</si>
  <si>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</si>
  <si>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</si>
  <si>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</si>
  <si>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</si>
  <si>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</si>
  <si>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</si>
  <si>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</si>
  <si>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</si>
  <si>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</si>
  <si>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</si>
  <si>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</si>
  <si>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</si>
  <si>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</si>
  <si>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</si>
  <si>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</si>
  <si>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</si>
  <si>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</si>
  <si>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</si>
  <si>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</si>
  <si>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</si>
  <si>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</si>
  <si>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</si>
  <si>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</si>
  <si>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</si>
  <si>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</si>
  <si>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</si>
  <si>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</si>
  <si>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</si>
  <si>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</si>
  <si>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</si>
  <si>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</si>
  <si>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</si>
  <si>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</si>
  <si>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</si>
  <si>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</si>
  <si>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</si>
  <si>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</si>
  <si>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</si>
  <si>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</si>
  <si>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</si>
  <si>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</si>
  <si>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</si>
  <si>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</si>
  <si>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</si>
  <si>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</si>
  <si>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</si>
  <si>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</si>
  <si>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</si>
  <si>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</si>
  <si>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</si>
  <si>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</si>
  <si>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</si>
  <si>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</si>
  <si>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</si>
  <si>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</si>
  <si>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</si>
  <si>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</si>
  <si>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</si>
  <si>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</si>
  <si>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</si>
  <si>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</si>
  <si>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</si>
  <si>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</si>
  <si>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</si>
  <si>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</si>
  <si>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</si>
  <si>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</si>
  <si>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</si>
  <si>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</si>
  <si>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</si>
  <si>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</si>
  <si>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</si>
  <si>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</si>
  <si>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</si>
  <si>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</si>
  <si>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</si>
  <si>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</si>
  <si>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</si>
  <si>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</si>
  <si>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</si>
  <si>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</si>
  <si>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</si>
  <si>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</si>
  <si>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</si>
  <si>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</si>
  <si>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</si>
  <si>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</si>
  <si>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</si>
  <si>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</si>
  <si>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</si>
  <si>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</si>
  <si>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</si>
  <si>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</si>
  <si>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none</t>
  </si>
  <si>
    <t>0: Broadleaf</t>
  </si>
  <si>
    <t>11111111</t>
  </si>
  <si>
    <t>oooooooo</t>
  </si>
  <si>
    <t>on</t>
  </si>
  <si>
    <t>1/2</t>
  </si>
  <si>
    <t>20250813 15:39:09</t>
  </si>
  <si>
    <t>15:39:09</t>
  </si>
  <si>
    <t>15:35:48</t>
  </si>
  <si>
    <t>2/2</t>
  </si>
  <si>
    <t>20250813 15:42:09</t>
  </si>
  <si>
    <t>15:42:09</t>
  </si>
  <si>
    <t>20250813 15:45:10</t>
  </si>
  <si>
    <t>15:45:10</t>
  </si>
  <si>
    <t>20250813 15:48:10</t>
  </si>
  <si>
    <t>15:48:10</t>
  </si>
  <si>
    <t>20250813 15:51:11</t>
  </si>
  <si>
    <t>15:51:11</t>
  </si>
  <si>
    <t>20250813 15:54:12</t>
  </si>
  <si>
    <t>15:54:12</t>
  </si>
  <si>
    <t>20250813 15:57:12</t>
  </si>
  <si>
    <t>15:57:12</t>
  </si>
  <si>
    <t>20250813 16:00:13</t>
  </si>
  <si>
    <t>16:00:13</t>
  </si>
  <si>
    <t>20250813 16:03:13</t>
  </si>
  <si>
    <t>16:03:13</t>
  </si>
  <si>
    <t>20250813 16:06:14</t>
  </si>
  <si>
    <t>16:06:14</t>
  </si>
  <si>
    <t>20250813 16:09:14</t>
  </si>
  <si>
    <t>16:09:14</t>
  </si>
  <si>
    <t>20250813 16:12:15</t>
  </si>
  <si>
    <t>16:12:15</t>
  </si>
  <si>
    <t>20250813 16:15:15</t>
  </si>
  <si>
    <t>16:15:15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</si>
</sst>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Q10" workbookViewId="0">
      <selection activeCell="BC17" sqref="BC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1755092349.0999999</v>
      </c>
      <c r="C17">
        <v>1784.099999904633</v>
      </c>
      <c r="D17" t="s">
        <v>340</v>
      </c>
      <c r="E17" t="s">
        <v>341</v>
      </c>
      <c r="F17" t="s">
        <v>334</v>
      </c>
      <c r="G17">
        <v>1755092349.0999999</v>
      </c>
      <c r="H17">
        <f t="shared" ref="H17:H29" si="0">(I17)/1000</f>
        <v>4.1447129571192173E-3</v>
      </c>
      <c r="I17">
        <f t="shared" ref="I17:I29" si="1">IF(BD17, AL17, AF17)</f>
        <v>4.1447129571192169</v>
      </c>
      <c r="J17">
        <f t="shared" ref="J17:J29" si="2">IF(BD17, AG17, AE17)</f>
        <v>33.045689512842287</v>
      </c>
      <c r="K17">
        <f t="shared" ref="K17:K29" si="3">BF17 - IF(AS17&gt;1, J17*AZ17*100/(AU17), 0)</f>
        <v>371.62059384230633</v>
      </c>
      <c r="L17">
        <f t="shared" ref="L17:L29" si="4">((R17-H17/2)*K17-J17)/(R17+H17/2)</f>
        <v>297.9891447477375</v>
      </c>
      <c r="M17">
        <f t="shared" ref="M17:M29" si="5">L17*(BM17+BN17)/1000</f>
        <v>30.25033915391845</v>
      </c>
      <c r="N17">
        <f t="shared" ref="N17:N29" si="6">(BF17 - IF(AS17&gt;1, J17*AZ17*100/(AU17), 0))*(BM17+BN17)/1000</f>
        <v>37.72502857386619</v>
      </c>
      <c r="O17">
        <f t="shared" ref="O17:O29" si="7">2/((1/Q17-1/P17)+SIGN(Q17)*SQRT((1/Q17-1/P17)*(1/Q17-1/P17) + 4*BA17/((BA17+1)*(BA17+1))*(2*1/Q17*1/P17-1/P17*1/P17)))</f>
        <v>0.8635219771693452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2.4181265628726729</v>
      </c>
      <c r="Q17">
        <f t="shared" ref="Q17:Q29" si="9">H17*(1000-(1000*0.61365*EXP(17.502*U17/(240.97+U17))/(BM17+BN17)+BH17)/2)/(1000*0.61365*EXP(17.502*U17/(240.97+U17))/(BM17+BN17)-BH17)</f>
        <v>0.73184686090355022</v>
      </c>
      <c r="R17">
        <f t="shared" ref="R17:R29" si="10">1/((BA17+1)/(O17/1.6)+1/(P17/1.37)) + BA17/((BA17+1)/(O17/1.6) + BA17/(P17/1.37))</f>
        <v>0.46764473626604003</v>
      </c>
      <c r="S17">
        <f t="shared" ref="S17:S29" si="11">(AV17*AY17)</f>
        <v>227.11269999999999</v>
      </c>
      <c r="T17">
        <f t="shared" ref="T17:T29" si="12">(BO17+(S17+2*0.95*0.0000000567*(((BO17+$B$7)+273)^4-(BO17+273)^4)-44100*H17)/(1.84*29.3*P17+8*0.95*0.0000000567*(BO17+273)^3))</f>
        <v>27.260000562472523</v>
      </c>
      <c r="U17">
        <f t="shared" ref="U17:U29" si="13">($C$7*BP17+$D$7*BQ17+$E$7*T17)</f>
        <v>25.912299999999998</v>
      </c>
      <c r="V17">
        <f t="shared" ref="V17:V29" si="14">0.61365*EXP(17.502*U17/(240.97+U17))</f>
        <v>3.3567873652412858</v>
      </c>
      <c r="W17">
        <f t="shared" ref="W17:W29" si="15">(X17/Y17*100)</f>
        <v>78.451401990446129</v>
      </c>
      <c r="X17">
        <f t="shared" ref="X17:X29" si="16">BH17*(BM17+BN17)/1000</f>
        <v>2.7993039074534303</v>
      </c>
      <c r="Y17">
        <f t="shared" ref="Y17:Y29" si="17">0.61365*EXP(17.502*BO17/(240.97+BO17))</f>
        <v>3.5682012512591319</v>
      </c>
      <c r="Z17">
        <f t="shared" ref="Z17:Z29" si="18">(V17-BH17*(BM17+BN17)/1000)</f>
        <v>0.55748345778785557</v>
      </c>
      <c r="AA17">
        <f t="shared" ref="AA17:AA29" si="19">(-H17*44100)</f>
        <v>-182.78184140895749</v>
      </c>
      <c r="AB17">
        <f t="shared" ref="AB17:AB29" si="20">2*29.3*P17*0.92*(BO17-U17)</f>
        <v>134.99403365123638</v>
      </c>
      <c r="AC17">
        <f t="shared" ref="AC17:AC29" si="21">2*0.95*0.0000000567*(((BO17+$B$7)+273)^4-(U17+273)^4)</f>
        <v>11.979376135500711</v>
      </c>
      <c r="AD17">
        <f t="shared" ref="AD17:AD29" si="22">S17+AC17+AA17+AB17</f>
        <v>191.30426837777958</v>
      </c>
      <c r="AE17">
        <f t="shared" ref="AE17:AE29" si="23">BL17*AS17*(BG17-BF17*(1000-AS17*BI17)/(1000-AS17*BH17))/(100*AZ17)</f>
        <v>33.045689512842287</v>
      </c>
      <c r="AF17">
        <f t="shared" ref="AF17:AF29" si="24">1000*BL17*AS17*(BH17-BI17)/(100*AZ17*(1000-AS17*BH17))</f>
        <v>4.1447129571192169</v>
      </c>
      <c r="AG17">
        <f t="shared" ref="AG17:AG29" si="25">(AH17 - AI17 - BM17*1000/(8.314*(BO17+273.15)) * AK17/BL17 * AJ17) * BL17/(100*AZ17) * (1000 - BI17)/1000</f>
        <v>33.033147313961422</v>
      </c>
      <c r="AH17">
        <v>458.48254737648051</v>
      </c>
      <c r="AI17">
        <v>382.71785454545437</v>
      </c>
      <c r="AJ17">
        <v>1.5642407546782519E-3</v>
      </c>
      <c r="AK17">
        <v>84.00632441925282</v>
      </c>
      <c r="AL17">
        <f t="shared" ref="AL17:AL29" si="26">(AN17 - AM17 + BM17*1000/(8.314*(BO17+273.15)) * AP17/BL17 * AO17) * BL17/(100*AZ17) * 1000/(1000 - AN17)</f>
        <v>4.1436921866844703</v>
      </c>
      <c r="AM17">
        <v>18.5070488446129</v>
      </c>
      <c r="AN17">
        <v>27.576170676691721</v>
      </c>
      <c r="AO17">
        <v>1.332942269041677E-5</v>
      </c>
      <c r="AP17">
        <v>90.532748577824265</v>
      </c>
      <c r="AQ17">
        <v>8</v>
      </c>
      <c r="AR17">
        <v>2</v>
      </c>
      <c r="AS17">
        <f t="shared" ref="AS17:AS29" si="27">IF(AQ17*$H$13&gt;=AU17,1,(AU17/(AU17-AQ17*$H$13)))</f>
        <v>1.0002237428280945</v>
      </c>
      <c r="AT17">
        <f t="shared" ref="AT17:AT29" si="28">(AS17-1)*100</f>
        <v>2.2374282809445312E-2</v>
      </c>
      <c r="AU17">
        <f t="shared" ref="AU17:AU29" si="29">MAX(0,($B$13+$C$13*BT17)/(1+$D$13*BT17)*BM17/(BO17+273)*$E$13)</f>
        <v>53645.004026077069</v>
      </c>
      <c r="AV17">
        <f t="shared" ref="AV17:AV29" si="30">$B$11*BU17+$C$11*BV17</f>
        <v>1195.33</v>
      </c>
      <c r="AW17">
        <f t="shared" ref="AW17:AW29" si="31">AV17*AX17</f>
        <v>956.26400000000001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335</v>
      </c>
      <c r="BC17">
        <v>2</v>
      </c>
      <c r="BD17" t="b">
        <v>0</v>
      </c>
      <c r="BE17">
        <v>1755092349.0999999</v>
      </c>
      <c r="BF17">
        <v>372.17500000000001</v>
      </c>
      <c r="BG17">
        <v>450.00799999999998</v>
      </c>
      <c r="BH17">
        <v>27.575299999999999</v>
      </c>
      <c r="BI17">
        <v>18.5059</v>
      </c>
      <c r="BJ17">
        <v>368.59300000000002</v>
      </c>
      <c r="BK17">
        <v>27.339300000000001</v>
      </c>
      <c r="BL17">
        <v>399.86599999999999</v>
      </c>
      <c r="BM17">
        <v>101.41500000000001</v>
      </c>
      <c r="BN17">
        <v>9.9903099999999995E-2</v>
      </c>
      <c r="BO17">
        <v>26.947800000000001</v>
      </c>
      <c r="BP17">
        <v>25.912299999999998</v>
      </c>
      <c r="BQ17">
        <v>999.9</v>
      </c>
      <c r="BR17">
        <v>0</v>
      </c>
      <c r="BS17">
        <v>0</v>
      </c>
      <c r="BT17">
        <v>10002</v>
      </c>
      <c r="BU17">
        <v>1195.33</v>
      </c>
      <c r="BV17">
        <v>19.954899999999999</v>
      </c>
      <c r="BW17">
        <v>-77.833399999999997</v>
      </c>
      <c r="BX17">
        <v>382.72899999999998</v>
      </c>
      <c r="BY17">
        <v>458.49299999999999</v>
      </c>
      <c r="BZ17">
        <v>9.0694099999999995</v>
      </c>
      <c r="CA17">
        <v>450.00799999999998</v>
      </c>
      <c r="CB17">
        <v>18.5059</v>
      </c>
      <c r="CC17">
        <v>2.7965499999999999</v>
      </c>
      <c r="CD17">
        <v>1.87677</v>
      </c>
      <c r="CE17">
        <v>22.863700000000001</v>
      </c>
      <c r="CF17">
        <v>16.441299999999998</v>
      </c>
      <c r="CG17">
        <v>1755092148.0999999</v>
      </c>
      <c r="CH17" t="s">
        <v>342</v>
      </c>
      <c r="CI17">
        <v>1755092148.0999999</v>
      </c>
      <c r="CJ17">
        <v>1755092146.5999999</v>
      </c>
      <c r="CK17">
        <v>5</v>
      </c>
      <c r="CL17">
        <v>5.1999999999999998E-2</v>
      </c>
      <c r="CM17">
        <v>0</v>
      </c>
      <c r="CN17">
        <v>4.2629999999999999</v>
      </c>
      <c r="CO17">
        <v>0.23599999999999999</v>
      </c>
      <c r="CP17">
        <v>450</v>
      </c>
      <c r="CQ17">
        <v>19</v>
      </c>
      <c r="CR17">
        <v>0.02</v>
      </c>
      <c r="CS17">
        <v>0.01</v>
      </c>
      <c r="CT17">
        <v>-77.820360975609745</v>
      </c>
      <c r="CU17">
        <v>-3.4542857142948892E-2</v>
      </c>
      <c r="CV17">
        <v>3.8079415590724808E-2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9.0701797560975628</v>
      </c>
      <c r="DC17">
        <v>-2.4570731707122648E-3</v>
      </c>
      <c r="DD17">
        <v>1.126424275230613E-3</v>
      </c>
      <c r="DE17">
        <v>1</v>
      </c>
      <c r="DF17">
        <v>2</v>
      </c>
      <c r="DG17">
        <v>2</v>
      </c>
      <c r="DH17" t="s">
        <v>343</v>
      </c>
      <c r="DI17">
        <v>3.0243600000000002</v>
      </c>
      <c r="DJ17">
        <v>2.6911900000000002</v>
      </c>
      <c r="DK17">
        <v>8.7851499999999999E-2</v>
      </c>
      <c r="DL17">
        <v>0.10269200000000001</v>
      </c>
      <c r="DM17">
        <v>0.132053</v>
      </c>
      <c r="DN17">
        <v>0.100884</v>
      </c>
      <c r="DO17">
        <v>25421.3</v>
      </c>
      <c r="DP17">
        <v>16295</v>
      </c>
      <c r="DQ17">
        <v>26441.9</v>
      </c>
      <c r="DR17">
        <v>16491.099999999999</v>
      </c>
      <c r="DS17">
        <v>32628.9</v>
      </c>
      <c r="DT17">
        <v>19370.900000000001</v>
      </c>
      <c r="DU17">
        <v>38524</v>
      </c>
      <c r="DV17">
        <v>21858.1</v>
      </c>
      <c r="DW17">
        <v>1.7766200000000001</v>
      </c>
      <c r="DX17">
        <v>2.1995399999999998</v>
      </c>
      <c r="DY17">
        <v>7.6800599999999997E-2</v>
      </c>
      <c r="DZ17">
        <v>0</v>
      </c>
      <c r="EA17">
        <v>24.652799999999999</v>
      </c>
      <c r="EB17">
        <v>999.9</v>
      </c>
      <c r="EC17">
        <v>61.4</v>
      </c>
      <c r="ED17">
        <v>31.4</v>
      </c>
      <c r="EE17">
        <v>27.944299999999998</v>
      </c>
      <c r="EF17">
        <v>62.539900000000003</v>
      </c>
      <c r="EG17">
        <v>36.265999999999998</v>
      </c>
      <c r="EH17">
        <v>1</v>
      </c>
      <c r="EI17">
        <v>1.49024E-2</v>
      </c>
      <c r="EJ17">
        <v>-0.19214800000000001</v>
      </c>
      <c r="EK17">
        <v>20.342099999999999</v>
      </c>
      <c r="EL17">
        <v>5.25</v>
      </c>
      <c r="EM17">
        <v>11.962</v>
      </c>
      <c r="EN17">
        <v>4.9889200000000002</v>
      </c>
      <c r="EO17">
        <v>3.2907999999999999</v>
      </c>
      <c r="EP17">
        <v>9999</v>
      </c>
      <c r="EQ17">
        <v>9999</v>
      </c>
      <c r="ER17">
        <v>9999</v>
      </c>
      <c r="ES17">
        <v>999.9</v>
      </c>
      <c r="ET17">
        <v>4.9726400000000002</v>
      </c>
      <c r="EU17">
        <v>1.8717999999999999</v>
      </c>
      <c r="EV17">
        <v>1.87209</v>
      </c>
      <c r="EW17">
        <v>1.87714</v>
      </c>
      <c r="EX17">
        <v>1.87127</v>
      </c>
      <c r="EY17">
        <v>1.8720300000000001</v>
      </c>
      <c r="EZ17">
        <v>1.87168</v>
      </c>
      <c r="FA17">
        <v>1.86863</v>
      </c>
      <c r="FB17">
        <v>0</v>
      </c>
      <c r="FC17">
        <v>0</v>
      </c>
      <c r="FD17">
        <v>0</v>
      </c>
      <c r="FE17">
        <v>0</v>
      </c>
      <c r="FF17" t="s">
        <v>336</v>
      </c>
      <c r="FG17" t="s">
        <v>337</v>
      </c>
      <c r="FH17" t="s">
        <v>338</v>
      </c>
      <c r="FI17" t="s">
        <v>338</v>
      </c>
      <c r="FJ17" t="s">
        <v>338</v>
      </c>
      <c r="FK17" t="s">
        <v>338</v>
      </c>
      <c r="FL17">
        <v>0</v>
      </c>
      <c r="FM17">
        <v>100</v>
      </c>
      <c r="FN17">
        <v>100</v>
      </c>
      <c r="FO17">
        <v>3.5819999999999999</v>
      </c>
      <c r="FP17">
        <v>0.23599999999999999</v>
      </c>
      <c r="FQ17">
        <v>0.68274929944455898</v>
      </c>
      <c r="FR17">
        <v>7.0338458001993282E-3</v>
      </c>
      <c r="FS17">
        <v>2.3387658340725169E-6</v>
      </c>
      <c r="FT17">
        <v>-2.2874075696057401E-10</v>
      </c>
      <c r="FU17">
        <v>0.23602380952380739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3.4</v>
      </c>
      <c r="GD17">
        <v>3.4</v>
      </c>
      <c r="GE17">
        <v>1.09741</v>
      </c>
      <c r="GF17">
        <v>2.6293899999999999</v>
      </c>
      <c r="GG17">
        <v>1.7981</v>
      </c>
      <c r="GH17">
        <v>2.3791500000000001</v>
      </c>
      <c r="GI17">
        <v>1.5979000000000001</v>
      </c>
      <c r="GJ17">
        <v>2.5537100000000001</v>
      </c>
      <c r="GK17">
        <v>34.4636</v>
      </c>
      <c r="GL17">
        <v>24.1663</v>
      </c>
      <c r="GM17">
        <v>18</v>
      </c>
      <c r="GN17">
        <v>351.25700000000001</v>
      </c>
      <c r="GO17">
        <v>675.06799999999998</v>
      </c>
      <c r="GP17">
        <v>25.830100000000002</v>
      </c>
      <c r="GQ17">
        <v>27.213000000000001</v>
      </c>
      <c r="GR17">
        <v>30.0001</v>
      </c>
      <c r="GS17">
        <v>27.1433</v>
      </c>
      <c r="GT17">
        <v>27.173500000000001</v>
      </c>
      <c r="GU17">
        <v>21.9314</v>
      </c>
      <c r="GV17">
        <v>40.469200000000001</v>
      </c>
      <c r="GW17">
        <v>0</v>
      </c>
      <c r="GX17">
        <v>25.83</v>
      </c>
      <c r="GY17">
        <v>450</v>
      </c>
      <c r="GZ17">
        <v>18.5</v>
      </c>
      <c r="HA17">
        <v>100.48399999999999</v>
      </c>
      <c r="HB17">
        <v>68.221000000000004</v>
      </c>
    </row>
    <row r="18" spans="1:210" x14ac:dyDescent="0.3">
      <c r="A18">
        <v>2</v>
      </c>
      <c r="B18">
        <v>1755092529.5999999</v>
      </c>
      <c r="C18">
        <v>1964.599999904633</v>
      </c>
      <c r="D18" t="s">
        <v>344</v>
      </c>
      <c r="E18" t="s">
        <v>345</v>
      </c>
      <c r="F18" t="s">
        <v>334</v>
      </c>
      <c r="G18">
        <v>1755092529.5999999</v>
      </c>
      <c r="H18">
        <f t="shared" si="0"/>
        <v>4.1819591167958853E-3</v>
      </c>
      <c r="I18">
        <f t="shared" si="1"/>
        <v>4.1819591167958849</v>
      </c>
      <c r="J18">
        <f t="shared" si="2"/>
        <v>20.759861969940903</v>
      </c>
      <c r="K18">
        <f t="shared" si="3"/>
        <v>250.58658351477672</v>
      </c>
      <c r="L18">
        <f t="shared" si="4"/>
        <v>204.72800732275661</v>
      </c>
      <c r="M18">
        <f t="shared" si="5"/>
        <v>20.782912686095813</v>
      </c>
      <c r="N18">
        <f t="shared" si="6"/>
        <v>25.438234629443265</v>
      </c>
      <c r="O18">
        <f t="shared" si="7"/>
        <v>0.87594915505421489</v>
      </c>
      <c r="P18">
        <f t="shared" si="8"/>
        <v>2.4176652827592422</v>
      </c>
      <c r="Q18">
        <f t="shared" si="9"/>
        <v>0.74073359785859094</v>
      </c>
      <c r="R18">
        <f t="shared" si="10"/>
        <v>0.47345376317637639</v>
      </c>
      <c r="S18">
        <f t="shared" si="11"/>
        <v>227.0025</v>
      </c>
      <c r="T18">
        <f t="shared" si="12"/>
        <v>27.272603168368253</v>
      </c>
      <c r="U18">
        <f t="shared" si="13"/>
        <v>25.933199999999999</v>
      </c>
      <c r="V18">
        <f t="shared" si="14"/>
        <v>3.3609437520381666</v>
      </c>
      <c r="W18">
        <f t="shared" si="15"/>
        <v>78.502508298902555</v>
      </c>
      <c r="X18">
        <f t="shared" si="16"/>
        <v>2.8052281747087005</v>
      </c>
      <c r="Y18">
        <f t="shared" si="17"/>
        <v>3.5734248949443019</v>
      </c>
      <c r="Z18">
        <f t="shared" si="18"/>
        <v>0.55571557732946619</v>
      </c>
      <c r="AA18">
        <f t="shared" si="19"/>
        <v>-184.42439705069853</v>
      </c>
      <c r="AB18">
        <f t="shared" si="20"/>
        <v>135.4896469677189</v>
      </c>
      <c r="AC18">
        <f t="shared" si="21"/>
        <v>12.028410486152699</v>
      </c>
      <c r="AD18">
        <f t="shared" si="22"/>
        <v>190.09616040317306</v>
      </c>
      <c r="AE18">
        <f t="shared" si="23"/>
        <v>20.759861969940903</v>
      </c>
      <c r="AF18">
        <f t="shared" si="24"/>
        <v>4.1819591167958849</v>
      </c>
      <c r="AG18">
        <f t="shared" si="25"/>
        <v>20.707029384799373</v>
      </c>
      <c r="AH18">
        <v>305.67435148993877</v>
      </c>
      <c r="AI18">
        <v>258.07267272727267</v>
      </c>
      <c r="AJ18">
        <v>1.555255573832316E-2</v>
      </c>
      <c r="AK18">
        <v>84.00632441925282</v>
      </c>
      <c r="AL18">
        <f t="shared" si="26"/>
        <v>4.1817027428654079</v>
      </c>
      <c r="AM18">
        <v>18.48446287113746</v>
      </c>
      <c r="AN18">
        <v>27.633364511278181</v>
      </c>
      <c r="AO18">
        <v>5.0256939746135428E-6</v>
      </c>
      <c r="AP18">
        <v>90.532748577824265</v>
      </c>
      <c r="AQ18">
        <v>8</v>
      </c>
      <c r="AR18">
        <v>2</v>
      </c>
      <c r="AS18">
        <f t="shared" si="27"/>
        <v>1.0002238258104863</v>
      </c>
      <c r="AT18">
        <f t="shared" si="28"/>
        <v>2.2382581048630001E-2</v>
      </c>
      <c r="AU18">
        <f t="shared" si="29"/>
        <v>53625.119836029553</v>
      </c>
      <c r="AV18">
        <f t="shared" si="30"/>
        <v>1194.75</v>
      </c>
      <c r="AW18">
        <f t="shared" si="31"/>
        <v>955.80000000000007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335</v>
      </c>
      <c r="BC18">
        <v>2</v>
      </c>
      <c r="BD18" t="b">
        <v>0</v>
      </c>
      <c r="BE18">
        <v>1755092529.5999999</v>
      </c>
      <c r="BF18">
        <v>250.935</v>
      </c>
      <c r="BG18">
        <v>299.99599999999998</v>
      </c>
      <c r="BH18">
        <v>27.633700000000001</v>
      </c>
      <c r="BI18">
        <v>18.4863</v>
      </c>
      <c r="BJ18">
        <v>248.36500000000001</v>
      </c>
      <c r="BK18">
        <v>27.397600000000001</v>
      </c>
      <c r="BL18">
        <v>399.995</v>
      </c>
      <c r="BM18">
        <v>101.41500000000001</v>
      </c>
      <c r="BN18">
        <v>9.9751000000000006E-2</v>
      </c>
      <c r="BO18">
        <v>26.9727</v>
      </c>
      <c r="BP18">
        <v>25.933199999999999</v>
      </c>
      <c r="BQ18">
        <v>999.9</v>
      </c>
      <c r="BR18">
        <v>0</v>
      </c>
      <c r="BS18">
        <v>0</v>
      </c>
      <c r="BT18">
        <v>9999</v>
      </c>
      <c r="BU18">
        <v>1194.75</v>
      </c>
      <c r="BV18">
        <v>19.954899999999999</v>
      </c>
      <c r="BW18">
        <v>-49.060699999999997</v>
      </c>
      <c r="BX18">
        <v>258.06700000000001</v>
      </c>
      <c r="BY18">
        <v>305.64600000000002</v>
      </c>
      <c r="BZ18">
        <v>9.1473600000000008</v>
      </c>
      <c r="CA18">
        <v>299.99599999999998</v>
      </c>
      <c r="CB18">
        <v>18.4863</v>
      </c>
      <c r="CC18">
        <v>2.80247</v>
      </c>
      <c r="CD18">
        <v>1.87479</v>
      </c>
      <c r="CE18">
        <v>22.898700000000002</v>
      </c>
      <c r="CF18">
        <v>16.424700000000001</v>
      </c>
      <c r="CG18">
        <v>1755092148.0999999</v>
      </c>
      <c r="CH18" t="s">
        <v>342</v>
      </c>
      <c r="CI18">
        <v>1755092148.0999999</v>
      </c>
      <c r="CJ18">
        <v>1755092146.5999999</v>
      </c>
      <c r="CK18">
        <v>5</v>
      </c>
      <c r="CL18">
        <v>5.1999999999999998E-2</v>
      </c>
      <c r="CM18">
        <v>0</v>
      </c>
      <c r="CN18">
        <v>4.2629999999999999</v>
      </c>
      <c r="CO18">
        <v>0.23599999999999999</v>
      </c>
      <c r="CP18">
        <v>450</v>
      </c>
      <c r="CQ18">
        <v>19</v>
      </c>
      <c r="CR18">
        <v>0.02</v>
      </c>
      <c r="CS18">
        <v>0.01</v>
      </c>
      <c r="CT18">
        <v>-49.303107317073163</v>
      </c>
      <c r="CU18">
        <v>1.2533644599303031</v>
      </c>
      <c r="CV18">
        <v>0.1248629461141857</v>
      </c>
      <c r="CW18">
        <v>0</v>
      </c>
      <c r="CX18">
        <v>0</v>
      </c>
      <c r="CY18">
        <v>0</v>
      </c>
      <c r="CZ18">
        <v>0</v>
      </c>
      <c r="DA18">
        <v>-1</v>
      </c>
      <c r="DB18">
        <v>9.1422270731707318</v>
      </c>
      <c r="DC18">
        <v>5.3056097560980828E-2</v>
      </c>
      <c r="DD18">
        <v>5.4436627930467439E-3</v>
      </c>
      <c r="DE18">
        <v>1</v>
      </c>
      <c r="DF18">
        <v>1</v>
      </c>
      <c r="DG18">
        <v>2</v>
      </c>
      <c r="DH18" t="s">
        <v>339</v>
      </c>
      <c r="DI18">
        <v>3.0245000000000002</v>
      </c>
      <c r="DJ18">
        <v>2.6910400000000001</v>
      </c>
      <c r="DK18">
        <v>6.37461E-2</v>
      </c>
      <c r="DL18">
        <v>7.4915899999999994E-2</v>
      </c>
      <c r="DM18">
        <v>0.132241</v>
      </c>
      <c r="DN18">
        <v>0.10080500000000001</v>
      </c>
      <c r="DO18">
        <v>26092.7</v>
      </c>
      <c r="DP18">
        <v>16799.099999999999</v>
      </c>
      <c r="DQ18">
        <v>26441.599999999999</v>
      </c>
      <c r="DR18">
        <v>16490.8</v>
      </c>
      <c r="DS18">
        <v>32620.6</v>
      </c>
      <c r="DT18">
        <v>19371.900000000001</v>
      </c>
      <c r="DU18">
        <v>38523.199999999997</v>
      </c>
      <c r="DV18">
        <v>21857.7</v>
      </c>
      <c r="DW18">
        <v>1.7767200000000001</v>
      </c>
      <c r="DX18">
        <v>2.1987000000000001</v>
      </c>
      <c r="DY18">
        <v>7.66516E-2</v>
      </c>
      <c r="DZ18">
        <v>0</v>
      </c>
      <c r="EA18">
        <v>24.676200000000001</v>
      </c>
      <c r="EB18">
        <v>999.9</v>
      </c>
      <c r="EC18">
        <v>61.4</v>
      </c>
      <c r="ED18">
        <v>31.4</v>
      </c>
      <c r="EE18">
        <v>27.9405</v>
      </c>
      <c r="EF18">
        <v>62.569899999999997</v>
      </c>
      <c r="EG18">
        <v>36.049700000000001</v>
      </c>
      <c r="EH18">
        <v>1</v>
      </c>
      <c r="EI18">
        <v>1.6384099999999999E-2</v>
      </c>
      <c r="EJ18">
        <v>-0.18571199999999999</v>
      </c>
      <c r="EK18">
        <v>20.3431</v>
      </c>
      <c r="EL18">
        <v>5.2501199999999999</v>
      </c>
      <c r="EM18">
        <v>11.962</v>
      </c>
      <c r="EN18">
        <v>4.9897600000000004</v>
      </c>
      <c r="EO18">
        <v>3.29108</v>
      </c>
      <c r="EP18">
        <v>9999</v>
      </c>
      <c r="EQ18">
        <v>9999</v>
      </c>
      <c r="ER18">
        <v>9999</v>
      </c>
      <c r="ES18">
        <v>999.9</v>
      </c>
      <c r="ET18">
        <v>4.9726299999999997</v>
      </c>
      <c r="EU18">
        <v>1.8717999999999999</v>
      </c>
      <c r="EV18">
        <v>1.87209</v>
      </c>
      <c r="EW18">
        <v>1.87713</v>
      </c>
      <c r="EX18">
        <v>1.8712500000000001</v>
      </c>
      <c r="EY18">
        <v>1.87205</v>
      </c>
      <c r="EZ18">
        <v>1.8716699999999999</v>
      </c>
      <c r="FA18">
        <v>1.86863</v>
      </c>
      <c r="FB18">
        <v>0</v>
      </c>
      <c r="FC18">
        <v>0</v>
      </c>
      <c r="FD18">
        <v>0</v>
      </c>
      <c r="FE18">
        <v>0</v>
      </c>
      <c r="FF18" t="s">
        <v>336</v>
      </c>
      <c r="FG18" t="s">
        <v>337</v>
      </c>
      <c r="FH18" t="s">
        <v>338</v>
      </c>
      <c r="FI18" t="s">
        <v>338</v>
      </c>
      <c r="FJ18" t="s">
        <v>338</v>
      </c>
      <c r="FK18" t="s">
        <v>338</v>
      </c>
      <c r="FL18">
        <v>0</v>
      </c>
      <c r="FM18">
        <v>100</v>
      </c>
      <c r="FN18">
        <v>100</v>
      </c>
      <c r="FO18">
        <v>2.57</v>
      </c>
      <c r="FP18">
        <v>0.2361</v>
      </c>
      <c r="FQ18">
        <v>0.68274929944455898</v>
      </c>
      <c r="FR18">
        <v>7.0338458001993282E-3</v>
      </c>
      <c r="FS18">
        <v>2.3387658340725169E-6</v>
      </c>
      <c r="FT18">
        <v>-2.2874075696057401E-10</v>
      </c>
      <c r="FU18">
        <v>0.23602380952380739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6.4</v>
      </c>
      <c r="GD18">
        <v>6.4</v>
      </c>
      <c r="GE18">
        <v>0.79589799999999999</v>
      </c>
      <c r="GF18">
        <v>2.64893</v>
      </c>
      <c r="GG18">
        <v>1.7981</v>
      </c>
      <c r="GH18">
        <v>2.3779300000000001</v>
      </c>
      <c r="GI18">
        <v>1.5979000000000001</v>
      </c>
      <c r="GJ18">
        <v>2.4206500000000002</v>
      </c>
      <c r="GK18">
        <v>34.4636</v>
      </c>
      <c r="GL18">
        <v>24.157499999999999</v>
      </c>
      <c r="GM18">
        <v>18</v>
      </c>
      <c r="GN18">
        <v>351.43599999999998</v>
      </c>
      <c r="GO18">
        <v>674.60199999999998</v>
      </c>
      <c r="GP18">
        <v>25.830200000000001</v>
      </c>
      <c r="GQ18">
        <v>27.231999999999999</v>
      </c>
      <c r="GR18">
        <v>30.0001</v>
      </c>
      <c r="GS18">
        <v>27.163900000000002</v>
      </c>
      <c r="GT18">
        <v>27.194400000000002</v>
      </c>
      <c r="GU18">
        <v>15.894399999999999</v>
      </c>
      <c r="GV18">
        <v>40.469200000000001</v>
      </c>
      <c r="GW18">
        <v>0</v>
      </c>
      <c r="GX18">
        <v>25.83</v>
      </c>
      <c r="GY18">
        <v>300</v>
      </c>
      <c r="GZ18">
        <v>18.5</v>
      </c>
      <c r="HA18">
        <v>100.482</v>
      </c>
      <c r="HB18">
        <v>68.219800000000006</v>
      </c>
    </row>
    <row r="19" spans="1:210" x14ac:dyDescent="0.3">
      <c r="A19">
        <v>3</v>
      </c>
      <c r="B19">
        <v>1755092710.0999999</v>
      </c>
      <c r="C19">
        <v>2145.099999904633</v>
      </c>
      <c r="D19" t="s">
        <v>346</v>
      </c>
      <c r="E19" t="s">
        <v>347</v>
      </c>
      <c r="F19" t="s">
        <v>334</v>
      </c>
      <c r="G19">
        <v>1755092710.0999999</v>
      </c>
      <c r="H19">
        <f t="shared" si="0"/>
        <v>4.2365423878124525E-3</v>
      </c>
      <c r="I19">
        <f t="shared" si="1"/>
        <v>4.2365423878124524</v>
      </c>
      <c r="J19">
        <f t="shared" si="2"/>
        <v>12.39489225027876</v>
      </c>
      <c r="K19">
        <f t="shared" si="3"/>
        <v>170.29667557487923</v>
      </c>
      <c r="L19">
        <f t="shared" si="4"/>
        <v>143.40550502485073</v>
      </c>
      <c r="M19">
        <f t="shared" si="5"/>
        <v>14.55823783632747</v>
      </c>
      <c r="N19">
        <f t="shared" si="6"/>
        <v>17.288175271412122</v>
      </c>
      <c r="O19">
        <f t="shared" si="7"/>
        <v>0.90225418072178398</v>
      </c>
      <c r="P19">
        <f t="shared" si="8"/>
        <v>2.4154033040580032</v>
      </c>
      <c r="Q19">
        <f t="shared" si="9"/>
        <v>0.75934924857993202</v>
      </c>
      <c r="R19">
        <f t="shared" si="10"/>
        <v>0.48563890213008565</v>
      </c>
      <c r="S19">
        <f t="shared" si="11"/>
        <v>226.8733</v>
      </c>
      <c r="T19">
        <f t="shared" si="12"/>
        <v>27.262279102068</v>
      </c>
      <c r="U19">
        <f t="shared" si="13"/>
        <v>25.9375</v>
      </c>
      <c r="V19">
        <f t="shared" si="14"/>
        <v>3.3617994511452833</v>
      </c>
      <c r="W19">
        <f t="shared" si="15"/>
        <v>78.676093479953593</v>
      </c>
      <c r="X19">
        <f t="shared" si="16"/>
        <v>2.8126369749601006</v>
      </c>
      <c r="Y19">
        <f t="shared" si="17"/>
        <v>3.5749575894699843</v>
      </c>
      <c r="Z19">
        <f t="shared" si="18"/>
        <v>0.54916247618518277</v>
      </c>
      <c r="AA19">
        <f t="shared" si="19"/>
        <v>-186.83151930252916</v>
      </c>
      <c r="AB19">
        <f t="shared" si="20"/>
        <v>135.75353990283108</v>
      </c>
      <c r="AC19">
        <f t="shared" si="21"/>
        <v>12.063825675147555</v>
      </c>
      <c r="AD19">
        <f t="shared" si="22"/>
        <v>187.85914627544949</v>
      </c>
      <c r="AE19">
        <f t="shared" si="23"/>
        <v>12.39489225027876</v>
      </c>
      <c r="AF19">
        <f t="shared" si="24"/>
        <v>4.2365423878124524</v>
      </c>
      <c r="AG19">
        <f t="shared" si="25"/>
        <v>12.380707616847607</v>
      </c>
      <c r="AH19">
        <v>203.74328938219341</v>
      </c>
      <c r="AI19">
        <v>175.36592121212121</v>
      </c>
      <c r="AJ19">
        <v>-1.2517939459711971E-4</v>
      </c>
      <c r="AK19">
        <v>84.00632441925282</v>
      </c>
      <c r="AL19">
        <f t="shared" si="26"/>
        <v>4.235985040876395</v>
      </c>
      <c r="AM19">
        <v>18.43898147046734</v>
      </c>
      <c r="AN19">
        <v>27.705403157894722</v>
      </c>
      <c r="AO19">
        <v>-1.1931524582799569E-7</v>
      </c>
      <c r="AP19">
        <v>90.532748577824265</v>
      </c>
      <c r="AQ19">
        <v>8</v>
      </c>
      <c r="AR19">
        <v>2</v>
      </c>
      <c r="AS19">
        <f t="shared" si="27"/>
        <v>1.0002241472979572</v>
      </c>
      <c r="AT19">
        <f t="shared" si="28"/>
        <v>2.2414729795716681E-2</v>
      </c>
      <c r="AU19">
        <f t="shared" si="29"/>
        <v>53548.224212231748</v>
      </c>
      <c r="AV19">
        <f t="shared" si="30"/>
        <v>1194.07</v>
      </c>
      <c r="AW19">
        <f t="shared" si="31"/>
        <v>955.25599999999997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335</v>
      </c>
      <c r="BC19">
        <v>2</v>
      </c>
      <c r="BD19" t="b">
        <v>0</v>
      </c>
      <c r="BE19">
        <v>1755092710.0999999</v>
      </c>
      <c r="BF19">
        <v>170.505</v>
      </c>
      <c r="BG19">
        <v>200.011</v>
      </c>
      <c r="BH19">
        <v>27.7058</v>
      </c>
      <c r="BI19">
        <v>18.440300000000001</v>
      </c>
      <c r="BJ19">
        <v>168.571</v>
      </c>
      <c r="BK19">
        <v>27.469799999999999</v>
      </c>
      <c r="BL19">
        <v>400.02100000000002</v>
      </c>
      <c r="BM19">
        <v>101.41800000000001</v>
      </c>
      <c r="BN19">
        <v>9.9984500000000004E-2</v>
      </c>
      <c r="BO19">
        <v>26.98</v>
      </c>
      <c r="BP19">
        <v>25.9375</v>
      </c>
      <c r="BQ19">
        <v>999.9</v>
      </c>
      <c r="BR19">
        <v>0</v>
      </c>
      <c r="BS19">
        <v>0</v>
      </c>
      <c r="BT19">
        <v>9984</v>
      </c>
      <c r="BU19">
        <v>1194.07</v>
      </c>
      <c r="BV19">
        <v>19.954899999999999</v>
      </c>
      <c r="BW19">
        <v>-29.5063</v>
      </c>
      <c r="BX19">
        <v>175.363</v>
      </c>
      <c r="BY19">
        <v>203.76900000000001</v>
      </c>
      <c r="BZ19">
        <v>9.2654899999999998</v>
      </c>
      <c r="CA19">
        <v>200.011</v>
      </c>
      <c r="CB19">
        <v>18.440300000000001</v>
      </c>
      <c r="CC19">
        <v>2.8098800000000002</v>
      </c>
      <c r="CD19">
        <v>1.87019</v>
      </c>
      <c r="CE19">
        <v>22.942299999999999</v>
      </c>
      <c r="CF19">
        <v>16.386099999999999</v>
      </c>
      <c r="CG19">
        <v>1755092148.0999999</v>
      </c>
      <c r="CH19" t="s">
        <v>342</v>
      </c>
      <c r="CI19">
        <v>1755092148.0999999</v>
      </c>
      <c r="CJ19">
        <v>1755092146.5999999</v>
      </c>
      <c r="CK19">
        <v>5</v>
      </c>
      <c r="CL19">
        <v>5.1999999999999998E-2</v>
      </c>
      <c r="CM19">
        <v>0</v>
      </c>
      <c r="CN19">
        <v>4.2629999999999999</v>
      </c>
      <c r="CO19">
        <v>0.23599999999999999</v>
      </c>
      <c r="CP19">
        <v>450</v>
      </c>
      <c r="CQ19">
        <v>19</v>
      </c>
      <c r="CR19">
        <v>0.02</v>
      </c>
      <c r="CS19">
        <v>0.01</v>
      </c>
      <c r="CT19">
        <v>-29.4539731707317</v>
      </c>
      <c r="CU19">
        <v>-0.115971428571471</v>
      </c>
      <c r="CV19">
        <v>1.9602016128141501E-2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9.2596048780487799</v>
      </c>
      <c r="DC19">
        <v>5.1542299651567397E-2</v>
      </c>
      <c r="DD19">
        <v>5.1898442675781522E-3</v>
      </c>
      <c r="DE19">
        <v>1</v>
      </c>
      <c r="DF19">
        <v>2</v>
      </c>
      <c r="DG19">
        <v>2</v>
      </c>
      <c r="DH19" t="s">
        <v>343</v>
      </c>
      <c r="DI19">
        <v>3.0245199999999999</v>
      </c>
      <c r="DJ19">
        <v>2.6912699999999998</v>
      </c>
      <c r="DK19">
        <v>4.5317299999999998E-2</v>
      </c>
      <c r="DL19">
        <v>5.3065399999999999E-2</v>
      </c>
      <c r="DM19">
        <v>0.13247999999999999</v>
      </c>
      <c r="DN19">
        <v>0.100629</v>
      </c>
      <c r="DO19">
        <v>26606</v>
      </c>
      <c r="DP19">
        <v>17196.2</v>
      </c>
      <c r="DQ19">
        <v>26441.4</v>
      </c>
      <c r="DR19">
        <v>16491.2</v>
      </c>
      <c r="DS19">
        <v>32610.6</v>
      </c>
      <c r="DT19">
        <v>19376</v>
      </c>
      <c r="DU19">
        <v>38522.800000000003</v>
      </c>
      <c r="DV19">
        <v>21858.3</v>
      </c>
      <c r="DW19">
        <v>1.77688</v>
      </c>
      <c r="DX19">
        <v>2.1982200000000001</v>
      </c>
      <c r="DY19">
        <v>7.6788700000000001E-2</v>
      </c>
      <c r="DZ19">
        <v>0</v>
      </c>
      <c r="EA19">
        <v>24.6783</v>
      </c>
      <c r="EB19">
        <v>999.9</v>
      </c>
      <c r="EC19">
        <v>61.3</v>
      </c>
      <c r="ED19">
        <v>31.4</v>
      </c>
      <c r="EE19">
        <v>27.893899999999999</v>
      </c>
      <c r="EF19">
        <v>63.009900000000002</v>
      </c>
      <c r="EG19">
        <v>36.2179</v>
      </c>
      <c r="EH19">
        <v>1</v>
      </c>
      <c r="EI19">
        <v>1.72602E-2</v>
      </c>
      <c r="EJ19">
        <v>-0.18398700000000001</v>
      </c>
      <c r="EK19">
        <v>20.3428</v>
      </c>
      <c r="EL19">
        <v>5.2516699999999998</v>
      </c>
      <c r="EM19">
        <v>11.962</v>
      </c>
      <c r="EN19">
        <v>4.9897200000000002</v>
      </c>
      <c r="EO19">
        <v>3.29108</v>
      </c>
      <c r="EP19">
        <v>9999</v>
      </c>
      <c r="EQ19">
        <v>9999</v>
      </c>
      <c r="ER19">
        <v>9999</v>
      </c>
      <c r="ES19">
        <v>999.9</v>
      </c>
      <c r="ET19">
        <v>4.9726600000000003</v>
      </c>
      <c r="EU19">
        <v>1.8717999999999999</v>
      </c>
      <c r="EV19">
        <v>1.8721000000000001</v>
      </c>
      <c r="EW19">
        <v>1.87714</v>
      </c>
      <c r="EX19">
        <v>1.8712899999999999</v>
      </c>
      <c r="EY19">
        <v>1.87208</v>
      </c>
      <c r="EZ19">
        <v>1.8716900000000001</v>
      </c>
      <c r="FA19">
        <v>1.86863</v>
      </c>
      <c r="FB19">
        <v>0</v>
      </c>
      <c r="FC19">
        <v>0</v>
      </c>
      <c r="FD19">
        <v>0</v>
      </c>
      <c r="FE19">
        <v>0</v>
      </c>
      <c r="FF19" t="s">
        <v>336</v>
      </c>
      <c r="FG19" t="s">
        <v>337</v>
      </c>
      <c r="FH19" t="s">
        <v>338</v>
      </c>
      <c r="FI19" t="s">
        <v>338</v>
      </c>
      <c r="FJ19" t="s">
        <v>338</v>
      </c>
      <c r="FK19" t="s">
        <v>338</v>
      </c>
      <c r="FL19">
        <v>0</v>
      </c>
      <c r="FM19">
        <v>100</v>
      </c>
      <c r="FN19">
        <v>100</v>
      </c>
      <c r="FO19">
        <v>1.9339999999999999</v>
      </c>
      <c r="FP19">
        <v>0.23599999999999999</v>
      </c>
      <c r="FQ19">
        <v>0.68274929944455898</v>
      </c>
      <c r="FR19">
        <v>7.0338458001993282E-3</v>
      </c>
      <c r="FS19">
        <v>2.3387658340725169E-6</v>
      </c>
      <c r="FT19">
        <v>-2.2874075696057401E-10</v>
      </c>
      <c r="FU19">
        <v>0.23602380952380739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9.4</v>
      </c>
      <c r="GD19">
        <v>9.4</v>
      </c>
      <c r="GE19">
        <v>0.58471700000000004</v>
      </c>
      <c r="GF19">
        <v>2.65869</v>
      </c>
      <c r="GG19">
        <v>1.79932</v>
      </c>
      <c r="GH19">
        <v>2.3779300000000001</v>
      </c>
      <c r="GI19">
        <v>1.5979000000000001</v>
      </c>
      <c r="GJ19">
        <v>2.4548299999999998</v>
      </c>
      <c r="GK19">
        <v>34.440800000000003</v>
      </c>
      <c r="GL19">
        <v>24.157499999999999</v>
      </c>
      <c r="GM19">
        <v>18</v>
      </c>
      <c r="GN19">
        <v>351.60199999999998</v>
      </c>
      <c r="GO19">
        <v>674.36</v>
      </c>
      <c r="GP19">
        <v>25.83</v>
      </c>
      <c r="GQ19">
        <v>27.243600000000001</v>
      </c>
      <c r="GR19">
        <v>30.0001</v>
      </c>
      <c r="GS19">
        <v>27.177499999999998</v>
      </c>
      <c r="GT19">
        <v>27.208200000000001</v>
      </c>
      <c r="GU19">
        <v>11.6408</v>
      </c>
      <c r="GV19">
        <v>40.469200000000001</v>
      </c>
      <c r="GW19">
        <v>0</v>
      </c>
      <c r="GX19">
        <v>25.83</v>
      </c>
      <c r="GY19">
        <v>200</v>
      </c>
      <c r="GZ19">
        <v>18.5</v>
      </c>
      <c r="HA19">
        <v>100.48099999999999</v>
      </c>
      <c r="HB19">
        <v>68.221500000000006</v>
      </c>
    </row>
    <row r="20" spans="1:210" x14ac:dyDescent="0.3">
      <c r="A20">
        <v>4</v>
      </c>
      <c r="B20">
        <v>1755092890.5999999</v>
      </c>
      <c r="C20">
        <v>2325.599999904633</v>
      </c>
      <c r="D20" t="s">
        <v>348</v>
      </c>
      <c r="E20" t="s">
        <v>349</v>
      </c>
      <c r="F20" t="s">
        <v>334</v>
      </c>
      <c r="G20">
        <v>1755092890.5999999</v>
      </c>
      <c r="H20">
        <f t="shared" si="0"/>
        <v>4.2922199210310716E-3</v>
      </c>
      <c r="I20">
        <f t="shared" si="1"/>
        <v>4.2922199210310712</v>
      </c>
      <c r="J20">
        <f t="shared" si="2"/>
        <v>6.2223217672924989</v>
      </c>
      <c r="K20">
        <f t="shared" si="3"/>
        <v>109.88259385231271</v>
      </c>
      <c r="L20">
        <f t="shared" si="4"/>
        <v>96.62415925656444</v>
      </c>
      <c r="M20">
        <f t="shared" si="5"/>
        <v>9.8095835062510037</v>
      </c>
      <c r="N20">
        <f t="shared" si="6"/>
        <v>11.155620794749572</v>
      </c>
      <c r="O20">
        <f t="shared" si="7"/>
        <v>0.93916887132788507</v>
      </c>
      <c r="P20">
        <f t="shared" si="8"/>
        <v>2.4180941089540937</v>
      </c>
      <c r="Q20">
        <f t="shared" si="9"/>
        <v>0.78547723565848249</v>
      </c>
      <c r="R20">
        <f t="shared" si="10"/>
        <v>0.50273717601553769</v>
      </c>
      <c r="S20">
        <f t="shared" si="11"/>
        <v>226.78019999999998</v>
      </c>
      <c r="T20">
        <f t="shared" si="12"/>
        <v>27.248442327645197</v>
      </c>
      <c r="U20">
        <f t="shared" si="13"/>
        <v>25.9496</v>
      </c>
      <c r="V20">
        <f t="shared" si="14"/>
        <v>3.3642083698198006</v>
      </c>
      <c r="W20">
        <f t="shared" si="15"/>
        <v>79.039308302614202</v>
      </c>
      <c r="X20">
        <f t="shared" si="16"/>
        <v>2.8263521475735001</v>
      </c>
      <c r="Y20">
        <f t="shared" si="17"/>
        <v>3.5758816825071067</v>
      </c>
      <c r="Z20">
        <f t="shared" si="18"/>
        <v>0.53785622224630059</v>
      </c>
      <c r="AA20">
        <f t="shared" si="19"/>
        <v>-189.28689851747026</v>
      </c>
      <c r="AB20">
        <f t="shared" si="20"/>
        <v>134.90096688008046</v>
      </c>
      <c r="AC20">
        <f t="shared" si="21"/>
        <v>11.975710350727706</v>
      </c>
      <c r="AD20">
        <f t="shared" si="22"/>
        <v>184.36997871333787</v>
      </c>
      <c r="AE20">
        <f t="shared" si="23"/>
        <v>6.2223217672924989</v>
      </c>
      <c r="AF20">
        <f t="shared" si="24"/>
        <v>4.2922199210310712</v>
      </c>
      <c r="AG20">
        <f t="shared" si="25"/>
        <v>6.1915332691128935</v>
      </c>
      <c r="AH20">
        <v>127.32496293361631</v>
      </c>
      <c r="AI20">
        <v>113.1355939393939</v>
      </c>
      <c r="AJ20">
        <v>6.1315248045170305E-5</v>
      </c>
      <c r="AK20">
        <v>84.00632441925282</v>
      </c>
      <c r="AL20">
        <f t="shared" si="26"/>
        <v>4.2891083472684333</v>
      </c>
      <c r="AM20">
        <v>18.45916951823046</v>
      </c>
      <c r="AN20">
        <v>27.83832631578948</v>
      </c>
      <c r="AO20">
        <v>1.122811084830998E-6</v>
      </c>
      <c r="AP20">
        <v>90.532748577824265</v>
      </c>
      <c r="AQ20">
        <v>8</v>
      </c>
      <c r="AR20">
        <v>2</v>
      </c>
      <c r="AS20">
        <f t="shared" si="27"/>
        <v>1.0002237739436997</v>
      </c>
      <c r="AT20">
        <f t="shared" si="28"/>
        <v>2.2377394369965664E-2</v>
      </c>
      <c r="AU20">
        <f t="shared" si="29"/>
        <v>53637.546395608995</v>
      </c>
      <c r="AV20">
        <f t="shared" si="30"/>
        <v>1193.58</v>
      </c>
      <c r="AW20">
        <f t="shared" si="31"/>
        <v>954.86400000000003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335</v>
      </c>
      <c r="BC20">
        <v>2</v>
      </c>
      <c r="BD20" t="b">
        <v>0</v>
      </c>
      <c r="BE20">
        <v>1755092890.5999999</v>
      </c>
      <c r="BF20">
        <v>109.98699999999999</v>
      </c>
      <c r="BG20">
        <v>125.042</v>
      </c>
      <c r="BH20">
        <v>27.839500000000001</v>
      </c>
      <c r="BI20">
        <v>18.4557</v>
      </c>
      <c r="BJ20">
        <v>108.51300000000001</v>
      </c>
      <c r="BK20">
        <v>27.6035</v>
      </c>
      <c r="BL20">
        <v>400.11399999999998</v>
      </c>
      <c r="BM20">
        <v>101.423</v>
      </c>
      <c r="BN20">
        <v>0.100093</v>
      </c>
      <c r="BO20">
        <v>26.984400000000001</v>
      </c>
      <c r="BP20">
        <v>25.9496</v>
      </c>
      <c r="BQ20">
        <v>999.9</v>
      </c>
      <c r="BR20">
        <v>0</v>
      </c>
      <c r="BS20">
        <v>0</v>
      </c>
      <c r="BT20">
        <v>10001</v>
      </c>
      <c r="BU20">
        <v>1193.58</v>
      </c>
      <c r="BV20">
        <v>19.954899999999999</v>
      </c>
      <c r="BW20">
        <v>-15.055400000000001</v>
      </c>
      <c r="BX20">
        <v>113.136</v>
      </c>
      <c r="BY20">
        <v>127.393</v>
      </c>
      <c r="BZ20">
        <v>9.3838000000000008</v>
      </c>
      <c r="CA20">
        <v>125.042</v>
      </c>
      <c r="CB20">
        <v>18.4557</v>
      </c>
      <c r="CC20">
        <v>2.8235800000000002</v>
      </c>
      <c r="CD20">
        <v>1.8718399999999999</v>
      </c>
      <c r="CE20">
        <v>23.022600000000001</v>
      </c>
      <c r="CF20">
        <v>16.399999999999999</v>
      </c>
      <c r="CG20">
        <v>1755092148.0999999</v>
      </c>
      <c r="CH20" t="s">
        <v>342</v>
      </c>
      <c r="CI20">
        <v>1755092148.0999999</v>
      </c>
      <c r="CJ20">
        <v>1755092146.5999999</v>
      </c>
      <c r="CK20">
        <v>5</v>
      </c>
      <c r="CL20">
        <v>5.1999999999999998E-2</v>
      </c>
      <c r="CM20">
        <v>0</v>
      </c>
      <c r="CN20">
        <v>4.2629999999999999</v>
      </c>
      <c r="CO20">
        <v>0.23599999999999999</v>
      </c>
      <c r="CP20">
        <v>450</v>
      </c>
      <c r="CQ20">
        <v>19</v>
      </c>
      <c r="CR20">
        <v>0.02</v>
      </c>
      <c r="CS20">
        <v>0.01</v>
      </c>
      <c r="CT20">
        <v>-15.018675</v>
      </c>
      <c r="CU20">
        <v>-0.1087699812382435</v>
      </c>
      <c r="CV20">
        <v>2.3551855022481749E-2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9.3782192500000008</v>
      </c>
      <c r="DC20">
        <v>2.72644277673561E-2</v>
      </c>
      <c r="DD20">
        <v>2.918442553400753E-3</v>
      </c>
      <c r="DE20">
        <v>1</v>
      </c>
      <c r="DF20">
        <v>2</v>
      </c>
      <c r="DG20">
        <v>2</v>
      </c>
      <c r="DH20" t="s">
        <v>343</v>
      </c>
      <c r="DI20">
        <v>3.0246300000000002</v>
      </c>
      <c r="DJ20">
        <v>2.6913800000000001</v>
      </c>
      <c r="DK20">
        <v>2.9996599999999998E-2</v>
      </c>
      <c r="DL20">
        <v>3.4476800000000002E-2</v>
      </c>
      <c r="DM20">
        <v>0.13292599999999999</v>
      </c>
      <c r="DN20">
        <v>0.10069</v>
      </c>
      <c r="DO20">
        <v>27031.8</v>
      </c>
      <c r="DP20">
        <v>17533.099999999999</v>
      </c>
      <c r="DQ20">
        <v>26440.3</v>
      </c>
      <c r="DR20">
        <v>16490.599999999999</v>
      </c>
      <c r="DS20">
        <v>32592.400000000001</v>
      </c>
      <c r="DT20">
        <v>19373.599999999999</v>
      </c>
      <c r="DU20">
        <v>38522</v>
      </c>
      <c r="DV20">
        <v>21857.5</v>
      </c>
      <c r="DW20">
        <v>1.77704</v>
      </c>
      <c r="DX20">
        <v>2.1981000000000002</v>
      </c>
      <c r="DY20">
        <v>7.7268500000000004E-2</v>
      </c>
      <c r="DZ20">
        <v>0</v>
      </c>
      <c r="EA20">
        <v>24.682500000000001</v>
      </c>
      <c r="EB20">
        <v>999.9</v>
      </c>
      <c r="EC20">
        <v>61.2</v>
      </c>
      <c r="ED20">
        <v>31.4</v>
      </c>
      <c r="EE20">
        <v>27.846900000000002</v>
      </c>
      <c r="EF20">
        <v>62.74</v>
      </c>
      <c r="EG20">
        <v>35.977600000000002</v>
      </c>
      <c r="EH20">
        <v>1</v>
      </c>
      <c r="EI20">
        <v>1.78496E-2</v>
      </c>
      <c r="EJ20">
        <v>-0.17675399999999999</v>
      </c>
      <c r="EK20">
        <v>20.3428</v>
      </c>
      <c r="EL20">
        <v>5.2510700000000003</v>
      </c>
      <c r="EM20">
        <v>11.962</v>
      </c>
      <c r="EN20">
        <v>4.9897200000000002</v>
      </c>
      <c r="EO20">
        <v>3.2911999999999999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1.8717999999999999</v>
      </c>
      <c r="EV20">
        <v>1.8721000000000001</v>
      </c>
      <c r="EW20">
        <v>1.87714</v>
      </c>
      <c r="EX20">
        <v>1.87127</v>
      </c>
      <c r="EY20">
        <v>1.8720699999999999</v>
      </c>
      <c r="EZ20">
        <v>1.87165</v>
      </c>
      <c r="FA20">
        <v>1.86869</v>
      </c>
      <c r="FB20">
        <v>0</v>
      </c>
      <c r="FC20">
        <v>0</v>
      </c>
      <c r="FD20">
        <v>0</v>
      </c>
      <c r="FE20">
        <v>0</v>
      </c>
      <c r="FF20" t="s">
        <v>336</v>
      </c>
      <c r="FG20" t="s">
        <v>337</v>
      </c>
      <c r="FH20" t="s">
        <v>338</v>
      </c>
      <c r="FI20" t="s">
        <v>338</v>
      </c>
      <c r="FJ20" t="s">
        <v>338</v>
      </c>
      <c r="FK20" t="s">
        <v>338</v>
      </c>
      <c r="FL20">
        <v>0</v>
      </c>
      <c r="FM20">
        <v>100</v>
      </c>
      <c r="FN20">
        <v>100</v>
      </c>
      <c r="FO20">
        <v>1.474</v>
      </c>
      <c r="FP20">
        <v>0.23599999999999999</v>
      </c>
      <c r="FQ20">
        <v>0.68274929944455898</v>
      </c>
      <c r="FR20">
        <v>7.0338458001993282E-3</v>
      </c>
      <c r="FS20">
        <v>2.3387658340725169E-6</v>
      </c>
      <c r="FT20">
        <v>-2.2874075696057401E-10</v>
      </c>
      <c r="FU20">
        <v>0.23602380952380739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12.4</v>
      </c>
      <c r="GD20">
        <v>12.4</v>
      </c>
      <c r="GE20">
        <v>0.41870099999999999</v>
      </c>
      <c r="GF20">
        <v>2.65015</v>
      </c>
      <c r="GG20">
        <v>1.7981</v>
      </c>
      <c r="GH20">
        <v>2.3791500000000001</v>
      </c>
      <c r="GI20">
        <v>1.5979000000000001</v>
      </c>
      <c r="GJ20">
        <v>2.5158700000000001</v>
      </c>
      <c r="GK20">
        <v>34.440800000000003</v>
      </c>
      <c r="GL20">
        <v>24.1663</v>
      </c>
      <c r="GM20">
        <v>18</v>
      </c>
      <c r="GN20">
        <v>351.75400000000002</v>
      </c>
      <c r="GO20">
        <v>674.39599999999996</v>
      </c>
      <c r="GP20">
        <v>25.83</v>
      </c>
      <c r="GQ20">
        <v>27.252800000000001</v>
      </c>
      <c r="GR20">
        <v>30.0001</v>
      </c>
      <c r="GS20">
        <v>27.188800000000001</v>
      </c>
      <c r="GT20">
        <v>27.2193</v>
      </c>
      <c r="GU20">
        <v>8.3561899999999998</v>
      </c>
      <c r="GV20">
        <v>40.1967</v>
      </c>
      <c r="GW20">
        <v>0</v>
      </c>
      <c r="GX20">
        <v>25.83</v>
      </c>
      <c r="GY20">
        <v>125</v>
      </c>
      <c r="GZ20">
        <v>18.5</v>
      </c>
      <c r="HA20">
        <v>100.47799999999999</v>
      </c>
      <c r="HB20">
        <v>68.218999999999994</v>
      </c>
    </row>
    <row r="21" spans="1:210" x14ac:dyDescent="0.3">
      <c r="A21">
        <v>5</v>
      </c>
      <c r="B21">
        <v>1755093071.5</v>
      </c>
      <c r="C21">
        <v>2506.5</v>
      </c>
      <c r="D21" t="s">
        <v>350</v>
      </c>
      <c r="E21" t="s">
        <v>351</v>
      </c>
      <c r="F21" t="s">
        <v>334</v>
      </c>
      <c r="G21">
        <v>1755093071.5</v>
      </c>
      <c r="H21">
        <f t="shared" si="0"/>
        <v>4.3040846890499097E-3</v>
      </c>
      <c r="I21">
        <f t="shared" si="1"/>
        <v>4.30408468904991</v>
      </c>
      <c r="J21">
        <f t="shared" si="2"/>
        <v>1.9188552096596074</v>
      </c>
      <c r="K21">
        <f t="shared" si="3"/>
        <v>69.980394814652684</v>
      </c>
      <c r="L21">
        <f t="shared" si="4"/>
        <v>65.72736385130365</v>
      </c>
      <c r="M21">
        <f t="shared" si="5"/>
        <v>6.6729169814747014</v>
      </c>
      <c r="N21">
        <f t="shared" si="6"/>
        <v>7.1047024795554456</v>
      </c>
      <c r="O21">
        <f t="shared" si="7"/>
        <v>0.97670953816835127</v>
      </c>
      <c r="P21">
        <f t="shared" si="8"/>
        <v>2.4177248393404303</v>
      </c>
      <c r="Q21">
        <f t="shared" si="9"/>
        <v>0.81155148034677116</v>
      </c>
      <c r="R21">
        <f t="shared" si="10"/>
        <v>0.51984198371514934</v>
      </c>
      <c r="S21">
        <f t="shared" si="11"/>
        <v>226.70040000000003</v>
      </c>
      <c r="T21">
        <f t="shared" si="12"/>
        <v>27.251230451181968</v>
      </c>
      <c r="U21">
        <f t="shared" si="13"/>
        <v>25.939</v>
      </c>
      <c r="V21">
        <f t="shared" si="14"/>
        <v>3.3620979955977548</v>
      </c>
      <c r="W21">
        <f t="shared" si="15"/>
        <v>79.39135940542198</v>
      </c>
      <c r="X21">
        <f t="shared" si="16"/>
        <v>2.8401085901448</v>
      </c>
      <c r="Y21">
        <f t="shared" si="17"/>
        <v>3.577352260264782</v>
      </c>
      <c r="Z21">
        <f t="shared" si="18"/>
        <v>0.5219894054529548</v>
      </c>
      <c r="AA21">
        <f t="shared" si="19"/>
        <v>-189.81013478710102</v>
      </c>
      <c r="AB21">
        <f t="shared" si="20"/>
        <v>137.17442713113965</v>
      </c>
      <c r="AC21">
        <f t="shared" si="21"/>
        <v>12.179176269321841</v>
      </c>
      <c r="AD21">
        <f t="shared" si="22"/>
        <v>186.24386861336049</v>
      </c>
      <c r="AE21">
        <f t="shared" si="23"/>
        <v>1.9188552096596074</v>
      </c>
      <c r="AF21">
        <f t="shared" si="24"/>
        <v>4.30408468904991</v>
      </c>
      <c r="AG21">
        <f t="shared" si="25"/>
        <v>1.8922604040288242</v>
      </c>
      <c r="AH21">
        <v>76.372519021254547</v>
      </c>
      <c r="AI21">
        <v>72.035298181818177</v>
      </c>
      <c r="AJ21">
        <v>1.328302756773375E-5</v>
      </c>
      <c r="AK21">
        <v>84.00632441925282</v>
      </c>
      <c r="AL21">
        <f t="shared" si="26"/>
        <v>4.3048338152084638</v>
      </c>
      <c r="AM21">
        <v>18.561223919983671</v>
      </c>
      <c r="AN21">
        <v>27.97387654135337</v>
      </c>
      <c r="AO21">
        <v>6.5209631787268779E-6</v>
      </c>
      <c r="AP21">
        <v>90.532748577824265</v>
      </c>
      <c r="AQ21">
        <v>8</v>
      </c>
      <c r="AR21">
        <v>2</v>
      </c>
      <c r="AS21">
        <f t="shared" si="27"/>
        <v>1.0002238306374365</v>
      </c>
      <c r="AT21">
        <f t="shared" si="28"/>
        <v>2.2383063743647291E-2</v>
      </c>
      <c r="AU21">
        <f t="shared" si="29"/>
        <v>53623.963658912915</v>
      </c>
      <c r="AV21">
        <f t="shared" si="30"/>
        <v>1193.1600000000001</v>
      </c>
      <c r="AW21">
        <f t="shared" si="31"/>
        <v>954.52800000000013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335</v>
      </c>
      <c r="BC21">
        <v>2</v>
      </c>
      <c r="BD21" t="b">
        <v>0</v>
      </c>
      <c r="BE21">
        <v>1755093071.5</v>
      </c>
      <c r="BF21">
        <v>70.012600000000006</v>
      </c>
      <c r="BG21">
        <v>75.005899999999997</v>
      </c>
      <c r="BH21">
        <v>27.974699999999999</v>
      </c>
      <c r="BI21">
        <v>18.565799999999999</v>
      </c>
      <c r="BJ21">
        <v>68.834699999999998</v>
      </c>
      <c r="BK21">
        <v>27.738600000000002</v>
      </c>
      <c r="BL21">
        <v>400.09399999999999</v>
      </c>
      <c r="BM21">
        <v>101.42400000000001</v>
      </c>
      <c r="BN21">
        <v>0.100184</v>
      </c>
      <c r="BO21">
        <v>26.991399999999999</v>
      </c>
      <c r="BP21">
        <v>25.939</v>
      </c>
      <c r="BQ21">
        <v>999.9</v>
      </c>
      <c r="BR21">
        <v>0</v>
      </c>
      <c r="BS21">
        <v>0</v>
      </c>
      <c r="BT21">
        <v>9998.5</v>
      </c>
      <c r="BU21">
        <v>1193.1600000000001</v>
      </c>
      <c r="BV21">
        <v>19.954899999999999</v>
      </c>
      <c r="BW21">
        <v>-4.9933100000000001</v>
      </c>
      <c r="BX21">
        <v>72.027500000000003</v>
      </c>
      <c r="BY21">
        <v>76.424800000000005</v>
      </c>
      <c r="BZ21">
        <v>9.4088399999999996</v>
      </c>
      <c r="CA21">
        <v>75.005899999999997</v>
      </c>
      <c r="CB21">
        <v>18.565799999999999</v>
      </c>
      <c r="CC21">
        <v>2.8372999999999999</v>
      </c>
      <c r="CD21">
        <v>1.8830199999999999</v>
      </c>
      <c r="CE21">
        <v>23.102699999999999</v>
      </c>
      <c r="CF21">
        <v>16.493600000000001</v>
      </c>
      <c r="CG21">
        <v>1755092148.0999999</v>
      </c>
      <c r="CH21" t="s">
        <v>342</v>
      </c>
      <c r="CI21">
        <v>1755092148.0999999</v>
      </c>
      <c r="CJ21">
        <v>1755092146.5999999</v>
      </c>
      <c r="CK21">
        <v>5</v>
      </c>
      <c r="CL21">
        <v>5.1999999999999998E-2</v>
      </c>
      <c r="CM21">
        <v>0</v>
      </c>
      <c r="CN21">
        <v>4.2629999999999999</v>
      </c>
      <c r="CO21">
        <v>0.23599999999999999</v>
      </c>
      <c r="CP21">
        <v>450</v>
      </c>
      <c r="CQ21">
        <v>19</v>
      </c>
      <c r="CR21">
        <v>0.02</v>
      </c>
      <c r="CS21">
        <v>0.01</v>
      </c>
      <c r="CT21">
        <v>-4.9789426829268297</v>
      </c>
      <c r="CU21">
        <v>0.1000680666090866</v>
      </c>
      <c r="CV21">
        <v>2.223235721726444E-2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9.4501231707317075</v>
      </c>
      <c r="DC21">
        <v>-0.44483020361545739</v>
      </c>
      <c r="DD21">
        <v>4.7040328128471441E-2</v>
      </c>
      <c r="DE21">
        <v>0</v>
      </c>
      <c r="DF21">
        <v>1</v>
      </c>
      <c r="DG21">
        <v>2</v>
      </c>
      <c r="DH21" t="s">
        <v>339</v>
      </c>
      <c r="DI21">
        <v>3.0246200000000001</v>
      </c>
      <c r="DJ21">
        <v>2.6914699999999998</v>
      </c>
      <c r="DK21">
        <v>1.9256800000000001E-2</v>
      </c>
      <c r="DL21">
        <v>2.1037699999999999E-2</v>
      </c>
      <c r="DM21">
        <v>0.13337199999999999</v>
      </c>
      <c r="DN21">
        <v>0.101109</v>
      </c>
      <c r="DO21">
        <v>27331.200000000001</v>
      </c>
      <c r="DP21">
        <v>17776.7</v>
      </c>
      <c r="DQ21">
        <v>26440.5</v>
      </c>
      <c r="DR21">
        <v>16490.2</v>
      </c>
      <c r="DS21">
        <v>32575.1</v>
      </c>
      <c r="DT21">
        <v>19364</v>
      </c>
      <c r="DU21">
        <v>38522.199999999997</v>
      </c>
      <c r="DV21">
        <v>21857.1</v>
      </c>
      <c r="DW21">
        <v>1.77738</v>
      </c>
      <c r="DX21">
        <v>2.1981000000000002</v>
      </c>
      <c r="DY21">
        <v>7.7408599999999994E-2</v>
      </c>
      <c r="DZ21">
        <v>0</v>
      </c>
      <c r="EA21">
        <v>24.669499999999999</v>
      </c>
      <c r="EB21">
        <v>999.9</v>
      </c>
      <c r="EC21">
        <v>61.1</v>
      </c>
      <c r="ED21">
        <v>31.4</v>
      </c>
      <c r="EE21">
        <v>27.802499999999998</v>
      </c>
      <c r="EF21">
        <v>62.79</v>
      </c>
      <c r="EG21">
        <v>36.085700000000003</v>
      </c>
      <c r="EH21">
        <v>1</v>
      </c>
      <c r="EI21">
        <v>1.8156499999999999E-2</v>
      </c>
      <c r="EJ21">
        <v>-0.181118</v>
      </c>
      <c r="EK21">
        <v>20.342600000000001</v>
      </c>
      <c r="EL21">
        <v>5.2515499999999999</v>
      </c>
      <c r="EM21">
        <v>11.962</v>
      </c>
      <c r="EN21">
        <v>4.9897200000000002</v>
      </c>
      <c r="EO21">
        <v>3.2911000000000001</v>
      </c>
      <c r="EP21">
        <v>9999</v>
      </c>
      <c r="EQ21">
        <v>9999</v>
      </c>
      <c r="ER21">
        <v>9999</v>
      </c>
      <c r="ES21">
        <v>999.9</v>
      </c>
      <c r="ET21">
        <v>4.9726400000000002</v>
      </c>
      <c r="EU21">
        <v>1.87181</v>
      </c>
      <c r="EV21">
        <v>1.87209</v>
      </c>
      <c r="EW21">
        <v>1.87714</v>
      </c>
      <c r="EX21">
        <v>1.8712500000000001</v>
      </c>
      <c r="EY21">
        <v>1.87208</v>
      </c>
      <c r="EZ21">
        <v>1.8716699999999999</v>
      </c>
      <c r="FA21">
        <v>1.86863</v>
      </c>
      <c r="FB21">
        <v>0</v>
      </c>
      <c r="FC21">
        <v>0</v>
      </c>
      <c r="FD21">
        <v>0</v>
      </c>
      <c r="FE21">
        <v>0</v>
      </c>
      <c r="FF21" t="s">
        <v>336</v>
      </c>
      <c r="FG21" t="s">
        <v>337</v>
      </c>
      <c r="FH21" t="s">
        <v>338</v>
      </c>
      <c r="FI21" t="s">
        <v>338</v>
      </c>
      <c r="FJ21" t="s">
        <v>338</v>
      </c>
      <c r="FK21" t="s">
        <v>338</v>
      </c>
      <c r="FL21">
        <v>0</v>
      </c>
      <c r="FM21">
        <v>100</v>
      </c>
      <c r="FN21">
        <v>100</v>
      </c>
      <c r="FO21">
        <v>1.1779999999999999</v>
      </c>
      <c r="FP21">
        <v>0.2361</v>
      </c>
      <c r="FQ21">
        <v>0.68274929944455898</v>
      </c>
      <c r="FR21">
        <v>7.0338458001993282E-3</v>
      </c>
      <c r="FS21">
        <v>2.3387658340725169E-6</v>
      </c>
      <c r="FT21">
        <v>-2.2874075696057401E-10</v>
      </c>
      <c r="FU21">
        <v>0.23602380952380739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15.4</v>
      </c>
      <c r="GD21">
        <v>15.4</v>
      </c>
      <c r="GE21">
        <v>0.308838</v>
      </c>
      <c r="GF21">
        <v>2.6879900000000001</v>
      </c>
      <c r="GG21">
        <v>1.7981</v>
      </c>
      <c r="GH21">
        <v>2.3791500000000001</v>
      </c>
      <c r="GI21">
        <v>1.5979000000000001</v>
      </c>
      <c r="GJ21">
        <v>2.3999000000000001</v>
      </c>
      <c r="GK21">
        <v>34.440800000000003</v>
      </c>
      <c r="GL21">
        <v>24.157499999999999</v>
      </c>
      <c r="GM21">
        <v>18</v>
      </c>
      <c r="GN21">
        <v>351.96600000000001</v>
      </c>
      <c r="GO21">
        <v>674.50699999999995</v>
      </c>
      <c r="GP21">
        <v>25.829899999999999</v>
      </c>
      <c r="GQ21">
        <v>27.259699999999999</v>
      </c>
      <c r="GR21">
        <v>30</v>
      </c>
      <c r="GS21">
        <v>27.195699999999999</v>
      </c>
      <c r="GT21">
        <v>27.228100000000001</v>
      </c>
      <c r="GU21">
        <v>6.1458700000000004</v>
      </c>
      <c r="GV21">
        <v>39.643700000000003</v>
      </c>
      <c r="GW21">
        <v>0</v>
      </c>
      <c r="GX21">
        <v>25.83</v>
      </c>
      <c r="GY21">
        <v>75</v>
      </c>
      <c r="GZ21">
        <v>18.5</v>
      </c>
      <c r="HA21">
        <v>100.479</v>
      </c>
      <c r="HB21">
        <v>68.217600000000004</v>
      </c>
    </row>
    <row r="22" spans="1:210" x14ac:dyDescent="0.3">
      <c r="A22">
        <v>6</v>
      </c>
      <c r="B22">
        <v>1755093252</v>
      </c>
      <c r="C22">
        <v>2687</v>
      </c>
      <c r="D22" t="s">
        <v>352</v>
      </c>
      <c r="E22" t="s">
        <v>353</v>
      </c>
      <c r="F22" t="s">
        <v>334</v>
      </c>
      <c r="G22">
        <v>1755093252</v>
      </c>
      <c r="H22">
        <f t="shared" si="0"/>
        <v>4.3386040041996617E-3</v>
      </c>
      <c r="I22">
        <f t="shared" si="1"/>
        <v>4.3386040041996621</v>
      </c>
      <c r="J22">
        <f t="shared" si="2"/>
        <v>32.631680670739534</v>
      </c>
      <c r="K22">
        <f t="shared" si="3"/>
        <v>372.42211178605788</v>
      </c>
      <c r="L22">
        <f t="shared" si="4"/>
        <v>307.77193484730924</v>
      </c>
      <c r="M22">
        <f t="shared" si="5"/>
        <v>31.246489486217769</v>
      </c>
      <c r="N22">
        <f t="shared" si="6"/>
        <v>37.810086894801913</v>
      </c>
      <c r="O22">
        <f t="shared" si="7"/>
        <v>0.99384099154815775</v>
      </c>
      <c r="P22">
        <f t="shared" si="8"/>
        <v>2.4170478992317013</v>
      </c>
      <c r="Q22">
        <f t="shared" si="9"/>
        <v>0.82330764310537929</v>
      </c>
      <c r="R22">
        <f t="shared" si="10"/>
        <v>0.5275658720970221</v>
      </c>
      <c r="S22">
        <f t="shared" si="11"/>
        <v>226.60730000000001</v>
      </c>
      <c r="T22">
        <f t="shared" si="12"/>
        <v>27.230018534292828</v>
      </c>
      <c r="U22">
        <f t="shared" si="13"/>
        <v>25.927199999999999</v>
      </c>
      <c r="V22">
        <f t="shared" si="14"/>
        <v>3.3597500712077704</v>
      </c>
      <c r="W22">
        <f t="shared" si="15"/>
        <v>79.464727930946296</v>
      </c>
      <c r="X22">
        <f t="shared" si="16"/>
        <v>2.8410806426033401</v>
      </c>
      <c r="Y22">
        <f t="shared" si="17"/>
        <v>3.5752725977646311</v>
      </c>
      <c r="Z22">
        <f t="shared" si="18"/>
        <v>0.51866942860443022</v>
      </c>
      <c r="AA22">
        <f t="shared" si="19"/>
        <v>-191.33243658520507</v>
      </c>
      <c r="AB22">
        <f t="shared" si="20"/>
        <v>137.38360457182517</v>
      </c>
      <c r="AC22">
        <f t="shared" si="21"/>
        <v>12.199838516316598</v>
      </c>
      <c r="AD22">
        <f t="shared" si="22"/>
        <v>184.8583065029367</v>
      </c>
      <c r="AE22">
        <f t="shared" si="23"/>
        <v>32.631680670739534</v>
      </c>
      <c r="AF22">
        <f t="shared" si="24"/>
        <v>4.3386040041996621</v>
      </c>
      <c r="AG22">
        <f t="shared" si="25"/>
        <v>32.756830267326606</v>
      </c>
      <c r="AH22">
        <v>458.47694556087902</v>
      </c>
      <c r="AI22">
        <v>383.71234545454541</v>
      </c>
      <c r="AJ22">
        <v>-3.8708834579899758E-2</v>
      </c>
      <c r="AK22">
        <v>84.00632441925282</v>
      </c>
      <c r="AL22">
        <f t="shared" si="26"/>
        <v>4.3376308908671648</v>
      </c>
      <c r="AM22">
        <v>18.49650003127449</v>
      </c>
      <c r="AN22">
        <v>27.98345924812029</v>
      </c>
      <c r="AO22">
        <v>4.5322810879457102E-7</v>
      </c>
      <c r="AP22">
        <v>90.532748577824265</v>
      </c>
      <c r="AQ22">
        <v>8</v>
      </c>
      <c r="AR22">
        <v>2</v>
      </c>
      <c r="AS22">
        <f t="shared" si="27"/>
        <v>1.0002239177325285</v>
      </c>
      <c r="AT22">
        <f t="shared" si="28"/>
        <v>2.2391773252850022E-2</v>
      </c>
      <c r="AU22">
        <f t="shared" si="29"/>
        <v>53603.110737414645</v>
      </c>
      <c r="AV22">
        <f t="shared" si="30"/>
        <v>1192.67</v>
      </c>
      <c r="AW22">
        <f t="shared" si="31"/>
        <v>954.13600000000008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335</v>
      </c>
      <c r="BC22">
        <v>2</v>
      </c>
      <c r="BD22" t="b">
        <v>0</v>
      </c>
      <c r="BE22">
        <v>1755093252</v>
      </c>
      <c r="BF22">
        <v>372.97</v>
      </c>
      <c r="BG22">
        <v>450.01900000000001</v>
      </c>
      <c r="BH22">
        <v>27.984100000000002</v>
      </c>
      <c r="BI22">
        <v>18.497199999999999</v>
      </c>
      <c r="BJ22">
        <v>369.38200000000001</v>
      </c>
      <c r="BK22">
        <v>27.748100000000001</v>
      </c>
      <c r="BL22">
        <v>399.983</v>
      </c>
      <c r="BM22">
        <v>101.425</v>
      </c>
      <c r="BN22">
        <v>9.9817400000000001E-2</v>
      </c>
      <c r="BO22">
        <v>26.9815</v>
      </c>
      <c r="BP22">
        <v>25.927199999999999</v>
      </c>
      <c r="BQ22">
        <v>999.9</v>
      </c>
      <c r="BR22">
        <v>0</v>
      </c>
      <c r="BS22">
        <v>0</v>
      </c>
      <c r="BT22">
        <v>9994</v>
      </c>
      <c r="BU22">
        <v>1192.67</v>
      </c>
      <c r="BV22">
        <v>19.954899999999999</v>
      </c>
      <c r="BW22">
        <v>-77.0488</v>
      </c>
      <c r="BX22">
        <v>383.70800000000003</v>
      </c>
      <c r="BY22">
        <v>458.5</v>
      </c>
      <c r="BZ22">
        <v>9.4869500000000002</v>
      </c>
      <c r="CA22">
        <v>450.01900000000001</v>
      </c>
      <c r="CB22">
        <v>18.497199999999999</v>
      </c>
      <c r="CC22">
        <v>2.8382800000000001</v>
      </c>
      <c r="CD22">
        <v>1.8760699999999999</v>
      </c>
      <c r="CE22">
        <v>23.1084</v>
      </c>
      <c r="CF22">
        <v>16.435400000000001</v>
      </c>
      <c r="CG22">
        <v>1755092148.0999999</v>
      </c>
      <c r="CH22" t="s">
        <v>342</v>
      </c>
      <c r="CI22">
        <v>1755092148.0999999</v>
      </c>
      <c r="CJ22">
        <v>1755092146.5999999</v>
      </c>
      <c r="CK22">
        <v>5</v>
      </c>
      <c r="CL22">
        <v>5.1999999999999998E-2</v>
      </c>
      <c r="CM22">
        <v>0</v>
      </c>
      <c r="CN22">
        <v>4.2629999999999999</v>
      </c>
      <c r="CO22">
        <v>0.23599999999999999</v>
      </c>
      <c r="CP22">
        <v>450</v>
      </c>
      <c r="CQ22">
        <v>19</v>
      </c>
      <c r="CR22">
        <v>0.02</v>
      </c>
      <c r="CS22">
        <v>0.01</v>
      </c>
      <c r="CT22">
        <v>-76.601402439024397</v>
      </c>
      <c r="CU22">
        <v>-2.723680139372711</v>
      </c>
      <c r="CV22">
        <v>0.27107478266878449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9.4837382926829257</v>
      </c>
      <c r="DC22">
        <v>7.037351916375726E-3</v>
      </c>
      <c r="DD22">
        <v>1.5256952072928581E-3</v>
      </c>
      <c r="DE22">
        <v>1</v>
      </c>
      <c r="DF22">
        <v>1</v>
      </c>
      <c r="DG22">
        <v>2</v>
      </c>
      <c r="DH22" t="s">
        <v>339</v>
      </c>
      <c r="DI22">
        <v>3.0244800000000001</v>
      </c>
      <c r="DJ22">
        <v>2.6911100000000001</v>
      </c>
      <c r="DK22">
        <v>8.7995199999999996E-2</v>
      </c>
      <c r="DL22">
        <v>0.102688</v>
      </c>
      <c r="DM22">
        <v>0.13340199999999999</v>
      </c>
      <c r="DN22">
        <v>0.10084600000000001</v>
      </c>
      <c r="DO22">
        <v>25415.200000000001</v>
      </c>
      <c r="DP22">
        <v>16294</v>
      </c>
      <c r="DQ22">
        <v>26439.9</v>
      </c>
      <c r="DR22">
        <v>16490.2</v>
      </c>
      <c r="DS22">
        <v>32575</v>
      </c>
      <c r="DT22">
        <v>19370.7</v>
      </c>
      <c r="DU22">
        <v>38521.4</v>
      </c>
      <c r="DV22">
        <v>21856.799999999999</v>
      </c>
      <c r="DW22">
        <v>1.77746</v>
      </c>
      <c r="DX22">
        <v>2.1987800000000002</v>
      </c>
      <c r="DY22">
        <v>7.6663499999999996E-2</v>
      </c>
      <c r="DZ22">
        <v>0</v>
      </c>
      <c r="EA22">
        <v>24.67</v>
      </c>
      <c r="EB22">
        <v>999.9</v>
      </c>
      <c r="EC22">
        <v>61.1</v>
      </c>
      <c r="ED22">
        <v>31.4</v>
      </c>
      <c r="EE22">
        <v>27.805299999999999</v>
      </c>
      <c r="EF22">
        <v>62.81</v>
      </c>
      <c r="EG22">
        <v>36.185899999999997</v>
      </c>
      <c r="EH22">
        <v>1</v>
      </c>
      <c r="EI22">
        <v>1.87114E-2</v>
      </c>
      <c r="EJ22">
        <v>-0.177675</v>
      </c>
      <c r="EK22">
        <v>20.342199999999998</v>
      </c>
      <c r="EL22">
        <v>5.2495200000000004</v>
      </c>
      <c r="EM22">
        <v>11.962</v>
      </c>
      <c r="EN22">
        <v>4.9892399999999997</v>
      </c>
      <c r="EO22">
        <v>3.2907600000000001</v>
      </c>
      <c r="EP22">
        <v>9999</v>
      </c>
      <c r="EQ22">
        <v>9999</v>
      </c>
      <c r="ER22">
        <v>9999</v>
      </c>
      <c r="ES22">
        <v>999.9</v>
      </c>
      <c r="ET22">
        <v>4.9726400000000002</v>
      </c>
      <c r="EU22">
        <v>1.87181</v>
      </c>
      <c r="EV22">
        <v>1.87209</v>
      </c>
      <c r="EW22">
        <v>1.87714</v>
      </c>
      <c r="EX22">
        <v>1.8712500000000001</v>
      </c>
      <c r="EY22">
        <v>1.8720699999999999</v>
      </c>
      <c r="EZ22">
        <v>1.8716999999999999</v>
      </c>
      <c r="FA22">
        <v>1.86866</v>
      </c>
      <c r="FB22">
        <v>0</v>
      </c>
      <c r="FC22">
        <v>0</v>
      </c>
      <c r="FD22">
        <v>0</v>
      </c>
      <c r="FE22">
        <v>0</v>
      </c>
      <c r="FF22" t="s">
        <v>336</v>
      </c>
      <c r="FG22" t="s">
        <v>337</v>
      </c>
      <c r="FH22" t="s">
        <v>338</v>
      </c>
      <c r="FI22" t="s">
        <v>338</v>
      </c>
      <c r="FJ22" t="s">
        <v>338</v>
      </c>
      <c r="FK22" t="s">
        <v>338</v>
      </c>
      <c r="FL22">
        <v>0</v>
      </c>
      <c r="FM22">
        <v>100</v>
      </c>
      <c r="FN22">
        <v>100</v>
      </c>
      <c r="FO22">
        <v>3.5880000000000001</v>
      </c>
      <c r="FP22">
        <v>0.23599999999999999</v>
      </c>
      <c r="FQ22">
        <v>0.68274929944455898</v>
      </c>
      <c r="FR22">
        <v>7.0338458001993282E-3</v>
      </c>
      <c r="FS22">
        <v>2.3387658340725169E-6</v>
      </c>
      <c r="FT22">
        <v>-2.2874075696057401E-10</v>
      </c>
      <c r="FU22">
        <v>0.23602380952380739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18.399999999999999</v>
      </c>
      <c r="GD22">
        <v>18.399999999999999</v>
      </c>
      <c r="GE22">
        <v>1.09863</v>
      </c>
      <c r="GF22">
        <v>2.65625</v>
      </c>
      <c r="GG22">
        <v>1.7981</v>
      </c>
      <c r="GH22">
        <v>2.3791500000000001</v>
      </c>
      <c r="GI22">
        <v>1.5979000000000001</v>
      </c>
      <c r="GJ22">
        <v>2.4291999999999998</v>
      </c>
      <c r="GK22">
        <v>34.440800000000003</v>
      </c>
      <c r="GL22">
        <v>24.157499999999999</v>
      </c>
      <c r="GM22">
        <v>18</v>
      </c>
      <c r="GN22">
        <v>352.05500000000001</v>
      </c>
      <c r="GO22">
        <v>675.19399999999996</v>
      </c>
      <c r="GP22">
        <v>25.829899999999999</v>
      </c>
      <c r="GQ22">
        <v>27.2666</v>
      </c>
      <c r="GR22">
        <v>30.0001</v>
      </c>
      <c r="GS22">
        <v>27.203399999999998</v>
      </c>
      <c r="GT22">
        <v>27.235399999999998</v>
      </c>
      <c r="GU22">
        <v>21.935099999999998</v>
      </c>
      <c r="GV22">
        <v>40.189100000000003</v>
      </c>
      <c r="GW22">
        <v>0</v>
      </c>
      <c r="GX22">
        <v>25.83</v>
      </c>
      <c r="GY22">
        <v>450</v>
      </c>
      <c r="GZ22">
        <v>18.5</v>
      </c>
      <c r="HA22">
        <v>100.477</v>
      </c>
      <c r="HB22">
        <v>68.217100000000002</v>
      </c>
    </row>
    <row r="23" spans="1:210" x14ac:dyDescent="0.3">
      <c r="A23">
        <v>7</v>
      </c>
      <c r="B23">
        <v>1755093432.5</v>
      </c>
      <c r="C23">
        <v>2867.5</v>
      </c>
      <c r="D23" t="s">
        <v>354</v>
      </c>
      <c r="E23" t="s">
        <v>355</v>
      </c>
      <c r="F23" t="s">
        <v>334</v>
      </c>
      <c r="G23">
        <v>1755093432.5</v>
      </c>
      <c r="H23">
        <f t="shared" si="0"/>
        <v>4.3594586346785607E-3</v>
      </c>
      <c r="I23">
        <f t="shared" si="1"/>
        <v>4.3594586346785604</v>
      </c>
      <c r="J23">
        <f t="shared" si="2"/>
        <v>33.712631472372166</v>
      </c>
      <c r="K23">
        <f t="shared" si="3"/>
        <v>370.01196688734291</v>
      </c>
      <c r="L23">
        <f t="shared" si="4"/>
        <v>304.48050859700641</v>
      </c>
      <c r="M23">
        <f t="shared" si="5"/>
        <v>30.9109464873105</v>
      </c>
      <c r="N23">
        <f t="shared" si="6"/>
        <v>37.563718481753781</v>
      </c>
      <c r="O23">
        <f t="shared" si="7"/>
        <v>1.0143552308711203</v>
      </c>
      <c r="P23">
        <f t="shared" si="8"/>
        <v>2.4198931958579384</v>
      </c>
      <c r="Q23">
        <f t="shared" si="9"/>
        <v>0.83751153214776586</v>
      </c>
      <c r="R23">
        <f t="shared" si="10"/>
        <v>0.5368847789047041</v>
      </c>
      <c r="S23">
        <f t="shared" si="11"/>
        <v>226.5617</v>
      </c>
      <c r="T23">
        <f t="shared" si="12"/>
        <v>27.221857151142512</v>
      </c>
      <c r="U23">
        <f t="shared" si="13"/>
        <v>25.9224</v>
      </c>
      <c r="V23">
        <f t="shared" si="14"/>
        <v>3.3587953931703645</v>
      </c>
      <c r="W23">
        <f t="shared" si="15"/>
        <v>79.621642315247072</v>
      </c>
      <c r="X23">
        <f t="shared" si="16"/>
        <v>2.8465068268639997</v>
      </c>
      <c r="Y23">
        <f t="shared" si="17"/>
        <v>3.575041589312848</v>
      </c>
      <c r="Z23">
        <f t="shared" si="18"/>
        <v>0.51228856630636477</v>
      </c>
      <c r="AA23">
        <f t="shared" si="19"/>
        <v>-192.25212578932454</v>
      </c>
      <c r="AB23">
        <f t="shared" si="20"/>
        <v>138.02803632964856</v>
      </c>
      <c r="AC23">
        <f t="shared" si="21"/>
        <v>12.242291542318791</v>
      </c>
      <c r="AD23">
        <f t="shared" si="22"/>
        <v>184.5799020826428</v>
      </c>
      <c r="AE23">
        <f t="shared" si="23"/>
        <v>33.712631472372166</v>
      </c>
      <c r="AF23">
        <f t="shared" si="24"/>
        <v>4.3594586346785604</v>
      </c>
      <c r="AG23">
        <f t="shared" si="25"/>
        <v>33.68122914768233</v>
      </c>
      <c r="AH23">
        <v>458.47380959825102</v>
      </c>
      <c r="AI23">
        <v>381.26006060606051</v>
      </c>
      <c r="AJ23">
        <v>3.773515077642692E-3</v>
      </c>
      <c r="AK23">
        <v>84.00632441925282</v>
      </c>
      <c r="AL23">
        <f t="shared" si="26"/>
        <v>4.3595640721826072</v>
      </c>
      <c r="AM23">
        <v>18.50956901808334</v>
      </c>
      <c r="AN23">
        <v>28.03976075187968</v>
      </c>
      <c r="AO23">
        <v>2.2232792281126372E-6</v>
      </c>
      <c r="AP23">
        <v>90.532748577824265</v>
      </c>
      <c r="AQ23">
        <v>8</v>
      </c>
      <c r="AR23">
        <v>2</v>
      </c>
      <c r="AS23">
        <f t="shared" si="27"/>
        <v>1.0002235203381706</v>
      </c>
      <c r="AT23">
        <f t="shared" si="28"/>
        <v>2.2352033817063521E-2</v>
      </c>
      <c r="AU23">
        <f t="shared" si="29"/>
        <v>53698.389785429797</v>
      </c>
      <c r="AV23">
        <f t="shared" si="30"/>
        <v>1192.43</v>
      </c>
      <c r="AW23">
        <f t="shared" si="31"/>
        <v>953.94400000000007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335</v>
      </c>
      <c r="BC23">
        <v>2</v>
      </c>
      <c r="BD23" t="b">
        <v>0</v>
      </c>
      <c r="BE23">
        <v>1755093432.5</v>
      </c>
      <c r="BF23">
        <v>370.577</v>
      </c>
      <c r="BG23">
        <v>450.017</v>
      </c>
      <c r="BH23">
        <v>28.038799999999998</v>
      </c>
      <c r="BI23">
        <v>18.510999999999999</v>
      </c>
      <c r="BJ23">
        <v>367.00900000000001</v>
      </c>
      <c r="BK23">
        <v>27.802700000000002</v>
      </c>
      <c r="BL23">
        <v>400.15800000000002</v>
      </c>
      <c r="BM23">
        <v>101.42</v>
      </c>
      <c r="BN23">
        <v>0.10027999999999999</v>
      </c>
      <c r="BO23">
        <v>26.980399999999999</v>
      </c>
      <c r="BP23">
        <v>25.9224</v>
      </c>
      <c r="BQ23">
        <v>999.9</v>
      </c>
      <c r="BR23">
        <v>0</v>
      </c>
      <c r="BS23">
        <v>0</v>
      </c>
      <c r="BT23">
        <v>10013</v>
      </c>
      <c r="BU23">
        <v>1192.43</v>
      </c>
      <c r="BV23">
        <v>19.954899999999999</v>
      </c>
      <c r="BW23">
        <v>-79.439899999999994</v>
      </c>
      <c r="BX23">
        <v>381.267</v>
      </c>
      <c r="BY23">
        <v>458.50400000000002</v>
      </c>
      <c r="BZ23">
        <v>9.5277999999999992</v>
      </c>
      <c r="CA23">
        <v>450.017</v>
      </c>
      <c r="CB23">
        <v>18.510999999999999</v>
      </c>
      <c r="CC23">
        <v>2.8436900000000001</v>
      </c>
      <c r="CD23">
        <v>1.87738</v>
      </c>
      <c r="CE23">
        <v>23.139900000000001</v>
      </c>
      <c r="CF23">
        <v>16.446400000000001</v>
      </c>
      <c r="CG23">
        <v>1755092148.0999999</v>
      </c>
      <c r="CH23" t="s">
        <v>342</v>
      </c>
      <c r="CI23">
        <v>1755092148.0999999</v>
      </c>
      <c r="CJ23">
        <v>1755092146.5999999</v>
      </c>
      <c r="CK23">
        <v>5</v>
      </c>
      <c r="CL23">
        <v>5.1999999999999998E-2</v>
      </c>
      <c r="CM23">
        <v>0</v>
      </c>
      <c r="CN23">
        <v>4.2629999999999999</v>
      </c>
      <c r="CO23">
        <v>0.23599999999999999</v>
      </c>
      <c r="CP23">
        <v>450</v>
      </c>
      <c r="CQ23">
        <v>19</v>
      </c>
      <c r="CR23">
        <v>0.02</v>
      </c>
      <c r="CS23">
        <v>0.01</v>
      </c>
      <c r="CT23">
        <v>-79.359009756097549</v>
      </c>
      <c r="CU23">
        <v>-0.58925644599296201</v>
      </c>
      <c r="CV23">
        <v>6.6173551583761259E-2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9.5234051219512192</v>
      </c>
      <c r="DC23">
        <v>1.5983623693382892E-2</v>
      </c>
      <c r="DD23">
        <v>2.2856787666145459E-3</v>
      </c>
      <c r="DE23">
        <v>1</v>
      </c>
      <c r="DF23">
        <v>1</v>
      </c>
      <c r="DG23">
        <v>2</v>
      </c>
      <c r="DH23" t="s">
        <v>339</v>
      </c>
      <c r="DI23">
        <v>3.02468</v>
      </c>
      <c r="DJ23">
        <v>2.69157</v>
      </c>
      <c r="DK23">
        <v>8.7550000000000003E-2</v>
      </c>
      <c r="DL23">
        <v>0.10268099999999999</v>
      </c>
      <c r="DM23">
        <v>0.133573</v>
      </c>
      <c r="DN23">
        <v>0.100892</v>
      </c>
      <c r="DO23">
        <v>25427.1</v>
      </c>
      <c r="DP23">
        <v>16293.9</v>
      </c>
      <c r="DQ23">
        <v>26439.5</v>
      </c>
      <c r="DR23">
        <v>16489.900000000001</v>
      </c>
      <c r="DS23">
        <v>32567.8</v>
      </c>
      <c r="DT23">
        <v>19369.599999999999</v>
      </c>
      <c r="DU23">
        <v>38520.6</v>
      </c>
      <c r="DV23">
        <v>21856.7</v>
      </c>
      <c r="DW23">
        <v>1.778</v>
      </c>
      <c r="DX23">
        <v>2.1984599999999999</v>
      </c>
      <c r="DY23">
        <v>7.6496599999999998E-2</v>
      </c>
      <c r="DZ23">
        <v>0</v>
      </c>
      <c r="EA23">
        <v>24.667899999999999</v>
      </c>
      <c r="EB23">
        <v>999.9</v>
      </c>
      <c r="EC23">
        <v>61.1</v>
      </c>
      <c r="ED23">
        <v>31.4</v>
      </c>
      <c r="EE23">
        <v>27.800899999999999</v>
      </c>
      <c r="EF23">
        <v>62.69</v>
      </c>
      <c r="EG23">
        <v>36.157899999999998</v>
      </c>
      <c r="EH23">
        <v>1</v>
      </c>
      <c r="EI23">
        <v>1.9689000000000002E-2</v>
      </c>
      <c r="EJ23">
        <v>-0.17695</v>
      </c>
      <c r="EK23">
        <v>20.343</v>
      </c>
      <c r="EL23">
        <v>5.2519099999999996</v>
      </c>
      <c r="EM23">
        <v>11.962</v>
      </c>
      <c r="EN23">
        <v>4.9898400000000001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4.9726400000000002</v>
      </c>
      <c r="EU23">
        <v>1.87182</v>
      </c>
      <c r="EV23">
        <v>1.8721000000000001</v>
      </c>
      <c r="EW23">
        <v>1.87714</v>
      </c>
      <c r="EX23">
        <v>1.8712899999999999</v>
      </c>
      <c r="EY23">
        <v>1.8720000000000001</v>
      </c>
      <c r="EZ23">
        <v>1.8716900000000001</v>
      </c>
      <c r="FA23">
        <v>1.8686400000000001</v>
      </c>
      <c r="FB23">
        <v>0</v>
      </c>
      <c r="FC23">
        <v>0</v>
      </c>
      <c r="FD23">
        <v>0</v>
      </c>
      <c r="FE23">
        <v>0</v>
      </c>
      <c r="FF23" t="s">
        <v>336</v>
      </c>
      <c r="FG23" t="s">
        <v>337</v>
      </c>
      <c r="FH23" t="s">
        <v>338</v>
      </c>
      <c r="FI23" t="s">
        <v>338</v>
      </c>
      <c r="FJ23" t="s">
        <v>338</v>
      </c>
      <c r="FK23" t="s">
        <v>338</v>
      </c>
      <c r="FL23">
        <v>0</v>
      </c>
      <c r="FM23">
        <v>100</v>
      </c>
      <c r="FN23">
        <v>100</v>
      </c>
      <c r="FO23">
        <v>3.5680000000000001</v>
      </c>
      <c r="FP23">
        <v>0.2361</v>
      </c>
      <c r="FQ23">
        <v>0.68274929944455898</v>
      </c>
      <c r="FR23">
        <v>7.0338458001993282E-3</v>
      </c>
      <c r="FS23">
        <v>2.3387658340725169E-6</v>
      </c>
      <c r="FT23">
        <v>-2.2874075696057401E-10</v>
      </c>
      <c r="FU23">
        <v>0.23602380952380739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21.4</v>
      </c>
      <c r="GD23">
        <v>21.4</v>
      </c>
      <c r="GE23">
        <v>1.09741</v>
      </c>
      <c r="GF23">
        <v>2.6403799999999999</v>
      </c>
      <c r="GG23">
        <v>1.7981</v>
      </c>
      <c r="GH23">
        <v>2.3779300000000001</v>
      </c>
      <c r="GI23">
        <v>1.5979000000000001</v>
      </c>
      <c r="GJ23">
        <v>2.5610400000000002</v>
      </c>
      <c r="GK23">
        <v>34.440800000000003</v>
      </c>
      <c r="GL23">
        <v>24.1663</v>
      </c>
      <c r="GM23">
        <v>18</v>
      </c>
      <c r="GN23">
        <v>352.39</v>
      </c>
      <c r="GO23">
        <v>675.03200000000004</v>
      </c>
      <c r="GP23">
        <v>25.829899999999999</v>
      </c>
      <c r="GQ23">
        <v>27.2759</v>
      </c>
      <c r="GR23">
        <v>30.0002</v>
      </c>
      <c r="GS23">
        <v>27.213899999999999</v>
      </c>
      <c r="GT23">
        <v>27.244599999999998</v>
      </c>
      <c r="GU23">
        <v>21.9328</v>
      </c>
      <c r="GV23">
        <v>40.189100000000003</v>
      </c>
      <c r="GW23">
        <v>0</v>
      </c>
      <c r="GX23">
        <v>25.83</v>
      </c>
      <c r="GY23">
        <v>450</v>
      </c>
      <c r="GZ23">
        <v>18.5</v>
      </c>
      <c r="HA23">
        <v>100.47499999999999</v>
      </c>
      <c r="HB23">
        <v>68.216300000000004</v>
      </c>
    </row>
    <row r="24" spans="1:210" x14ac:dyDescent="0.3">
      <c r="A24">
        <v>8</v>
      </c>
      <c r="B24">
        <v>1755093613</v>
      </c>
      <c r="C24">
        <v>3048</v>
      </c>
      <c r="D24" t="s">
        <v>356</v>
      </c>
      <c r="E24" t="s">
        <v>357</v>
      </c>
      <c r="F24" t="s">
        <v>334</v>
      </c>
      <c r="G24">
        <v>1755093613</v>
      </c>
      <c r="H24">
        <f t="shared" si="0"/>
        <v>4.3782739788177406E-3</v>
      </c>
      <c r="I24">
        <f t="shared" si="1"/>
        <v>4.3782739788177407</v>
      </c>
      <c r="J24">
        <f t="shared" si="2"/>
        <v>34.040513973812544</v>
      </c>
      <c r="K24">
        <f t="shared" si="3"/>
        <v>369.21855411703154</v>
      </c>
      <c r="L24">
        <f t="shared" si="4"/>
        <v>304.20827663593934</v>
      </c>
      <c r="M24">
        <f t="shared" si="5"/>
        <v>30.884789395663852</v>
      </c>
      <c r="N24">
        <f t="shared" si="6"/>
        <v>37.484967243421977</v>
      </c>
      <c r="O24">
        <f t="shared" si="7"/>
        <v>1.0356101674395963</v>
      </c>
      <c r="P24">
        <f t="shared" si="8"/>
        <v>2.417355518289225</v>
      </c>
      <c r="Q24">
        <f t="shared" si="9"/>
        <v>0.85179420679621576</v>
      </c>
      <c r="R24">
        <f t="shared" si="10"/>
        <v>0.54629420046704946</v>
      </c>
      <c r="S24">
        <f t="shared" si="11"/>
        <v>226.58449999999999</v>
      </c>
      <c r="T24">
        <f t="shared" si="12"/>
        <v>27.224303814207929</v>
      </c>
      <c r="U24">
        <f t="shared" si="13"/>
        <v>25.924600000000002</v>
      </c>
      <c r="V24">
        <f t="shared" si="14"/>
        <v>3.3592329245217103</v>
      </c>
      <c r="W24">
        <f t="shared" si="15"/>
        <v>79.776142768058037</v>
      </c>
      <c r="X24">
        <f t="shared" si="16"/>
        <v>2.8533540477104999</v>
      </c>
      <c r="Y24">
        <f t="shared" si="17"/>
        <v>3.5767009392850322</v>
      </c>
      <c r="Z24">
        <f t="shared" si="18"/>
        <v>0.50587887681121035</v>
      </c>
      <c r="AA24">
        <f t="shared" si="19"/>
        <v>-193.08188246586235</v>
      </c>
      <c r="AB24">
        <f t="shared" si="20"/>
        <v>138.6261394857263</v>
      </c>
      <c r="AC24">
        <f t="shared" si="21"/>
        <v>12.308870306691054</v>
      </c>
      <c r="AD24">
        <f t="shared" si="22"/>
        <v>184.437627326555</v>
      </c>
      <c r="AE24">
        <f t="shared" si="23"/>
        <v>34.040513973812544</v>
      </c>
      <c r="AF24">
        <f t="shared" si="24"/>
        <v>4.3782739788177407</v>
      </c>
      <c r="AG24">
        <f t="shared" si="25"/>
        <v>34.047288055906698</v>
      </c>
      <c r="AH24">
        <v>458.513195559868</v>
      </c>
      <c r="AI24">
        <v>380.47715757575759</v>
      </c>
      <c r="AJ24">
        <v>7.1289980344034802E-4</v>
      </c>
      <c r="AK24">
        <v>84.00632441925282</v>
      </c>
      <c r="AL24">
        <f t="shared" si="26"/>
        <v>4.3784600890103551</v>
      </c>
      <c r="AM24">
        <v>18.533379231301812</v>
      </c>
      <c r="AN24">
        <v>28.105195939849619</v>
      </c>
      <c r="AO24">
        <v>-9.1863180254812829E-7</v>
      </c>
      <c r="AP24">
        <v>90.532748577824265</v>
      </c>
      <c r="AQ24">
        <v>8</v>
      </c>
      <c r="AR24">
        <v>2</v>
      </c>
      <c r="AS24">
        <f t="shared" si="27"/>
        <v>1.0002238798229706</v>
      </c>
      <c r="AT24">
        <f t="shared" si="28"/>
        <v>2.2387982297056297E-2</v>
      </c>
      <c r="AU24">
        <f t="shared" si="29"/>
        <v>53612.185317157528</v>
      </c>
      <c r="AV24">
        <f t="shared" si="30"/>
        <v>1192.55</v>
      </c>
      <c r="AW24">
        <f t="shared" si="31"/>
        <v>954.04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335</v>
      </c>
      <c r="BC24">
        <v>2</v>
      </c>
      <c r="BD24" t="b">
        <v>0</v>
      </c>
      <c r="BE24">
        <v>1755093613</v>
      </c>
      <c r="BF24">
        <v>369.79</v>
      </c>
      <c r="BG24">
        <v>449.983</v>
      </c>
      <c r="BH24">
        <v>28.104900000000001</v>
      </c>
      <c r="BI24">
        <v>18.535699999999999</v>
      </c>
      <c r="BJ24">
        <v>366.22899999999998</v>
      </c>
      <c r="BK24">
        <v>27.8689</v>
      </c>
      <c r="BL24">
        <v>400.11900000000003</v>
      </c>
      <c r="BM24">
        <v>101.425</v>
      </c>
      <c r="BN24">
        <v>0.100145</v>
      </c>
      <c r="BO24">
        <v>26.988299999999999</v>
      </c>
      <c r="BP24">
        <v>25.924600000000002</v>
      </c>
      <c r="BQ24">
        <v>999.9</v>
      </c>
      <c r="BR24">
        <v>0</v>
      </c>
      <c r="BS24">
        <v>0</v>
      </c>
      <c r="BT24">
        <v>9996</v>
      </c>
      <c r="BU24">
        <v>1192.55</v>
      </c>
      <c r="BV24">
        <v>19.954899999999999</v>
      </c>
      <c r="BW24">
        <v>-80.192800000000005</v>
      </c>
      <c r="BX24">
        <v>380.483</v>
      </c>
      <c r="BY24">
        <v>458.48099999999999</v>
      </c>
      <c r="BZ24">
        <v>9.56921</v>
      </c>
      <c r="CA24">
        <v>449.983</v>
      </c>
      <c r="CB24">
        <v>18.535699999999999</v>
      </c>
      <c r="CC24">
        <v>2.85053</v>
      </c>
      <c r="CD24">
        <v>1.8799699999999999</v>
      </c>
      <c r="CE24">
        <v>23.179600000000001</v>
      </c>
      <c r="CF24">
        <v>16.4681</v>
      </c>
      <c r="CG24">
        <v>1755092148.0999999</v>
      </c>
      <c r="CH24" t="s">
        <v>342</v>
      </c>
      <c r="CI24">
        <v>1755092148.0999999</v>
      </c>
      <c r="CJ24">
        <v>1755092146.5999999</v>
      </c>
      <c r="CK24">
        <v>5</v>
      </c>
      <c r="CL24">
        <v>5.1999999999999998E-2</v>
      </c>
      <c r="CM24">
        <v>0</v>
      </c>
      <c r="CN24">
        <v>4.2629999999999999</v>
      </c>
      <c r="CO24">
        <v>0.23599999999999999</v>
      </c>
      <c r="CP24">
        <v>450</v>
      </c>
      <c r="CQ24">
        <v>19</v>
      </c>
      <c r="CR24">
        <v>0.02</v>
      </c>
      <c r="CS24">
        <v>0.01</v>
      </c>
      <c r="CT24">
        <v>-80.20141000000001</v>
      </c>
      <c r="CU24">
        <v>-0.10623714821738529</v>
      </c>
      <c r="CV24">
        <v>5.0244496216003139E-2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9.5683809999999987</v>
      </c>
      <c r="DC24">
        <v>1.4012757973719149E-2</v>
      </c>
      <c r="DD24">
        <v>2.9260090567186439E-3</v>
      </c>
      <c r="DE24">
        <v>1</v>
      </c>
      <c r="DF24">
        <v>2</v>
      </c>
      <c r="DG24">
        <v>2</v>
      </c>
      <c r="DH24" t="s">
        <v>343</v>
      </c>
      <c r="DI24">
        <v>3.0246400000000002</v>
      </c>
      <c r="DJ24">
        <v>2.69143</v>
      </c>
      <c r="DK24">
        <v>8.7407299999999993E-2</v>
      </c>
      <c r="DL24">
        <v>0.102677</v>
      </c>
      <c r="DM24">
        <v>0.133794</v>
      </c>
      <c r="DN24">
        <v>0.10098799999999999</v>
      </c>
      <c r="DO24">
        <v>25430.1</v>
      </c>
      <c r="DP24">
        <v>16293.2</v>
      </c>
      <c r="DQ24">
        <v>26438.5</v>
      </c>
      <c r="DR24">
        <v>16489.2</v>
      </c>
      <c r="DS24">
        <v>32558.5</v>
      </c>
      <c r="DT24">
        <v>19366.7</v>
      </c>
      <c r="DU24">
        <v>38519.599999999999</v>
      </c>
      <c r="DV24">
        <v>21855.7</v>
      </c>
      <c r="DW24">
        <v>1.77806</v>
      </c>
      <c r="DX24">
        <v>2.1980400000000002</v>
      </c>
      <c r="DY24">
        <v>7.5375999999999999E-2</v>
      </c>
      <c r="DZ24">
        <v>0</v>
      </c>
      <c r="EA24">
        <v>24.688500000000001</v>
      </c>
      <c r="EB24">
        <v>999.9</v>
      </c>
      <c r="EC24">
        <v>61.1</v>
      </c>
      <c r="ED24">
        <v>31.4</v>
      </c>
      <c r="EE24">
        <v>27.8047</v>
      </c>
      <c r="EF24">
        <v>62.65</v>
      </c>
      <c r="EG24">
        <v>35.889400000000002</v>
      </c>
      <c r="EH24">
        <v>1</v>
      </c>
      <c r="EI24">
        <v>2.0743899999999999E-2</v>
      </c>
      <c r="EJ24">
        <v>-0.16906299999999999</v>
      </c>
      <c r="EK24">
        <v>20.3428</v>
      </c>
      <c r="EL24">
        <v>5.2526299999999999</v>
      </c>
      <c r="EM24">
        <v>11.962</v>
      </c>
      <c r="EN24">
        <v>4.9897999999999998</v>
      </c>
      <c r="EO24">
        <v>3.29162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1.8717999999999999</v>
      </c>
      <c r="EV24">
        <v>1.8721000000000001</v>
      </c>
      <c r="EW24">
        <v>1.87714</v>
      </c>
      <c r="EX24">
        <v>1.8713200000000001</v>
      </c>
      <c r="EY24">
        <v>1.87208</v>
      </c>
      <c r="EZ24">
        <v>1.8716999999999999</v>
      </c>
      <c r="FA24">
        <v>1.8686400000000001</v>
      </c>
      <c r="FB24">
        <v>0</v>
      </c>
      <c r="FC24">
        <v>0</v>
      </c>
      <c r="FD24">
        <v>0</v>
      </c>
      <c r="FE24">
        <v>0</v>
      </c>
      <c r="FF24" t="s">
        <v>336</v>
      </c>
      <c r="FG24" t="s">
        <v>337</v>
      </c>
      <c r="FH24" t="s">
        <v>338</v>
      </c>
      <c r="FI24" t="s">
        <v>338</v>
      </c>
      <c r="FJ24" t="s">
        <v>338</v>
      </c>
      <c r="FK24" t="s">
        <v>338</v>
      </c>
      <c r="FL24">
        <v>0</v>
      </c>
      <c r="FM24">
        <v>100</v>
      </c>
      <c r="FN24">
        <v>100</v>
      </c>
      <c r="FO24">
        <v>3.5609999999999999</v>
      </c>
      <c r="FP24">
        <v>0.23599999999999999</v>
      </c>
      <c r="FQ24">
        <v>0.68274929944455898</v>
      </c>
      <c r="FR24">
        <v>7.0338458001993282E-3</v>
      </c>
      <c r="FS24">
        <v>2.3387658340725169E-6</v>
      </c>
      <c r="FT24">
        <v>-2.2874075696057401E-10</v>
      </c>
      <c r="FU24">
        <v>0.23602380952380739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24.4</v>
      </c>
      <c r="GD24">
        <v>24.4</v>
      </c>
      <c r="GE24">
        <v>1.09741</v>
      </c>
      <c r="GF24">
        <v>2.65869</v>
      </c>
      <c r="GG24">
        <v>1.7981</v>
      </c>
      <c r="GH24">
        <v>2.3779300000000001</v>
      </c>
      <c r="GI24">
        <v>1.5979000000000001</v>
      </c>
      <c r="GJ24">
        <v>2.4023400000000001</v>
      </c>
      <c r="GK24">
        <v>34.440800000000003</v>
      </c>
      <c r="GL24">
        <v>24.157499999999999</v>
      </c>
      <c r="GM24">
        <v>18</v>
      </c>
      <c r="GN24">
        <v>352.49200000000002</v>
      </c>
      <c r="GO24">
        <v>674.81299999999999</v>
      </c>
      <c r="GP24">
        <v>25.83</v>
      </c>
      <c r="GQ24">
        <v>27.2898</v>
      </c>
      <c r="GR24">
        <v>30.0002</v>
      </c>
      <c r="GS24">
        <v>27.225300000000001</v>
      </c>
      <c r="GT24">
        <v>27.2562</v>
      </c>
      <c r="GU24">
        <v>21.934999999999999</v>
      </c>
      <c r="GV24">
        <v>40.189100000000003</v>
      </c>
      <c r="GW24">
        <v>0</v>
      </c>
      <c r="GX24">
        <v>25.83</v>
      </c>
      <c r="GY24">
        <v>450</v>
      </c>
      <c r="GZ24">
        <v>18.5</v>
      </c>
      <c r="HA24">
        <v>100.47199999999999</v>
      </c>
      <c r="HB24">
        <v>68.213300000000004</v>
      </c>
    </row>
    <row r="25" spans="1:210" x14ac:dyDescent="0.3">
      <c r="A25">
        <v>9</v>
      </c>
      <c r="B25">
        <v>1755093793.5</v>
      </c>
      <c r="C25">
        <v>3228.5</v>
      </c>
      <c r="D25" t="s">
        <v>358</v>
      </c>
      <c r="E25" t="s">
        <v>359</v>
      </c>
      <c r="F25" t="s">
        <v>334</v>
      </c>
      <c r="G25">
        <v>1755093793.5</v>
      </c>
      <c r="H25">
        <f t="shared" si="0"/>
        <v>4.370559118667532E-3</v>
      </c>
      <c r="I25">
        <f t="shared" si="1"/>
        <v>4.3705591186675319</v>
      </c>
      <c r="J25">
        <f t="shared" si="2"/>
        <v>41.13327291795634</v>
      </c>
      <c r="K25">
        <f t="shared" si="3"/>
        <v>501.79205908136998</v>
      </c>
      <c r="L25">
        <f t="shared" si="4"/>
        <v>422.55374582315216</v>
      </c>
      <c r="M25">
        <f t="shared" si="5"/>
        <v>42.901433061346573</v>
      </c>
      <c r="N25">
        <f t="shared" si="6"/>
        <v>50.946414855364743</v>
      </c>
      <c r="O25">
        <f t="shared" si="7"/>
        <v>1.0318888742422634</v>
      </c>
      <c r="P25">
        <f t="shared" si="8"/>
        <v>2.4163393285738142</v>
      </c>
      <c r="Q25">
        <f t="shared" si="9"/>
        <v>0.84921127284419162</v>
      </c>
      <c r="R25">
        <f t="shared" si="10"/>
        <v>0.54460052387213909</v>
      </c>
      <c r="S25">
        <f t="shared" si="11"/>
        <v>226.5617</v>
      </c>
      <c r="T25">
        <f t="shared" si="12"/>
        <v>27.222432664403708</v>
      </c>
      <c r="U25">
        <f t="shared" si="13"/>
        <v>25.927600000000002</v>
      </c>
      <c r="V25">
        <f t="shared" si="14"/>
        <v>3.3598296384080077</v>
      </c>
      <c r="W25">
        <f t="shared" si="15"/>
        <v>79.793980458417977</v>
      </c>
      <c r="X25">
        <f t="shared" si="16"/>
        <v>2.8532880504016003</v>
      </c>
      <c r="Y25">
        <f t="shared" si="17"/>
        <v>3.5758186695404897</v>
      </c>
      <c r="Z25">
        <f t="shared" si="18"/>
        <v>0.50654158800640747</v>
      </c>
      <c r="AA25">
        <f t="shared" si="19"/>
        <v>-192.74165713323816</v>
      </c>
      <c r="AB25">
        <f t="shared" si="20"/>
        <v>137.62992313440847</v>
      </c>
      <c r="AC25">
        <f t="shared" si="21"/>
        <v>12.225479701371633</v>
      </c>
      <c r="AD25">
        <f t="shared" si="22"/>
        <v>183.67544570254194</v>
      </c>
      <c r="AE25">
        <f t="shared" si="23"/>
        <v>41.13327291795634</v>
      </c>
      <c r="AF25">
        <f t="shared" si="24"/>
        <v>4.3705591186675319</v>
      </c>
      <c r="AG25">
        <f t="shared" si="25"/>
        <v>41.213631396733874</v>
      </c>
      <c r="AH25">
        <v>611.3673637911279</v>
      </c>
      <c r="AI25">
        <v>517.04850303030264</v>
      </c>
      <c r="AJ25">
        <v>-2.2225845134578152E-2</v>
      </c>
      <c r="AK25">
        <v>84.00632441925282</v>
      </c>
      <c r="AL25">
        <f t="shared" si="26"/>
        <v>4.3685963502589384</v>
      </c>
      <c r="AM25">
        <v>18.548025890019531</v>
      </c>
      <c r="AN25">
        <v>28.103743308270658</v>
      </c>
      <c r="AO25">
        <v>-1.4125905521111861E-6</v>
      </c>
      <c r="AP25">
        <v>90.532748577824265</v>
      </c>
      <c r="AQ25">
        <v>8</v>
      </c>
      <c r="AR25">
        <v>2</v>
      </c>
      <c r="AS25">
        <f t="shared" si="27"/>
        <v>1.000224018384817</v>
      </c>
      <c r="AT25">
        <f t="shared" si="28"/>
        <v>2.2401838481700409E-2</v>
      </c>
      <c r="AU25">
        <f t="shared" si="29"/>
        <v>53579.032053224058</v>
      </c>
      <c r="AV25">
        <f t="shared" si="30"/>
        <v>1192.43</v>
      </c>
      <c r="AW25">
        <f t="shared" si="31"/>
        <v>953.94400000000007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335</v>
      </c>
      <c r="BC25">
        <v>2</v>
      </c>
      <c r="BD25" t="b">
        <v>0</v>
      </c>
      <c r="BE25">
        <v>1755093793.5</v>
      </c>
      <c r="BF25">
        <v>502.483</v>
      </c>
      <c r="BG25">
        <v>599.98</v>
      </c>
      <c r="BH25">
        <v>28.103200000000001</v>
      </c>
      <c r="BI25">
        <v>18.545400000000001</v>
      </c>
      <c r="BJ25">
        <v>497.74700000000001</v>
      </c>
      <c r="BK25">
        <v>27.8672</v>
      </c>
      <c r="BL25">
        <v>399.89100000000002</v>
      </c>
      <c r="BM25">
        <v>101.429</v>
      </c>
      <c r="BN25">
        <v>9.9937999999999999E-2</v>
      </c>
      <c r="BO25">
        <v>26.984100000000002</v>
      </c>
      <c r="BP25">
        <v>25.927600000000002</v>
      </c>
      <c r="BQ25">
        <v>999.9</v>
      </c>
      <c r="BR25">
        <v>0</v>
      </c>
      <c r="BS25">
        <v>0</v>
      </c>
      <c r="BT25">
        <v>9989</v>
      </c>
      <c r="BU25">
        <v>1192.43</v>
      </c>
      <c r="BV25">
        <v>19.954899999999999</v>
      </c>
      <c r="BW25">
        <v>-97.497299999999996</v>
      </c>
      <c r="BX25">
        <v>517.01199999999994</v>
      </c>
      <c r="BY25">
        <v>611.31700000000001</v>
      </c>
      <c r="BZ25">
        <v>9.5578099999999999</v>
      </c>
      <c r="CA25">
        <v>599.98</v>
      </c>
      <c r="CB25">
        <v>18.545400000000001</v>
      </c>
      <c r="CC25">
        <v>2.8504700000000001</v>
      </c>
      <c r="CD25">
        <v>1.88104</v>
      </c>
      <c r="CE25">
        <v>23.179300000000001</v>
      </c>
      <c r="CF25">
        <v>16.477</v>
      </c>
      <c r="CG25">
        <v>1755092148.0999999</v>
      </c>
      <c r="CH25" t="s">
        <v>342</v>
      </c>
      <c r="CI25">
        <v>1755092148.0999999</v>
      </c>
      <c r="CJ25">
        <v>1755092146.5999999</v>
      </c>
      <c r="CK25">
        <v>5</v>
      </c>
      <c r="CL25">
        <v>5.1999999999999998E-2</v>
      </c>
      <c r="CM25">
        <v>0</v>
      </c>
      <c r="CN25">
        <v>4.2629999999999999</v>
      </c>
      <c r="CO25">
        <v>0.23599999999999999</v>
      </c>
      <c r="CP25">
        <v>450</v>
      </c>
      <c r="CQ25">
        <v>19</v>
      </c>
      <c r="CR25">
        <v>0.02</v>
      </c>
      <c r="CS25">
        <v>0.01</v>
      </c>
      <c r="CT25">
        <v>-97.231282926829266</v>
      </c>
      <c r="CU25">
        <v>-1.692587456446077</v>
      </c>
      <c r="CV25">
        <v>0.17039344414051791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9.5548402439024382</v>
      </c>
      <c r="DC25">
        <v>-1.7177560975603311E-2</v>
      </c>
      <c r="DD25">
        <v>2.4396955905724078E-3</v>
      </c>
      <c r="DE25">
        <v>1</v>
      </c>
      <c r="DF25">
        <v>1</v>
      </c>
      <c r="DG25">
        <v>2</v>
      </c>
      <c r="DH25" t="s">
        <v>339</v>
      </c>
      <c r="DI25">
        <v>3.0243799999999998</v>
      </c>
      <c r="DJ25">
        <v>2.69123</v>
      </c>
      <c r="DK25">
        <v>0.110046</v>
      </c>
      <c r="DL25">
        <v>0.12626299999999999</v>
      </c>
      <c r="DM25">
        <v>0.13378899999999999</v>
      </c>
      <c r="DN25">
        <v>0.101026</v>
      </c>
      <c r="DO25">
        <v>24798.3</v>
      </c>
      <c r="DP25">
        <v>15864.6</v>
      </c>
      <c r="DQ25">
        <v>26437.5</v>
      </c>
      <c r="DR25">
        <v>16488.8</v>
      </c>
      <c r="DS25">
        <v>32558</v>
      </c>
      <c r="DT25">
        <v>19365.599999999999</v>
      </c>
      <c r="DU25">
        <v>38518</v>
      </c>
      <c r="DV25">
        <v>21855</v>
      </c>
      <c r="DW25">
        <v>1.7773399999999999</v>
      </c>
      <c r="DX25">
        <v>2.1983600000000001</v>
      </c>
      <c r="DY25">
        <v>7.5349200000000005E-2</v>
      </c>
      <c r="DZ25">
        <v>0</v>
      </c>
      <c r="EA25">
        <v>24.692</v>
      </c>
      <c r="EB25">
        <v>999.9</v>
      </c>
      <c r="EC25">
        <v>61.2</v>
      </c>
      <c r="ED25">
        <v>31.4</v>
      </c>
      <c r="EE25">
        <v>27.846399999999999</v>
      </c>
      <c r="EF25">
        <v>62.68</v>
      </c>
      <c r="EG25">
        <v>36.181899999999999</v>
      </c>
      <c r="EH25">
        <v>1</v>
      </c>
      <c r="EI25">
        <v>2.1670700000000001E-2</v>
      </c>
      <c r="EJ25">
        <v>-0.167129</v>
      </c>
      <c r="EK25">
        <v>20.3428</v>
      </c>
      <c r="EL25">
        <v>5.2529899999999996</v>
      </c>
      <c r="EM25">
        <v>11.962</v>
      </c>
      <c r="EN25">
        <v>4.9896399999999996</v>
      </c>
      <c r="EO25">
        <v>3.2913199999999998</v>
      </c>
      <c r="EP25">
        <v>9999</v>
      </c>
      <c r="EQ25">
        <v>9999</v>
      </c>
      <c r="ER25">
        <v>9999</v>
      </c>
      <c r="ES25">
        <v>999.9</v>
      </c>
      <c r="ET25">
        <v>4.9726400000000002</v>
      </c>
      <c r="EU25">
        <v>1.87181</v>
      </c>
      <c r="EV25">
        <v>1.87208</v>
      </c>
      <c r="EW25">
        <v>1.87714</v>
      </c>
      <c r="EX25">
        <v>1.87127</v>
      </c>
      <c r="EY25">
        <v>1.87201</v>
      </c>
      <c r="EZ25">
        <v>1.8716600000000001</v>
      </c>
      <c r="FA25">
        <v>1.8686199999999999</v>
      </c>
      <c r="FB25">
        <v>0</v>
      </c>
      <c r="FC25">
        <v>0</v>
      </c>
      <c r="FD25">
        <v>0</v>
      </c>
      <c r="FE25">
        <v>0</v>
      </c>
      <c r="FF25" t="s">
        <v>336</v>
      </c>
      <c r="FG25" t="s">
        <v>337</v>
      </c>
      <c r="FH25" t="s">
        <v>338</v>
      </c>
      <c r="FI25" t="s">
        <v>338</v>
      </c>
      <c r="FJ25" t="s">
        <v>338</v>
      </c>
      <c r="FK25" t="s">
        <v>338</v>
      </c>
      <c r="FL25">
        <v>0</v>
      </c>
      <c r="FM25">
        <v>100</v>
      </c>
      <c r="FN25">
        <v>100</v>
      </c>
      <c r="FO25">
        <v>4.7359999999999998</v>
      </c>
      <c r="FP25">
        <v>0.23599999999999999</v>
      </c>
      <c r="FQ25">
        <v>0.68274929944455898</v>
      </c>
      <c r="FR25">
        <v>7.0338458001993282E-3</v>
      </c>
      <c r="FS25">
        <v>2.3387658340725169E-6</v>
      </c>
      <c r="FT25">
        <v>-2.2874075696057401E-10</v>
      </c>
      <c r="FU25">
        <v>0.23602380952380739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27.4</v>
      </c>
      <c r="GD25">
        <v>27.4</v>
      </c>
      <c r="GE25">
        <v>1.38306</v>
      </c>
      <c r="GF25">
        <v>2.6245099999999999</v>
      </c>
      <c r="GG25">
        <v>1.7981</v>
      </c>
      <c r="GH25">
        <v>2.3779300000000001</v>
      </c>
      <c r="GI25">
        <v>1.5979000000000001</v>
      </c>
      <c r="GJ25">
        <v>2.5146500000000001</v>
      </c>
      <c r="GK25">
        <v>34.4636</v>
      </c>
      <c r="GL25">
        <v>24.1663</v>
      </c>
      <c r="GM25">
        <v>18</v>
      </c>
      <c r="GN25">
        <v>352.221</v>
      </c>
      <c r="GO25">
        <v>675.26900000000001</v>
      </c>
      <c r="GP25">
        <v>25.829899999999999</v>
      </c>
      <c r="GQ25">
        <v>27.303599999999999</v>
      </c>
      <c r="GR25">
        <v>30.0002</v>
      </c>
      <c r="GS25">
        <v>27.239000000000001</v>
      </c>
      <c r="GT25">
        <v>27.270199999999999</v>
      </c>
      <c r="GU25">
        <v>27.651700000000002</v>
      </c>
      <c r="GV25">
        <v>40.459600000000002</v>
      </c>
      <c r="GW25">
        <v>0</v>
      </c>
      <c r="GX25">
        <v>25.83</v>
      </c>
      <c r="GY25">
        <v>600</v>
      </c>
      <c r="GZ25">
        <v>18.5</v>
      </c>
      <c r="HA25">
        <v>100.468</v>
      </c>
      <c r="HB25">
        <v>68.211399999999998</v>
      </c>
    </row>
    <row r="26" spans="1:210" x14ac:dyDescent="0.3">
      <c r="A26">
        <v>10</v>
      </c>
      <c r="B26">
        <v>1755093974</v>
      </c>
      <c r="C26">
        <v>3409</v>
      </c>
      <c r="D26" t="s">
        <v>360</v>
      </c>
      <c r="E26" t="s">
        <v>361</v>
      </c>
      <c r="F26" t="s">
        <v>334</v>
      </c>
      <c r="G26">
        <v>1755093974</v>
      </c>
      <c r="H26">
        <f t="shared" si="0"/>
        <v>4.3351855916539048E-3</v>
      </c>
      <c r="I26">
        <f t="shared" si="1"/>
        <v>4.3351855916539046</v>
      </c>
      <c r="J26">
        <f t="shared" si="2"/>
        <v>46.72444300992187</v>
      </c>
      <c r="K26">
        <f t="shared" si="3"/>
        <v>786.4925628000866</v>
      </c>
      <c r="L26">
        <f t="shared" si="4"/>
        <v>692.12201543252536</v>
      </c>
      <c r="M26">
        <f t="shared" si="5"/>
        <v>70.269912789066765</v>
      </c>
      <c r="N26">
        <f t="shared" si="6"/>
        <v>79.851186011868194</v>
      </c>
      <c r="O26">
        <f t="shared" si="7"/>
        <v>0.99703715802046167</v>
      </c>
      <c r="P26">
        <f t="shared" si="8"/>
        <v>2.4192460951618435</v>
      </c>
      <c r="Q26">
        <f t="shared" si="9"/>
        <v>0.82562932365404418</v>
      </c>
      <c r="R26">
        <f t="shared" si="10"/>
        <v>0.5290790263516707</v>
      </c>
      <c r="S26">
        <f t="shared" si="11"/>
        <v>226.52370000000002</v>
      </c>
      <c r="T26">
        <f t="shared" si="12"/>
        <v>27.232683429810869</v>
      </c>
      <c r="U26">
        <f t="shared" si="13"/>
        <v>25.931000000000001</v>
      </c>
      <c r="V26">
        <f t="shared" si="14"/>
        <v>3.3605060260639332</v>
      </c>
      <c r="W26">
        <f t="shared" si="15"/>
        <v>79.526600522433881</v>
      </c>
      <c r="X26">
        <f t="shared" si="16"/>
        <v>2.8436936211135002</v>
      </c>
      <c r="Y26">
        <f t="shared" si="17"/>
        <v>3.5757766614345785</v>
      </c>
      <c r="Z26">
        <f t="shared" si="18"/>
        <v>0.51681240495043301</v>
      </c>
      <c r="AA26">
        <f t="shared" si="19"/>
        <v>-191.1816845919372</v>
      </c>
      <c r="AB26">
        <f t="shared" si="20"/>
        <v>137.32595180338211</v>
      </c>
      <c r="AC26">
        <f t="shared" si="21"/>
        <v>12.184016692193461</v>
      </c>
      <c r="AD26">
        <f t="shared" si="22"/>
        <v>184.8519839036384</v>
      </c>
      <c r="AE26">
        <f t="shared" si="23"/>
        <v>46.72444300992187</v>
      </c>
      <c r="AF26">
        <f t="shared" si="24"/>
        <v>4.3351855916539046</v>
      </c>
      <c r="AG26">
        <f t="shared" si="25"/>
        <v>46.719356664003641</v>
      </c>
      <c r="AH26">
        <v>917.03678162567212</v>
      </c>
      <c r="AI26">
        <v>809.96595151515112</v>
      </c>
      <c r="AJ26">
        <v>-9.6102001815294436E-4</v>
      </c>
      <c r="AK26">
        <v>84.00632441925282</v>
      </c>
      <c r="AL26">
        <f t="shared" si="26"/>
        <v>4.3353267703268701</v>
      </c>
      <c r="AM26">
        <v>18.530452242096711</v>
      </c>
      <c r="AN26">
        <v>28.009564511278171</v>
      </c>
      <c r="AO26">
        <v>-2.6276671216535798E-7</v>
      </c>
      <c r="AP26">
        <v>90.532748577824265</v>
      </c>
      <c r="AQ26">
        <v>7</v>
      </c>
      <c r="AR26">
        <v>2</v>
      </c>
      <c r="AS26">
        <f t="shared" si="27"/>
        <v>1.0001956553869171</v>
      </c>
      <c r="AT26">
        <f t="shared" si="28"/>
        <v>1.9565538691712625E-2</v>
      </c>
      <c r="AU26">
        <f t="shared" si="29"/>
        <v>53676.285366049051</v>
      </c>
      <c r="AV26">
        <f t="shared" si="30"/>
        <v>1192.23</v>
      </c>
      <c r="AW26">
        <f t="shared" si="31"/>
        <v>953.78400000000011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335</v>
      </c>
      <c r="BC26">
        <v>2</v>
      </c>
      <c r="BD26" t="b">
        <v>0</v>
      </c>
      <c r="BE26">
        <v>1755093974</v>
      </c>
      <c r="BF26">
        <v>787.27599999999995</v>
      </c>
      <c r="BG26">
        <v>900.03899999999999</v>
      </c>
      <c r="BH26">
        <v>28.008900000000001</v>
      </c>
      <c r="BI26">
        <v>18.532</v>
      </c>
      <c r="BJ26">
        <v>779.79399999999998</v>
      </c>
      <c r="BK26">
        <v>27.7729</v>
      </c>
      <c r="BL26">
        <v>400.09100000000001</v>
      </c>
      <c r="BM26">
        <v>101.428</v>
      </c>
      <c r="BN26">
        <v>0.100215</v>
      </c>
      <c r="BO26">
        <v>26.983899999999998</v>
      </c>
      <c r="BP26">
        <v>25.931000000000001</v>
      </c>
      <c r="BQ26">
        <v>999.9</v>
      </c>
      <c r="BR26">
        <v>0</v>
      </c>
      <c r="BS26">
        <v>0</v>
      </c>
      <c r="BT26">
        <v>10008</v>
      </c>
      <c r="BU26">
        <v>1192.23</v>
      </c>
      <c r="BV26">
        <v>19.954899999999999</v>
      </c>
      <c r="BW26">
        <v>-112.76300000000001</v>
      </c>
      <c r="BX26">
        <v>809.96199999999999</v>
      </c>
      <c r="BY26">
        <v>917.03300000000002</v>
      </c>
      <c r="BZ26">
        <v>9.4768699999999999</v>
      </c>
      <c r="CA26">
        <v>900.03899999999999</v>
      </c>
      <c r="CB26">
        <v>18.532</v>
      </c>
      <c r="CC26">
        <v>2.8408899999999999</v>
      </c>
      <c r="CD26">
        <v>1.87967</v>
      </c>
      <c r="CE26">
        <v>23.1236</v>
      </c>
      <c r="CF26">
        <v>16.465499999999999</v>
      </c>
      <c r="CG26">
        <v>1755092148.0999999</v>
      </c>
      <c r="CH26" t="s">
        <v>342</v>
      </c>
      <c r="CI26">
        <v>1755092148.0999999</v>
      </c>
      <c r="CJ26">
        <v>1755092146.5999999</v>
      </c>
      <c r="CK26">
        <v>5</v>
      </c>
      <c r="CL26">
        <v>5.1999999999999998E-2</v>
      </c>
      <c r="CM26">
        <v>0</v>
      </c>
      <c r="CN26">
        <v>4.2629999999999999</v>
      </c>
      <c r="CO26">
        <v>0.23599999999999999</v>
      </c>
      <c r="CP26">
        <v>450</v>
      </c>
      <c r="CQ26">
        <v>19</v>
      </c>
      <c r="CR26">
        <v>0.02</v>
      </c>
      <c r="CS26">
        <v>0.01</v>
      </c>
      <c r="CT26">
        <v>-112.66975609756101</v>
      </c>
      <c r="CU26">
        <v>-0.40323344947736339</v>
      </c>
      <c r="CV26">
        <v>9.0864890449932817E-2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9.4867224390243905</v>
      </c>
      <c r="DC26">
        <v>-4.1290452961661402E-2</v>
      </c>
      <c r="DD26">
        <v>4.1847987278510607E-3</v>
      </c>
      <c r="DE26">
        <v>1</v>
      </c>
      <c r="DF26">
        <v>2</v>
      </c>
      <c r="DG26">
        <v>2</v>
      </c>
      <c r="DH26" t="s">
        <v>343</v>
      </c>
      <c r="DI26">
        <v>3.0246</v>
      </c>
      <c r="DJ26">
        <v>2.6915</v>
      </c>
      <c r="DK26">
        <v>0.150114</v>
      </c>
      <c r="DL26">
        <v>0.16569400000000001</v>
      </c>
      <c r="DM26">
        <v>0.13347400000000001</v>
      </c>
      <c r="DN26">
        <v>0.10097100000000001</v>
      </c>
      <c r="DO26">
        <v>23681.9</v>
      </c>
      <c r="DP26">
        <v>15148.4</v>
      </c>
      <c r="DQ26">
        <v>26437.4</v>
      </c>
      <c r="DR26">
        <v>16488.5</v>
      </c>
      <c r="DS26">
        <v>32570.799999999999</v>
      </c>
      <c r="DT26">
        <v>19367.400000000001</v>
      </c>
      <c r="DU26">
        <v>38517.4</v>
      </c>
      <c r="DV26">
        <v>21855</v>
      </c>
      <c r="DW26">
        <v>1.77796</v>
      </c>
      <c r="DX26">
        <v>2.1987399999999999</v>
      </c>
      <c r="DY26">
        <v>7.6347600000000002E-2</v>
      </c>
      <c r="DZ26">
        <v>0</v>
      </c>
      <c r="EA26">
        <v>24.678899999999999</v>
      </c>
      <c r="EB26">
        <v>999.9</v>
      </c>
      <c r="EC26">
        <v>61.2</v>
      </c>
      <c r="ED26">
        <v>31.4</v>
      </c>
      <c r="EE26">
        <v>27.847999999999999</v>
      </c>
      <c r="EF26">
        <v>62.850099999999998</v>
      </c>
      <c r="EG26">
        <v>36.113799999999998</v>
      </c>
      <c r="EH26">
        <v>1</v>
      </c>
      <c r="EI26">
        <v>2.25589E-2</v>
      </c>
      <c r="EJ26">
        <v>-0.16953799999999999</v>
      </c>
      <c r="EK26">
        <v>20.342700000000001</v>
      </c>
      <c r="EL26">
        <v>5.2517899999999997</v>
      </c>
      <c r="EM26">
        <v>11.962</v>
      </c>
      <c r="EN26">
        <v>4.99</v>
      </c>
      <c r="EO26">
        <v>3.2911999999999999</v>
      </c>
      <c r="EP26">
        <v>9999</v>
      </c>
      <c r="EQ26">
        <v>9999</v>
      </c>
      <c r="ER26">
        <v>9999</v>
      </c>
      <c r="ES26">
        <v>999.9</v>
      </c>
      <c r="ET26">
        <v>4.9726699999999999</v>
      </c>
      <c r="EU26">
        <v>1.87181</v>
      </c>
      <c r="EV26">
        <v>1.8721000000000001</v>
      </c>
      <c r="EW26">
        <v>1.87713</v>
      </c>
      <c r="EX26">
        <v>1.87131</v>
      </c>
      <c r="EY26">
        <v>1.87208</v>
      </c>
      <c r="EZ26">
        <v>1.87168</v>
      </c>
      <c r="FA26">
        <v>1.8686799999999999</v>
      </c>
      <c r="FB26">
        <v>0</v>
      </c>
      <c r="FC26">
        <v>0</v>
      </c>
      <c r="FD26">
        <v>0</v>
      </c>
      <c r="FE26">
        <v>0</v>
      </c>
      <c r="FF26" t="s">
        <v>336</v>
      </c>
      <c r="FG26" t="s">
        <v>337</v>
      </c>
      <c r="FH26" t="s">
        <v>338</v>
      </c>
      <c r="FI26" t="s">
        <v>338</v>
      </c>
      <c r="FJ26" t="s">
        <v>338</v>
      </c>
      <c r="FK26" t="s">
        <v>338</v>
      </c>
      <c r="FL26">
        <v>0</v>
      </c>
      <c r="FM26">
        <v>100</v>
      </c>
      <c r="FN26">
        <v>100</v>
      </c>
      <c r="FO26">
        <v>7.4820000000000002</v>
      </c>
      <c r="FP26">
        <v>0.23599999999999999</v>
      </c>
      <c r="FQ26">
        <v>0.68274929944455898</v>
      </c>
      <c r="FR26">
        <v>7.0338458001993282E-3</v>
      </c>
      <c r="FS26">
        <v>2.3387658340725169E-6</v>
      </c>
      <c r="FT26">
        <v>-2.2874075696057401E-10</v>
      </c>
      <c r="FU26">
        <v>0.23602380952380739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30.4</v>
      </c>
      <c r="GD26">
        <v>30.5</v>
      </c>
      <c r="GE26">
        <v>1.9238299999999999</v>
      </c>
      <c r="GF26">
        <v>2.6196299999999999</v>
      </c>
      <c r="GG26">
        <v>1.7981</v>
      </c>
      <c r="GH26">
        <v>2.3791500000000001</v>
      </c>
      <c r="GI26">
        <v>1.5979000000000001</v>
      </c>
      <c r="GJ26">
        <v>2.5146500000000001</v>
      </c>
      <c r="GK26">
        <v>34.5092</v>
      </c>
      <c r="GL26">
        <v>24.1663</v>
      </c>
      <c r="GM26">
        <v>18</v>
      </c>
      <c r="GN26">
        <v>352.60199999999998</v>
      </c>
      <c r="GO26">
        <v>675.77700000000004</v>
      </c>
      <c r="GP26">
        <v>25.83</v>
      </c>
      <c r="GQ26">
        <v>27.315200000000001</v>
      </c>
      <c r="GR26">
        <v>30</v>
      </c>
      <c r="GS26">
        <v>27.250399999999999</v>
      </c>
      <c r="GT26">
        <v>27.283999999999999</v>
      </c>
      <c r="GU26">
        <v>38.463799999999999</v>
      </c>
      <c r="GV26">
        <v>40.735799999999998</v>
      </c>
      <c r="GW26">
        <v>0</v>
      </c>
      <c r="GX26">
        <v>25.83</v>
      </c>
      <c r="GY26">
        <v>900</v>
      </c>
      <c r="GZ26">
        <v>18.5</v>
      </c>
      <c r="HA26">
        <v>100.46599999999999</v>
      </c>
      <c r="HB26">
        <v>68.210899999999995</v>
      </c>
    </row>
    <row r="27" spans="1:210" x14ac:dyDescent="0.3">
      <c r="A27">
        <v>11</v>
      </c>
      <c r="B27">
        <v>1755094154.5</v>
      </c>
      <c r="C27">
        <v>3589.5</v>
      </c>
      <c r="D27" t="s">
        <v>362</v>
      </c>
      <c r="E27" t="s">
        <v>363</v>
      </c>
      <c r="F27" t="s">
        <v>334</v>
      </c>
      <c r="G27">
        <v>1755094154.5</v>
      </c>
      <c r="H27">
        <f t="shared" si="0"/>
        <v>4.2115502187624722E-3</v>
      </c>
      <c r="I27">
        <f t="shared" si="1"/>
        <v>4.211550218762472</v>
      </c>
      <c r="J27">
        <f t="shared" si="2"/>
        <v>47.845265097946694</v>
      </c>
      <c r="K27">
        <f t="shared" si="3"/>
        <v>1081.3378561241263</v>
      </c>
      <c r="L27">
        <f t="shared" si="4"/>
        <v>974.7513595882449</v>
      </c>
      <c r="M27">
        <f t="shared" si="5"/>
        <v>98.95980704765141</v>
      </c>
      <c r="N27">
        <f t="shared" si="6"/>
        <v>109.78080157853526</v>
      </c>
      <c r="O27">
        <f t="shared" si="7"/>
        <v>0.91036089146806876</v>
      </c>
      <c r="P27">
        <f t="shared" si="8"/>
        <v>2.419477662251261</v>
      </c>
      <c r="Q27">
        <f t="shared" si="9"/>
        <v>0.76528988622126493</v>
      </c>
      <c r="R27">
        <f t="shared" si="10"/>
        <v>0.48950784843084549</v>
      </c>
      <c r="S27">
        <f t="shared" si="11"/>
        <v>226.53889999999998</v>
      </c>
      <c r="T27">
        <f t="shared" si="12"/>
        <v>27.281543312295888</v>
      </c>
      <c r="U27">
        <f t="shared" si="13"/>
        <v>25.9297</v>
      </c>
      <c r="V27">
        <f t="shared" si="14"/>
        <v>3.3602473932120742</v>
      </c>
      <c r="W27">
        <f t="shared" si="15"/>
        <v>78.77518726489275</v>
      </c>
      <c r="X27">
        <f t="shared" si="16"/>
        <v>2.8185459934127999</v>
      </c>
      <c r="Y27">
        <f t="shared" si="17"/>
        <v>3.5779616542643544</v>
      </c>
      <c r="Z27">
        <f t="shared" si="18"/>
        <v>0.54170139979927434</v>
      </c>
      <c r="AA27">
        <f t="shared" si="19"/>
        <v>-185.72936464742503</v>
      </c>
      <c r="AB27">
        <f t="shared" si="20"/>
        <v>138.86523135767274</v>
      </c>
      <c r="AC27">
        <f t="shared" si="21"/>
        <v>12.319969919936591</v>
      </c>
      <c r="AD27">
        <f t="shared" si="22"/>
        <v>191.99473663018429</v>
      </c>
      <c r="AE27">
        <f t="shared" si="23"/>
        <v>47.845265097946694</v>
      </c>
      <c r="AF27">
        <f t="shared" si="24"/>
        <v>4.211550218762472</v>
      </c>
      <c r="AG27">
        <f t="shared" si="25"/>
        <v>47.828393360486416</v>
      </c>
      <c r="AH27">
        <v>1222.622443446998</v>
      </c>
      <c r="AI27">
        <v>1113.0584242424241</v>
      </c>
      <c r="AJ27">
        <v>-5.2992968149436753E-3</v>
      </c>
      <c r="AK27">
        <v>84.00632441925282</v>
      </c>
      <c r="AL27">
        <f t="shared" si="26"/>
        <v>4.2119578060950751</v>
      </c>
      <c r="AM27">
        <v>18.553453968357449</v>
      </c>
      <c r="AN27">
        <v>27.763972481203009</v>
      </c>
      <c r="AO27">
        <v>-2.472097092264567E-6</v>
      </c>
      <c r="AP27">
        <v>90.532748577824265</v>
      </c>
      <c r="AQ27">
        <v>8</v>
      </c>
      <c r="AR27">
        <v>2</v>
      </c>
      <c r="AS27">
        <f t="shared" si="27"/>
        <v>1.000223588331884</v>
      </c>
      <c r="AT27">
        <f t="shared" si="28"/>
        <v>2.2358833188396154E-2</v>
      </c>
      <c r="AU27">
        <f t="shared" si="29"/>
        <v>53682.063633849066</v>
      </c>
      <c r="AV27">
        <f t="shared" si="30"/>
        <v>1192.31</v>
      </c>
      <c r="AW27">
        <f t="shared" si="31"/>
        <v>953.84799999999996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335</v>
      </c>
      <c r="BC27">
        <v>2</v>
      </c>
      <c r="BD27" t="b">
        <v>0</v>
      </c>
      <c r="BE27">
        <v>1755094154.5</v>
      </c>
      <c r="BF27">
        <v>1082.1400000000001</v>
      </c>
      <c r="BG27">
        <v>1199.98</v>
      </c>
      <c r="BH27">
        <v>27.762599999999999</v>
      </c>
      <c r="BI27">
        <v>18.555099999999999</v>
      </c>
      <c r="BJ27">
        <v>1071.52</v>
      </c>
      <c r="BK27">
        <v>27.526599999999998</v>
      </c>
      <c r="BL27">
        <v>400.14299999999997</v>
      </c>
      <c r="BM27">
        <v>101.423</v>
      </c>
      <c r="BN27">
        <v>0.10012799999999999</v>
      </c>
      <c r="BO27">
        <v>26.994299999999999</v>
      </c>
      <c r="BP27">
        <v>25.9297</v>
      </c>
      <c r="BQ27">
        <v>999.9</v>
      </c>
      <c r="BR27">
        <v>0</v>
      </c>
      <c r="BS27">
        <v>0</v>
      </c>
      <c r="BT27">
        <v>10010</v>
      </c>
      <c r="BU27">
        <v>1192.31</v>
      </c>
      <c r="BV27">
        <v>19.954899999999999</v>
      </c>
      <c r="BW27">
        <v>-117.846</v>
      </c>
      <c r="BX27">
        <v>1113.04</v>
      </c>
      <c r="BY27">
        <v>1222.67</v>
      </c>
      <c r="BZ27">
        <v>9.20749</v>
      </c>
      <c r="CA27">
        <v>1199.98</v>
      </c>
      <c r="CB27">
        <v>18.555099999999999</v>
      </c>
      <c r="CC27">
        <v>2.8157800000000002</v>
      </c>
      <c r="CD27">
        <v>1.8819300000000001</v>
      </c>
      <c r="CE27">
        <v>22.976900000000001</v>
      </c>
      <c r="CF27">
        <v>16.484400000000001</v>
      </c>
      <c r="CG27">
        <v>1755092148.0999999</v>
      </c>
      <c r="CH27" t="s">
        <v>342</v>
      </c>
      <c r="CI27">
        <v>1755092148.0999999</v>
      </c>
      <c r="CJ27">
        <v>1755092146.5999999</v>
      </c>
      <c r="CK27">
        <v>5</v>
      </c>
      <c r="CL27">
        <v>5.1999999999999998E-2</v>
      </c>
      <c r="CM27">
        <v>0</v>
      </c>
      <c r="CN27">
        <v>4.2629999999999999</v>
      </c>
      <c r="CO27">
        <v>0.23599999999999999</v>
      </c>
      <c r="CP27">
        <v>450</v>
      </c>
      <c r="CQ27">
        <v>19</v>
      </c>
      <c r="CR27">
        <v>0.02</v>
      </c>
      <c r="CS27">
        <v>0.01</v>
      </c>
      <c r="CT27">
        <v>-117.837525</v>
      </c>
      <c r="CU27">
        <v>0.20993245778613681</v>
      </c>
      <c r="CV27">
        <v>6.4942277254496097E-2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9.2306792499999997</v>
      </c>
      <c r="DC27">
        <v>-0.13117091932459379</v>
      </c>
      <c r="DD27">
        <v>1.269159552371177E-2</v>
      </c>
      <c r="DE27">
        <v>0</v>
      </c>
      <c r="DF27">
        <v>1</v>
      </c>
      <c r="DG27">
        <v>2</v>
      </c>
      <c r="DH27" t="s">
        <v>339</v>
      </c>
      <c r="DI27">
        <v>3.02467</v>
      </c>
      <c r="DJ27">
        <v>2.6914199999999999</v>
      </c>
      <c r="DK27">
        <v>0.18418799999999999</v>
      </c>
      <c r="DL27">
        <v>0.198661</v>
      </c>
      <c r="DM27">
        <v>0.13264899999999999</v>
      </c>
      <c r="DN27">
        <v>0.101052</v>
      </c>
      <c r="DO27">
        <v>22732.7</v>
      </c>
      <c r="DP27">
        <v>14549.2</v>
      </c>
      <c r="DQ27">
        <v>26437.7</v>
      </c>
      <c r="DR27">
        <v>16487.8</v>
      </c>
      <c r="DS27">
        <v>32604.1</v>
      </c>
      <c r="DT27">
        <v>19365.599999999999</v>
      </c>
      <c r="DU27">
        <v>38517.9</v>
      </c>
      <c r="DV27">
        <v>21854.400000000001</v>
      </c>
      <c r="DW27">
        <v>1.7775399999999999</v>
      </c>
      <c r="DX27">
        <v>2.1989399999999999</v>
      </c>
      <c r="DY27">
        <v>7.6285000000000006E-2</v>
      </c>
      <c r="DZ27">
        <v>0</v>
      </c>
      <c r="EA27">
        <v>24.678699999999999</v>
      </c>
      <c r="EB27">
        <v>999.9</v>
      </c>
      <c r="EC27">
        <v>61.2</v>
      </c>
      <c r="ED27">
        <v>31.4</v>
      </c>
      <c r="EE27">
        <v>27.849799999999998</v>
      </c>
      <c r="EF27">
        <v>62.520099999999999</v>
      </c>
      <c r="EG27">
        <v>36.197899999999997</v>
      </c>
      <c r="EH27">
        <v>1</v>
      </c>
      <c r="EI27">
        <v>2.35163E-2</v>
      </c>
      <c r="EJ27">
        <v>-0.164161</v>
      </c>
      <c r="EK27">
        <v>20.342099999999999</v>
      </c>
      <c r="EL27">
        <v>5.2493999999999996</v>
      </c>
      <c r="EM27">
        <v>11.962</v>
      </c>
      <c r="EN27">
        <v>4.9892399999999997</v>
      </c>
      <c r="EO27">
        <v>3.2907199999999999</v>
      </c>
      <c r="EP27">
        <v>9999</v>
      </c>
      <c r="EQ27">
        <v>9999</v>
      </c>
      <c r="ER27">
        <v>9999</v>
      </c>
      <c r="ES27">
        <v>999.9</v>
      </c>
      <c r="ET27">
        <v>4.9726600000000003</v>
      </c>
      <c r="EU27">
        <v>1.8717999999999999</v>
      </c>
      <c r="EV27">
        <v>1.8721000000000001</v>
      </c>
      <c r="EW27">
        <v>1.87714</v>
      </c>
      <c r="EX27">
        <v>1.8713200000000001</v>
      </c>
      <c r="EY27">
        <v>1.87205</v>
      </c>
      <c r="EZ27">
        <v>1.87168</v>
      </c>
      <c r="FA27">
        <v>1.8686</v>
      </c>
      <c r="FB27">
        <v>0</v>
      </c>
      <c r="FC27">
        <v>0</v>
      </c>
      <c r="FD27">
        <v>0</v>
      </c>
      <c r="FE27">
        <v>0</v>
      </c>
      <c r="FF27" t="s">
        <v>336</v>
      </c>
      <c r="FG27" t="s">
        <v>337</v>
      </c>
      <c r="FH27" t="s">
        <v>338</v>
      </c>
      <c r="FI27" t="s">
        <v>338</v>
      </c>
      <c r="FJ27" t="s">
        <v>338</v>
      </c>
      <c r="FK27" t="s">
        <v>338</v>
      </c>
      <c r="FL27">
        <v>0</v>
      </c>
      <c r="FM27">
        <v>100</v>
      </c>
      <c r="FN27">
        <v>100</v>
      </c>
      <c r="FO27">
        <v>10.62</v>
      </c>
      <c r="FP27">
        <v>0.23599999999999999</v>
      </c>
      <c r="FQ27">
        <v>0.68274929944455898</v>
      </c>
      <c r="FR27">
        <v>7.0338458001993282E-3</v>
      </c>
      <c r="FS27">
        <v>2.3387658340725169E-6</v>
      </c>
      <c r="FT27">
        <v>-2.2874075696057401E-10</v>
      </c>
      <c r="FU27">
        <v>0.23602380952380739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33.4</v>
      </c>
      <c r="GD27">
        <v>33.5</v>
      </c>
      <c r="GE27">
        <v>2.4352999999999998</v>
      </c>
      <c r="GF27">
        <v>2.6025399999999999</v>
      </c>
      <c r="GG27">
        <v>1.7981</v>
      </c>
      <c r="GH27">
        <v>2.3779300000000001</v>
      </c>
      <c r="GI27">
        <v>1.5979000000000001</v>
      </c>
      <c r="GJ27">
        <v>2.5598100000000001</v>
      </c>
      <c r="GK27">
        <v>34.5321</v>
      </c>
      <c r="GL27">
        <v>24.1663</v>
      </c>
      <c r="GM27">
        <v>18</v>
      </c>
      <c r="GN27">
        <v>352.47899999999998</v>
      </c>
      <c r="GO27">
        <v>676.11</v>
      </c>
      <c r="GP27">
        <v>25.829899999999999</v>
      </c>
      <c r="GQ27">
        <v>27.3279</v>
      </c>
      <c r="GR27">
        <v>30.0001</v>
      </c>
      <c r="GS27">
        <v>27.264199999999999</v>
      </c>
      <c r="GT27">
        <v>27.296500000000002</v>
      </c>
      <c r="GU27">
        <v>48.701000000000001</v>
      </c>
      <c r="GV27">
        <v>40.735799999999998</v>
      </c>
      <c r="GW27">
        <v>0</v>
      </c>
      <c r="GX27">
        <v>25.83</v>
      </c>
      <c r="GY27">
        <v>1200</v>
      </c>
      <c r="GZ27">
        <v>18.5</v>
      </c>
      <c r="HA27">
        <v>100.468</v>
      </c>
      <c r="HB27">
        <v>68.208399999999997</v>
      </c>
    </row>
    <row r="28" spans="1:210" x14ac:dyDescent="0.3">
      <c r="A28">
        <v>12</v>
      </c>
      <c r="B28">
        <v>1755094335</v>
      </c>
      <c r="C28">
        <v>3770</v>
      </c>
      <c r="D28" t="s">
        <v>364</v>
      </c>
      <c r="E28" t="s">
        <v>365</v>
      </c>
      <c r="F28" t="s">
        <v>334</v>
      </c>
      <c r="G28">
        <v>1755094335</v>
      </c>
      <c r="H28">
        <f t="shared" si="0"/>
        <v>3.9438886993095846E-3</v>
      </c>
      <c r="I28">
        <f t="shared" si="1"/>
        <v>3.9438886993095847</v>
      </c>
      <c r="J28">
        <f t="shared" si="2"/>
        <v>47.706010126079725</v>
      </c>
      <c r="K28">
        <f t="shared" si="3"/>
        <v>1478.8795015827764</v>
      </c>
      <c r="L28">
        <f t="shared" si="4"/>
        <v>1348.3983213599347</v>
      </c>
      <c r="M28">
        <f t="shared" si="5"/>
        <v>136.89319373025472</v>
      </c>
      <c r="N28">
        <f t="shared" si="6"/>
        <v>150.14001049014428</v>
      </c>
      <c r="O28">
        <f t="shared" si="7"/>
        <v>0.73958412440225707</v>
      </c>
      <c r="P28">
        <f t="shared" si="8"/>
        <v>2.4181709891863861</v>
      </c>
      <c r="Q28">
        <f t="shared" si="9"/>
        <v>0.6408201057895575</v>
      </c>
      <c r="R28">
        <f t="shared" si="10"/>
        <v>0.40834428814132279</v>
      </c>
      <c r="S28">
        <f t="shared" si="11"/>
        <v>226.49709999999999</v>
      </c>
      <c r="T28">
        <f t="shared" si="12"/>
        <v>27.378511539655932</v>
      </c>
      <c r="U28">
        <f t="shared" si="13"/>
        <v>25.945699999999999</v>
      </c>
      <c r="V28">
        <f t="shared" si="14"/>
        <v>3.3634317768852786</v>
      </c>
      <c r="W28">
        <f t="shared" si="15"/>
        <v>77.004309359649369</v>
      </c>
      <c r="X28">
        <f t="shared" si="16"/>
        <v>2.7574510340817699</v>
      </c>
      <c r="Y28">
        <f t="shared" si="17"/>
        <v>3.5809048311868734</v>
      </c>
      <c r="Z28">
        <f t="shared" si="18"/>
        <v>0.60598074280350867</v>
      </c>
      <c r="AA28">
        <f t="shared" si="19"/>
        <v>-173.92549163955269</v>
      </c>
      <c r="AB28">
        <f t="shared" si="20"/>
        <v>138.52949836051687</v>
      </c>
      <c r="AC28">
        <f t="shared" si="21"/>
        <v>12.298672913688156</v>
      </c>
      <c r="AD28">
        <f t="shared" si="22"/>
        <v>203.39977963465233</v>
      </c>
      <c r="AE28">
        <f t="shared" si="23"/>
        <v>47.706010126079725</v>
      </c>
      <c r="AF28">
        <f t="shared" si="24"/>
        <v>3.9438886993095847</v>
      </c>
      <c r="AG28">
        <f t="shared" si="25"/>
        <v>47.628981334494881</v>
      </c>
      <c r="AH28">
        <v>1630.4015073639951</v>
      </c>
      <c r="AI28">
        <v>1520.9983030303019</v>
      </c>
      <c r="AJ28">
        <v>2.5663983627890859E-2</v>
      </c>
      <c r="AK28">
        <v>84.00632441925282</v>
      </c>
      <c r="AL28">
        <f t="shared" si="26"/>
        <v>3.9392609857239504</v>
      </c>
      <c r="AM28">
        <v>18.52983311622668</v>
      </c>
      <c r="AN28">
        <v>27.16247864661652</v>
      </c>
      <c r="AO28">
        <v>-1.1310226465676941E-3</v>
      </c>
      <c r="AP28">
        <v>90.532748577824265</v>
      </c>
      <c r="AQ28">
        <v>8</v>
      </c>
      <c r="AR28">
        <v>2</v>
      </c>
      <c r="AS28">
        <f t="shared" si="27"/>
        <v>1.0002237810432351</v>
      </c>
      <c r="AT28">
        <f t="shared" si="28"/>
        <v>2.2378104323506065E-2</v>
      </c>
      <c r="AU28">
        <f t="shared" si="29"/>
        <v>53635.84510557833</v>
      </c>
      <c r="AV28">
        <f t="shared" si="30"/>
        <v>1192.0899999999999</v>
      </c>
      <c r="AW28">
        <f t="shared" si="31"/>
        <v>953.67200000000003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335</v>
      </c>
      <c r="BC28">
        <v>2</v>
      </c>
      <c r="BD28" t="b">
        <v>0</v>
      </c>
      <c r="BE28">
        <v>1755094335</v>
      </c>
      <c r="BF28">
        <v>1479.68</v>
      </c>
      <c r="BG28">
        <v>1600.12</v>
      </c>
      <c r="BH28">
        <v>27.160900000000002</v>
      </c>
      <c r="BI28">
        <v>18.5305</v>
      </c>
      <c r="BJ28">
        <v>1464.4</v>
      </c>
      <c r="BK28">
        <v>26.924900000000001</v>
      </c>
      <c r="BL28">
        <v>400.01600000000002</v>
      </c>
      <c r="BM28">
        <v>101.423</v>
      </c>
      <c r="BN28">
        <v>9.9815299999999996E-2</v>
      </c>
      <c r="BO28">
        <v>27.008299999999998</v>
      </c>
      <c r="BP28">
        <v>25.945699999999999</v>
      </c>
      <c r="BQ28">
        <v>999.9</v>
      </c>
      <c r="BR28">
        <v>0</v>
      </c>
      <c r="BS28">
        <v>0</v>
      </c>
      <c r="BT28">
        <v>10001.5</v>
      </c>
      <c r="BU28">
        <v>1192.0899999999999</v>
      </c>
      <c r="BV28">
        <v>19.954899999999999</v>
      </c>
      <c r="BW28">
        <v>-120.437</v>
      </c>
      <c r="BX28">
        <v>1520.99</v>
      </c>
      <c r="BY28">
        <v>1630.33</v>
      </c>
      <c r="BZ28">
        <v>8.6304400000000001</v>
      </c>
      <c r="CA28">
        <v>1600.12</v>
      </c>
      <c r="CB28">
        <v>18.5305</v>
      </c>
      <c r="CC28">
        <v>2.7547299999999999</v>
      </c>
      <c r="CD28">
        <v>1.87941</v>
      </c>
      <c r="CE28">
        <v>22.615300000000001</v>
      </c>
      <c r="CF28">
        <v>16.4634</v>
      </c>
      <c r="CG28">
        <v>1755092148.0999999</v>
      </c>
      <c r="CH28" t="s">
        <v>342</v>
      </c>
      <c r="CI28">
        <v>1755092148.0999999</v>
      </c>
      <c r="CJ28">
        <v>1755092146.5999999</v>
      </c>
      <c r="CK28">
        <v>5</v>
      </c>
      <c r="CL28">
        <v>5.1999999999999998E-2</v>
      </c>
      <c r="CM28">
        <v>0</v>
      </c>
      <c r="CN28">
        <v>4.2629999999999999</v>
      </c>
      <c r="CO28">
        <v>0.23599999999999999</v>
      </c>
      <c r="CP28">
        <v>450</v>
      </c>
      <c r="CQ28">
        <v>19</v>
      </c>
      <c r="CR28">
        <v>0.02</v>
      </c>
      <c r="CS28">
        <v>0.01</v>
      </c>
      <c r="CT28">
        <v>-120.4303658536585</v>
      </c>
      <c r="CU28">
        <v>-0.25321254355426159</v>
      </c>
      <c r="CV28">
        <v>0.1281005238079885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8.6779387804878052</v>
      </c>
      <c r="DC28">
        <v>-0.26620055749127652</v>
      </c>
      <c r="DD28">
        <v>2.627142658118034E-2</v>
      </c>
      <c r="DE28">
        <v>0</v>
      </c>
      <c r="DF28">
        <v>1</v>
      </c>
      <c r="DG28">
        <v>2</v>
      </c>
      <c r="DH28" t="s">
        <v>339</v>
      </c>
      <c r="DI28">
        <v>3.0245199999999999</v>
      </c>
      <c r="DJ28">
        <v>2.6911100000000001</v>
      </c>
      <c r="DK28">
        <v>0.222939</v>
      </c>
      <c r="DL28">
        <v>0.23622599999999999</v>
      </c>
      <c r="DM28">
        <v>0.13064100000000001</v>
      </c>
      <c r="DN28">
        <v>0.100954</v>
      </c>
      <c r="DO28">
        <v>21651.599999999999</v>
      </c>
      <c r="DP28">
        <v>13867.2</v>
      </c>
      <c r="DQ28">
        <v>26436.1</v>
      </c>
      <c r="DR28">
        <v>16487.7</v>
      </c>
      <c r="DS28">
        <v>32680.9</v>
      </c>
      <c r="DT28">
        <v>19368.7</v>
      </c>
      <c r="DU28">
        <v>38515.5</v>
      </c>
      <c r="DV28">
        <v>21854.799999999999</v>
      </c>
      <c r="DW28">
        <v>1.77658</v>
      </c>
      <c r="DX28">
        <v>2.19964</v>
      </c>
      <c r="DY28">
        <v>7.6147900000000004E-2</v>
      </c>
      <c r="DZ28">
        <v>0</v>
      </c>
      <c r="EA28">
        <v>24.696999999999999</v>
      </c>
      <c r="EB28">
        <v>999.9</v>
      </c>
      <c r="EC28">
        <v>61.2</v>
      </c>
      <c r="ED28">
        <v>31.4</v>
      </c>
      <c r="EE28">
        <v>27.848400000000002</v>
      </c>
      <c r="EF28">
        <v>62.660200000000003</v>
      </c>
      <c r="EG28">
        <v>36.009599999999999</v>
      </c>
      <c r="EH28">
        <v>1</v>
      </c>
      <c r="EI28">
        <v>2.4544699999999999E-2</v>
      </c>
      <c r="EJ28">
        <v>-0.15598899999999999</v>
      </c>
      <c r="EK28">
        <v>20.342700000000001</v>
      </c>
      <c r="EL28">
        <v>5.2513100000000001</v>
      </c>
      <c r="EM28">
        <v>11.962</v>
      </c>
      <c r="EN28">
        <v>4.9898800000000003</v>
      </c>
      <c r="EO28">
        <v>3.2910599999999999</v>
      </c>
      <c r="EP28">
        <v>9999</v>
      </c>
      <c r="EQ28">
        <v>9999</v>
      </c>
      <c r="ER28">
        <v>9999</v>
      </c>
      <c r="ES28">
        <v>999.9</v>
      </c>
      <c r="ET28">
        <v>4.9726600000000003</v>
      </c>
      <c r="EU28">
        <v>1.8717999999999999</v>
      </c>
      <c r="EV28">
        <v>1.8721000000000001</v>
      </c>
      <c r="EW28">
        <v>1.87714</v>
      </c>
      <c r="EX28">
        <v>1.8712899999999999</v>
      </c>
      <c r="EY28">
        <v>1.87208</v>
      </c>
      <c r="EZ28">
        <v>1.8716699999999999</v>
      </c>
      <c r="FA28">
        <v>1.8686799999999999</v>
      </c>
      <c r="FB28">
        <v>0</v>
      </c>
      <c r="FC28">
        <v>0</v>
      </c>
      <c r="FD28">
        <v>0</v>
      </c>
      <c r="FE28">
        <v>0</v>
      </c>
      <c r="FF28" t="s">
        <v>336</v>
      </c>
      <c r="FG28" t="s">
        <v>337</v>
      </c>
      <c r="FH28" t="s">
        <v>338</v>
      </c>
      <c r="FI28" t="s">
        <v>338</v>
      </c>
      <c r="FJ28" t="s">
        <v>338</v>
      </c>
      <c r="FK28" t="s">
        <v>338</v>
      </c>
      <c r="FL28">
        <v>0</v>
      </c>
      <c r="FM28">
        <v>100</v>
      </c>
      <c r="FN28">
        <v>100</v>
      </c>
      <c r="FO28">
        <v>15.28</v>
      </c>
      <c r="FP28">
        <v>0.23599999999999999</v>
      </c>
      <c r="FQ28">
        <v>0.68274929944455898</v>
      </c>
      <c r="FR28">
        <v>7.0338458001993282E-3</v>
      </c>
      <c r="FS28">
        <v>2.3387658340725169E-6</v>
      </c>
      <c r="FT28">
        <v>-2.2874075696057401E-10</v>
      </c>
      <c r="FU28">
        <v>0.23602380952380739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36.4</v>
      </c>
      <c r="GD28">
        <v>36.5</v>
      </c>
      <c r="GE28">
        <v>3.0822799999999999</v>
      </c>
      <c r="GF28">
        <v>2.6159699999999999</v>
      </c>
      <c r="GG28">
        <v>1.79932</v>
      </c>
      <c r="GH28">
        <v>2.3779300000000001</v>
      </c>
      <c r="GI28">
        <v>1.5979000000000001</v>
      </c>
      <c r="GJ28">
        <v>2.4157700000000002</v>
      </c>
      <c r="GK28">
        <v>34.5777</v>
      </c>
      <c r="GL28">
        <v>24.157499999999999</v>
      </c>
      <c r="GM28">
        <v>18</v>
      </c>
      <c r="GN28">
        <v>352.07400000000001</v>
      </c>
      <c r="GO28">
        <v>676.88800000000003</v>
      </c>
      <c r="GP28">
        <v>25.83</v>
      </c>
      <c r="GQ28">
        <v>27.340699999999998</v>
      </c>
      <c r="GR28">
        <v>30.0001</v>
      </c>
      <c r="GS28">
        <v>27.275600000000001</v>
      </c>
      <c r="GT28">
        <v>27.3094</v>
      </c>
      <c r="GU28">
        <v>61.608199999999997</v>
      </c>
      <c r="GV28">
        <v>41.007300000000001</v>
      </c>
      <c r="GW28">
        <v>0</v>
      </c>
      <c r="GX28">
        <v>25.83</v>
      </c>
      <c r="GY28">
        <v>1600</v>
      </c>
      <c r="GZ28">
        <v>18.5</v>
      </c>
      <c r="HA28">
        <v>100.462</v>
      </c>
      <c r="HB28">
        <v>68.209000000000003</v>
      </c>
    </row>
    <row r="29" spans="1:210" x14ac:dyDescent="0.3">
      <c r="A29">
        <v>13</v>
      </c>
      <c r="B29">
        <v>1755094515.5</v>
      </c>
      <c r="C29">
        <v>3950.5</v>
      </c>
      <c r="D29" t="s">
        <v>366</v>
      </c>
      <c r="E29" t="s">
        <v>367</v>
      </c>
      <c r="F29" t="s">
        <v>334</v>
      </c>
      <c r="G29">
        <v>1755094515.5</v>
      </c>
      <c r="H29">
        <f t="shared" si="0"/>
        <v>3.7073472387475557E-3</v>
      </c>
      <c r="I29">
        <f t="shared" si="1"/>
        <v>3.7073472387475559</v>
      </c>
      <c r="J29">
        <f t="shared" si="2"/>
        <v>29.863540873398904</v>
      </c>
      <c r="K29">
        <f t="shared" si="3"/>
        <v>379.18587141720531</v>
      </c>
      <c r="L29">
        <f t="shared" si="4"/>
        <v>290.12243887344857</v>
      </c>
      <c r="M29">
        <f t="shared" si="5"/>
        <v>29.454371539192735</v>
      </c>
      <c r="N29">
        <f t="shared" si="6"/>
        <v>38.496441648922954</v>
      </c>
      <c r="O29">
        <f t="shared" si="7"/>
        <v>0.62067954401270997</v>
      </c>
      <c r="P29">
        <f t="shared" si="8"/>
        <v>2.4182630302652597</v>
      </c>
      <c r="Q29">
        <f t="shared" si="9"/>
        <v>0.54958535010227227</v>
      </c>
      <c r="R29">
        <f t="shared" si="10"/>
        <v>0.34923670852379141</v>
      </c>
      <c r="S29">
        <f t="shared" si="11"/>
        <v>226.518</v>
      </c>
      <c r="T29">
        <f t="shared" si="12"/>
        <v>27.483590677292991</v>
      </c>
      <c r="U29">
        <f t="shared" si="13"/>
        <v>25.976500000000001</v>
      </c>
      <c r="V29">
        <f t="shared" si="14"/>
        <v>3.3695691366272174</v>
      </c>
      <c r="W29">
        <f t="shared" si="15"/>
        <v>75.405730806814859</v>
      </c>
      <c r="X29">
        <f t="shared" si="16"/>
        <v>2.7052067640162005</v>
      </c>
      <c r="Y29">
        <f t="shared" si="17"/>
        <v>3.5875347073378077</v>
      </c>
      <c r="Z29">
        <f t="shared" si="18"/>
        <v>0.66436237261101683</v>
      </c>
      <c r="AA29">
        <f t="shared" si="19"/>
        <v>-163.49401322876722</v>
      </c>
      <c r="AB29">
        <f t="shared" si="20"/>
        <v>138.62603248532938</v>
      </c>
      <c r="AC29">
        <f t="shared" si="21"/>
        <v>12.310615503903184</v>
      </c>
      <c r="AD29">
        <f t="shared" si="22"/>
        <v>213.96063476046535</v>
      </c>
      <c r="AE29">
        <f t="shared" si="23"/>
        <v>29.863540873398904</v>
      </c>
      <c r="AF29">
        <f t="shared" si="24"/>
        <v>3.7073472387475559</v>
      </c>
      <c r="AG29">
        <f t="shared" si="25"/>
        <v>29.835920021844181</v>
      </c>
      <c r="AH29">
        <v>458.49771345391463</v>
      </c>
      <c r="AI29">
        <v>390.08706060606067</v>
      </c>
      <c r="AJ29">
        <v>-1.0411809520270741E-4</v>
      </c>
      <c r="AK29">
        <v>84.00632441925282</v>
      </c>
      <c r="AL29">
        <f t="shared" si="26"/>
        <v>3.7056357776497264</v>
      </c>
      <c r="AM29">
        <v>18.529507590998421</v>
      </c>
      <c r="AN29">
        <v>26.646693684210501</v>
      </c>
      <c r="AO29">
        <v>-8.052811576271451E-6</v>
      </c>
      <c r="AP29">
        <v>90.532748577824265</v>
      </c>
      <c r="AQ29">
        <v>8</v>
      </c>
      <c r="AR29">
        <v>2</v>
      </c>
      <c r="AS29">
        <f t="shared" si="27"/>
        <v>1.0002237916051948</v>
      </c>
      <c r="AT29">
        <f t="shared" si="28"/>
        <v>2.2379160519481189E-2</v>
      </c>
      <c r="AU29">
        <f t="shared" si="29"/>
        <v>53633.314300632817</v>
      </c>
      <c r="AV29">
        <f t="shared" si="30"/>
        <v>1192.2</v>
      </c>
      <c r="AW29">
        <f t="shared" si="31"/>
        <v>953.7600000000001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335</v>
      </c>
      <c r="BC29">
        <v>2</v>
      </c>
      <c r="BD29" t="b">
        <v>0</v>
      </c>
      <c r="BE29">
        <v>1755094515.5</v>
      </c>
      <c r="BF29">
        <v>379.68700000000001</v>
      </c>
      <c r="BG29">
        <v>450.04599999999999</v>
      </c>
      <c r="BH29">
        <v>26.646000000000001</v>
      </c>
      <c r="BI29">
        <v>18.527000000000001</v>
      </c>
      <c r="BJ29">
        <v>376.041</v>
      </c>
      <c r="BK29">
        <v>26.4099</v>
      </c>
      <c r="BL29">
        <v>399.92099999999999</v>
      </c>
      <c r="BM29">
        <v>101.42400000000001</v>
      </c>
      <c r="BN29">
        <v>9.9934700000000001E-2</v>
      </c>
      <c r="BO29">
        <v>27.0398</v>
      </c>
      <c r="BP29">
        <v>25.976500000000001</v>
      </c>
      <c r="BQ29">
        <v>999.9</v>
      </c>
      <c r="BR29">
        <v>0</v>
      </c>
      <c r="BS29">
        <v>0</v>
      </c>
      <c r="BT29">
        <v>10002</v>
      </c>
      <c r="BU29">
        <v>1192.2</v>
      </c>
      <c r="BV29">
        <v>19.954899999999999</v>
      </c>
      <c r="BW29">
        <v>-70.359399999999994</v>
      </c>
      <c r="BX29">
        <v>390.08100000000002</v>
      </c>
      <c r="BY29">
        <v>458.54199999999997</v>
      </c>
      <c r="BZ29">
        <v>8.1189800000000005</v>
      </c>
      <c r="CA29">
        <v>450.04599999999999</v>
      </c>
      <c r="CB29">
        <v>18.527000000000001</v>
      </c>
      <c r="CC29">
        <v>2.7025299999999999</v>
      </c>
      <c r="CD29">
        <v>1.87907</v>
      </c>
      <c r="CE29">
        <v>22.3005</v>
      </c>
      <c r="CF29">
        <v>16.460599999999999</v>
      </c>
      <c r="CG29">
        <v>1755092148.0999999</v>
      </c>
      <c r="CH29" t="s">
        <v>342</v>
      </c>
      <c r="CI29">
        <v>1755092148.0999999</v>
      </c>
      <c r="CJ29">
        <v>1755092146.5999999</v>
      </c>
      <c r="CK29">
        <v>5</v>
      </c>
      <c r="CL29">
        <v>5.1999999999999998E-2</v>
      </c>
      <c r="CM29">
        <v>0</v>
      </c>
      <c r="CN29">
        <v>4.2629999999999999</v>
      </c>
      <c r="CO29">
        <v>0.23599999999999999</v>
      </c>
      <c r="CP29">
        <v>450</v>
      </c>
      <c r="CQ29">
        <v>19</v>
      </c>
      <c r="CR29">
        <v>0.02</v>
      </c>
      <c r="CS29">
        <v>0.01</v>
      </c>
      <c r="CT29">
        <v>-70.252067499999995</v>
      </c>
      <c r="CU29">
        <v>-0.38541275797362567</v>
      </c>
      <c r="CV29">
        <v>5.2659706548271193E-2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8.1297602500000004</v>
      </c>
      <c r="DC29">
        <v>-5.3375121951220593E-2</v>
      </c>
      <c r="DD29">
        <v>5.3023459371772316E-3</v>
      </c>
      <c r="DE29">
        <v>1</v>
      </c>
      <c r="DF29">
        <v>2</v>
      </c>
      <c r="DG29">
        <v>2</v>
      </c>
      <c r="DH29" t="s">
        <v>343</v>
      </c>
      <c r="DI29">
        <v>3.02441</v>
      </c>
      <c r="DJ29">
        <v>2.6912199999999999</v>
      </c>
      <c r="DK29">
        <v>8.9189299999999999E-2</v>
      </c>
      <c r="DL29">
        <v>0.10267</v>
      </c>
      <c r="DM29">
        <v>0.128909</v>
      </c>
      <c r="DN29">
        <v>0.100938</v>
      </c>
      <c r="DO29">
        <v>25377.200000000001</v>
      </c>
      <c r="DP29">
        <v>16291.6</v>
      </c>
      <c r="DQ29">
        <v>26435.5</v>
      </c>
      <c r="DR29">
        <v>16487.5</v>
      </c>
      <c r="DS29">
        <v>32744.7</v>
      </c>
      <c r="DT29">
        <v>19366.2</v>
      </c>
      <c r="DU29">
        <v>38515.699999999997</v>
      </c>
      <c r="DV29">
        <v>21853.8</v>
      </c>
      <c r="DW29">
        <v>1.77508</v>
      </c>
      <c r="DX29">
        <v>2.1969400000000001</v>
      </c>
      <c r="DY29">
        <v>7.6788700000000001E-2</v>
      </c>
      <c r="DZ29">
        <v>0</v>
      </c>
      <c r="EA29">
        <v>24.717400000000001</v>
      </c>
      <c r="EB29">
        <v>999.9</v>
      </c>
      <c r="EC29">
        <v>61.2</v>
      </c>
      <c r="ED29">
        <v>31.4</v>
      </c>
      <c r="EE29">
        <v>27.849900000000002</v>
      </c>
      <c r="EF29">
        <v>62.720199999999998</v>
      </c>
      <c r="EG29">
        <v>36.201900000000002</v>
      </c>
      <c r="EH29">
        <v>1</v>
      </c>
      <c r="EI29">
        <v>2.5485799999999999E-2</v>
      </c>
      <c r="EJ29">
        <v>-0.14791299999999999</v>
      </c>
      <c r="EK29">
        <v>20.343</v>
      </c>
      <c r="EL29">
        <v>5.2484400000000004</v>
      </c>
      <c r="EM29">
        <v>11.962</v>
      </c>
      <c r="EN29">
        <v>4.9898400000000001</v>
      </c>
      <c r="EO29">
        <v>3.2913000000000001</v>
      </c>
      <c r="EP29">
        <v>9999</v>
      </c>
      <c r="EQ29">
        <v>9999</v>
      </c>
      <c r="ER29">
        <v>9999</v>
      </c>
      <c r="ES29">
        <v>999.9</v>
      </c>
      <c r="ET29">
        <v>4.9726600000000003</v>
      </c>
      <c r="EU29">
        <v>1.87181</v>
      </c>
      <c r="EV29">
        <v>1.8721000000000001</v>
      </c>
      <c r="EW29">
        <v>1.87714</v>
      </c>
      <c r="EX29">
        <v>1.87127</v>
      </c>
      <c r="EY29">
        <v>1.87208</v>
      </c>
      <c r="EZ29">
        <v>1.87168</v>
      </c>
      <c r="FA29">
        <v>1.86866</v>
      </c>
      <c r="FB29">
        <v>0</v>
      </c>
      <c r="FC29">
        <v>0</v>
      </c>
      <c r="FD29">
        <v>0</v>
      </c>
      <c r="FE29">
        <v>0</v>
      </c>
      <c r="FF29" t="s">
        <v>336</v>
      </c>
      <c r="FG29" t="s">
        <v>337</v>
      </c>
      <c r="FH29" t="s">
        <v>338</v>
      </c>
      <c r="FI29" t="s">
        <v>338</v>
      </c>
      <c r="FJ29" t="s">
        <v>338</v>
      </c>
      <c r="FK29" t="s">
        <v>338</v>
      </c>
      <c r="FL29">
        <v>0</v>
      </c>
      <c r="FM29">
        <v>100</v>
      </c>
      <c r="FN29">
        <v>100</v>
      </c>
      <c r="FO29">
        <v>3.6459999999999999</v>
      </c>
      <c r="FP29">
        <v>0.2361</v>
      </c>
      <c r="FQ29">
        <v>0.68274929944455898</v>
      </c>
      <c r="FR29">
        <v>7.0338458001993282E-3</v>
      </c>
      <c r="FS29">
        <v>2.3387658340725169E-6</v>
      </c>
      <c r="FT29">
        <v>-2.2874075696057401E-10</v>
      </c>
      <c r="FU29">
        <v>0.23602380952380739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39.5</v>
      </c>
      <c r="GD29">
        <v>39.5</v>
      </c>
      <c r="GE29">
        <v>1.09619</v>
      </c>
      <c r="GF29">
        <v>2.6293899999999999</v>
      </c>
      <c r="GG29">
        <v>1.7981</v>
      </c>
      <c r="GH29">
        <v>2.3791500000000001</v>
      </c>
      <c r="GI29">
        <v>1.5979000000000001</v>
      </c>
      <c r="GJ29">
        <v>2.4475099999999999</v>
      </c>
      <c r="GK29">
        <v>34.6006</v>
      </c>
      <c r="GL29">
        <v>24.1663</v>
      </c>
      <c r="GM29">
        <v>18</v>
      </c>
      <c r="GN29">
        <v>351.41500000000002</v>
      </c>
      <c r="GO29">
        <v>674.70600000000002</v>
      </c>
      <c r="GP29">
        <v>25.830100000000002</v>
      </c>
      <c r="GQ29">
        <v>27.354600000000001</v>
      </c>
      <c r="GR29">
        <v>30.0001</v>
      </c>
      <c r="GS29">
        <v>27.289300000000001</v>
      </c>
      <c r="GT29">
        <v>27.3233</v>
      </c>
      <c r="GU29">
        <v>21.916899999999998</v>
      </c>
      <c r="GV29">
        <v>41.007300000000001</v>
      </c>
      <c r="GW29">
        <v>0</v>
      </c>
      <c r="GX29">
        <v>25.83</v>
      </c>
      <c r="GY29">
        <v>450</v>
      </c>
      <c r="GZ29">
        <v>18.5</v>
      </c>
      <c r="HA29">
        <v>100.461</v>
      </c>
      <c r="HB29">
        <v>68.206999999999994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2025-08-13T14:19:51Z</dcterms:created>
  <dcterms:modified xsi:type="dcterms:W3CDTF">2025-12-01T11:44:14Z</dcterms:modified>
</cp:coreProperties>
</file>