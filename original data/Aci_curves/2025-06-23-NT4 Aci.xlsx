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C2A3989E891FF8BCBD81EF143002FFF4" xr6:coauthVersionLast="47" xr6:coauthVersionMax="47" xr10:uidLastSave="{809804A5-2202-4BCA-B779-EC246D82A31E}"/>
  <bookViews>
    <workbookView xWindow="2268" yWindow="226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AF29" i="1" s="1"/>
  <c r="I29" i="1" s="1"/>
  <c r="H29" i="1" s="1"/>
  <c r="AL29" i="1"/>
  <c r="AG29" i="1"/>
  <c r="Y29" i="1"/>
  <c r="X29" i="1"/>
  <c r="W29" i="1"/>
  <c r="S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 s="1"/>
  <c r="P28" i="1"/>
  <c r="AY27" i="1"/>
  <c r="AX27" i="1"/>
  <c r="AV27" i="1"/>
  <c r="AW27" i="1" s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/>
  <c r="P27" i="1"/>
  <c r="N27" i="1"/>
  <c r="K27" i="1"/>
  <c r="AY26" i="1"/>
  <c r="S26" i="1" s="1"/>
  <c r="AX26" i="1"/>
  <c r="AV26" i="1"/>
  <c r="AW26" i="1" s="1"/>
  <c r="AU26" i="1"/>
  <c r="AS26" i="1" s="1"/>
  <c r="AL26" i="1"/>
  <c r="AG26" i="1"/>
  <c r="Y26" i="1"/>
  <c r="X26" i="1"/>
  <c r="W26" i="1" s="1"/>
  <c r="P26" i="1"/>
  <c r="AY25" i="1"/>
  <c r="AX25" i="1"/>
  <c r="AV25" i="1"/>
  <c r="AW25" i="1" s="1"/>
  <c r="AU25" i="1"/>
  <c r="AS25" i="1"/>
  <c r="AF25" i="1" s="1"/>
  <c r="I25" i="1" s="1"/>
  <c r="H25" i="1" s="1"/>
  <c r="AL25" i="1"/>
  <c r="AG25" i="1"/>
  <c r="Y25" i="1"/>
  <c r="X25" i="1"/>
  <c r="W25" i="1"/>
  <c r="S25" i="1"/>
  <c r="P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V23" i="1"/>
  <c r="AW23" i="1" s="1"/>
  <c r="AU23" i="1"/>
  <c r="AS23" i="1"/>
  <c r="AT23" i="1" s="1"/>
  <c r="AL23" i="1"/>
  <c r="AG23" i="1"/>
  <c r="AF23" i="1"/>
  <c r="I23" i="1" s="1"/>
  <c r="H23" i="1" s="1"/>
  <c r="AE23" i="1"/>
  <c r="J23" i="1" s="1"/>
  <c r="Y23" i="1"/>
  <c r="X23" i="1"/>
  <c r="W23" i="1"/>
  <c r="P23" i="1"/>
  <c r="N23" i="1"/>
  <c r="K23" i="1"/>
  <c r="AY22" i="1"/>
  <c r="S22" i="1" s="1"/>
  <c r="AX22" i="1"/>
  <c r="AV22" i="1"/>
  <c r="AW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S21" i="1"/>
  <c r="AT21" i="1" s="1"/>
  <c r="AL21" i="1"/>
  <c r="AG21" i="1"/>
  <c r="Y21" i="1"/>
  <c r="X21" i="1"/>
  <c r="W21" i="1"/>
  <c r="S21" i="1"/>
  <c r="P21" i="1"/>
  <c r="K21" i="1"/>
  <c r="AY20" i="1"/>
  <c r="AX20" i="1"/>
  <c r="AV20" i="1"/>
  <c r="S20" i="1" s="1"/>
  <c r="AU20" i="1"/>
  <c r="AS20" i="1" s="1"/>
  <c r="AL20" i="1"/>
  <c r="AG20" i="1"/>
  <c r="Y20" i="1"/>
  <c r="X20" i="1"/>
  <c r="W20" i="1" s="1"/>
  <c r="P20" i="1"/>
  <c r="AY19" i="1"/>
  <c r="AX19" i="1"/>
  <c r="AV19" i="1"/>
  <c r="S19" i="1" s="1"/>
  <c r="AU19" i="1"/>
  <c r="AS19" i="1"/>
  <c r="AT19" i="1" s="1"/>
  <c r="AL19" i="1"/>
  <c r="AG19" i="1"/>
  <c r="AF19" i="1"/>
  <c r="I19" i="1" s="1"/>
  <c r="H19" i="1" s="1"/>
  <c r="AE19" i="1"/>
  <c r="J19" i="1" s="1"/>
  <c r="Y19" i="1"/>
  <c r="X19" i="1"/>
  <c r="W19" i="1"/>
  <c r="P19" i="1"/>
  <c r="N19" i="1"/>
  <c r="K19" i="1"/>
  <c r="AY18" i="1"/>
  <c r="S18" i="1" s="1"/>
  <c r="AX18" i="1"/>
  <c r="AV18" i="1"/>
  <c r="AW18" i="1" s="1"/>
  <c r="AU18" i="1"/>
  <c r="AS18" i="1" s="1"/>
  <c r="AL18" i="1"/>
  <c r="AG18" i="1"/>
  <c r="Y18" i="1"/>
  <c r="X18" i="1"/>
  <c r="W18" i="1" s="1"/>
  <c r="P18" i="1"/>
  <c r="AY17" i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/>
  <c r="S17" i="1"/>
  <c r="P17" i="1"/>
  <c r="AE26" i="1" l="1"/>
  <c r="J26" i="1" s="1"/>
  <c r="N26" i="1"/>
  <c r="AT26" i="1"/>
  <c r="K26" i="1"/>
  <c r="AF26" i="1"/>
  <c r="I26" i="1" s="1"/>
  <c r="H26" i="1" s="1"/>
  <c r="K28" i="1"/>
  <c r="N28" i="1"/>
  <c r="AF28" i="1"/>
  <c r="I28" i="1" s="1"/>
  <c r="H28" i="1" s="1"/>
  <c r="AE28" i="1"/>
  <c r="J28" i="1" s="1"/>
  <c r="AT28" i="1"/>
  <c r="T28" i="1"/>
  <c r="U28" i="1" s="1"/>
  <c r="AE22" i="1"/>
  <c r="J22" i="1" s="1"/>
  <c r="AF22" i="1"/>
  <c r="I22" i="1" s="1"/>
  <c r="H22" i="1" s="1"/>
  <c r="N22" i="1"/>
  <c r="AT22" i="1"/>
  <c r="K22" i="1"/>
  <c r="T24" i="1"/>
  <c r="U24" i="1" s="1"/>
  <c r="AB26" i="1"/>
  <c r="T26" i="1"/>
  <c r="U26" i="1" s="1"/>
  <c r="AA27" i="1"/>
  <c r="AA29" i="1"/>
  <c r="AB19" i="1"/>
  <c r="K24" i="1"/>
  <c r="N24" i="1"/>
  <c r="AT24" i="1"/>
  <c r="AF24" i="1"/>
  <c r="I24" i="1" s="1"/>
  <c r="H24" i="1" s="1"/>
  <c r="AE24" i="1"/>
  <c r="J24" i="1" s="1"/>
  <c r="T17" i="1"/>
  <c r="U17" i="1" s="1"/>
  <c r="AE18" i="1"/>
  <c r="J18" i="1" s="1"/>
  <c r="N18" i="1"/>
  <c r="AF18" i="1"/>
  <c r="I18" i="1" s="1"/>
  <c r="H18" i="1" s="1"/>
  <c r="T18" i="1" s="1"/>
  <c r="U18" i="1" s="1"/>
  <c r="AT18" i="1"/>
  <c r="K18" i="1"/>
  <c r="T19" i="1"/>
  <c r="U19" i="1" s="1"/>
  <c r="K20" i="1"/>
  <c r="AT20" i="1"/>
  <c r="AF20" i="1"/>
  <c r="I20" i="1" s="1"/>
  <c r="H20" i="1" s="1"/>
  <c r="N20" i="1"/>
  <c r="AE20" i="1"/>
  <c r="J20" i="1" s="1"/>
  <c r="AA23" i="1"/>
  <c r="T29" i="1"/>
  <c r="U29" i="1" s="1"/>
  <c r="T21" i="1"/>
  <c r="U21" i="1" s="1"/>
  <c r="AA25" i="1"/>
  <c r="Q17" i="1"/>
  <c r="O17" i="1" s="1"/>
  <c r="R17" i="1" s="1"/>
  <c r="L17" i="1" s="1"/>
  <c r="M17" i="1" s="1"/>
  <c r="AA17" i="1"/>
  <c r="AA19" i="1"/>
  <c r="Q19" i="1"/>
  <c r="O19" i="1" s="1"/>
  <c r="R19" i="1" s="1"/>
  <c r="L19" i="1" s="1"/>
  <c r="M19" i="1" s="1"/>
  <c r="AT17" i="1"/>
  <c r="AT29" i="1"/>
  <c r="AW20" i="1"/>
  <c r="AW24" i="1"/>
  <c r="AW28" i="1"/>
  <c r="AW19" i="1"/>
  <c r="T25" i="1"/>
  <c r="U25" i="1" s="1"/>
  <c r="AT25" i="1"/>
  <c r="N17" i="1"/>
  <c r="N21" i="1"/>
  <c r="N25" i="1"/>
  <c r="N29" i="1"/>
  <c r="K17" i="1"/>
  <c r="AE17" i="1"/>
  <c r="J17" i="1" s="1"/>
  <c r="AE21" i="1"/>
  <c r="J21" i="1" s="1"/>
  <c r="S23" i="1"/>
  <c r="AE25" i="1"/>
  <c r="J25" i="1" s="1"/>
  <c r="S27" i="1"/>
  <c r="AE29" i="1"/>
  <c r="J29" i="1" s="1"/>
  <c r="K29" i="1"/>
  <c r="AF21" i="1"/>
  <c r="I21" i="1" s="1"/>
  <c r="H21" i="1" s="1"/>
  <c r="V18" i="1" l="1"/>
  <c r="Z18" i="1" s="1"/>
  <c r="AC18" i="1"/>
  <c r="AB18" i="1"/>
  <c r="AB21" i="1"/>
  <c r="V21" i="1"/>
  <c r="Z21" i="1" s="1"/>
  <c r="AC21" i="1"/>
  <c r="AD21" i="1" s="1"/>
  <c r="V26" i="1"/>
  <c r="Z26" i="1" s="1"/>
  <c r="AC26" i="1"/>
  <c r="AD26" i="1" s="1"/>
  <c r="Q22" i="1"/>
  <c r="O22" i="1" s="1"/>
  <c r="R22" i="1" s="1"/>
  <c r="L22" i="1" s="1"/>
  <c r="M22" i="1" s="1"/>
  <c r="AA22" i="1"/>
  <c r="T27" i="1"/>
  <c r="U27" i="1" s="1"/>
  <c r="AB29" i="1"/>
  <c r="V29" i="1"/>
  <c r="Z29" i="1" s="1"/>
  <c r="AC29" i="1"/>
  <c r="AD29" i="1" s="1"/>
  <c r="Q26" i="1"/>
  <c r="O26" i="1" s="1"/>
  <c r="R26" i="1" s="1"/>
  <c r="L26" i="1" s="1"/>
  <c r="M26" i="1" s="1"/>
  <c r="AA26" i="1"/>
  <c r="T23" i="1"/>
  <c r="U23" i="1" s="1"/>
  <c r="AA20" i="1"/>
  <c r="AB24" i="1"/>
  <c r="AC24" i="1"/>
  <c r="V24" i="1"/>
  <c r="Z24" i="1" s="1"/>
  <c r="V28" i="1"/>
  <c r="Z28" i="1" s="1"/>
  <c r="AB28" i="1"/>
  <c r="AC28" i="1"/>
  <c r="T22" i="1"/>
  <c r="U22" i="1" s="1"/>
  <c r="V17" i="1"/>
  <c r="Z17" i="1" s="1"/>
  <c r="AC17" i="1"/>
  <c r="AD17" i="1" s="1"/>
  <c r="AB17" i="1"/>
  <c r="Q29" i="1"/>
  <c r="O29" i="1" s="1"/>
  <c r="R29" i="1" s="1"/>
  <c r="L29" i="1" s="1"/>
  <c r="M29" i="1" s="1"/>
  <c r="Q21" i="1"/>
  <c r="O21" i="1" s="1"/>
  <c r="R21" i="1" s="1"/>
  <c r="L21" i="1" s="1"/>
  <c r="M21" i="1" s="1"/>
  <c r="AA21" i="1"/>
  <c r="AC19" i="1"/>
  <c r="AD19" i="1" s="1"/>
  <c r="V19" i="1"/>
  <c r="Z19" i="1" s="1"/>
  <c r="AA28" i="1"/>
  <c r="Q28" i="1"/>
  <c r="O28" i="1" s="1"/>
  <c r="R28" i="1" s="1"/>
  <c r="L28" i="1" s="1"/>
  <c r="M28" i="1" s="1"/>
  <c r="Q18" i="1"/>
  <c r="O18" i="1" s="1"/>
  <c r="R18" i="1" s="1"/>
  <c r="L18" i="1" s="1"/>
  <c r="M18" i="1" s="1"/>
  <c r="AA18" i="1"/>
  <c r="AB25" i="1"/>
  <c r="V25" i="1"/>
  <c r="Z25" i="1" s="1"/>
  <c r="AC25" i="1"/>
  <c r="Q25" i="1"/>
  <c r="O25" i="1" s="1"/>
  <c r="R25" i="1" s="1"/>
  <c r="L25" i="1" s="1"/>
  <c r="M25" i="1" s="1"/>
  <c r="T20" i="1"/>
  <c r="U20" i="1" s="1"/>
  <c r="AA24" i="1"/>
  <c r="Q24" i="1"/>
  <c r="O24" i="1" s="1"/>
  <c r="R24" i="1" s="1"/>
  <c r="L24" i="1" s="1"/>
  <c r="M24" i="1" s="1"/>
  <c r="AD24" i="1" l="1"/>
  <c r="V20" i="1"/>
  <c r="Z20" i="1" s="1"/>
  <c r="AB20" i="1"/>
  <c r="AC20" i="1"/>
  <c r="AD20" i="1" s="1"/>
  <c r="Q20" i="1"/>
  <c r="O20" i="1" s="1"/>
  <c r="R20" i="1" s="1"/>
  <c r="L20" i="1" s="1"/>
  <c r="M20" i="1" s="1"/>
  <c r="V22" i="1"/>
  <c r="Z22" i="1" s="1"/>
  <c r="AC22" i="1"/>
  <c r="AB22" i="1"/>
  <c r="AD25" i="1"/>
  <c r="AD28" i="1"/>
  <c r="AC27" i="1"/>
  <c r="V27" i="1"/>
  <c r="Z27" i="1" s="1"/>
  <c r="Q27" i="1"/>
  <c r="O27" i="1" s="1"/>
  <c r="R27" i="1" s="1"/>
  <c r="L27" i="1" s="1"/>
  <c r="M27" i="1" s="1"/>
  <c r="AB27" i="1"/>
  <c r="AC23" i="1"/>
  <c r="AD23" i="1" s="1"/>
  <c r="V23" i="1"/>
  <c r="Z23" i="1" s="1"/>
  <c r="AB23" i="1"/>
  <c r="Q23" i="1"/>
  <c r="O23" i="1" s="1"/>
  <c r="R23" i="1" s="1"/>
  <c r="L23" i="1" s="1"/>
  <c r="M23" i="1" s="1"/>
  <c r="AD18" i="1"/>
  <c r="AD22" i="1" l="1"/>
  <c r="AD27" i="1"/>
</calcChain>
</file>

<file path=xl/sharedStrings.xml><?xml version="1.0" encoding="utf-8"?>
<sst xmlns="http://schemas.openxmlformats.org/spreadsheetml/2006/main" count="818" uniqueCount="370">
  <si>
    <t>File opened</t>
  </si>
  <si>
    <t>2025-06-23 15:38:59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</si>
  <si>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</si>
  <si>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</si>
  <si>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</si>
  <si>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</si>
  <si>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</si>
  <si>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</si>
  <si>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</si>
  <si>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</si>
  <si>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</si>
  <si>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</si>
  <si>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</si>
  <si>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</si>
  <si>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</si>
  <si>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</si>
  <si>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</si>
  <si>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</si>
  <si>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</si>
  <si>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</si>
  <si>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</si>
  <si>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</si>
  <si>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</si>
  <si>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</si>
  <si>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</si>
  <si>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</si>
  <si>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</si>
  <si>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</si>
  <si>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15:38:59</t>
  </si>
  <si>
    <t>Stability Definition:	F (FlrLS): Per=20	ΔH2O (Meas2): Slp&lt;0.1 Per=20	ΔCO2 (Meas2): Slp&lt;0.5 Per=20</t>
  </si>
  <si>
    <t>15:39:07</t>
  </si>
  <si>
    <t>Config file loaded: 18 topics from file /home/licor/configs/Tinko/configs aci curve</t>
  </si>
  <si>
    <t>15:39:08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</si>
  <si>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</si>
  <si>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</si>
  <si>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</si>
  <si>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</si>
  <si>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</si>
  <si>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</si>
  <si>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</si>
  <si>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</si>
  <si>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</si>
  <si>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</si>
  <si>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</si>
  <si>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</si>
  <si>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</si>
  <si>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</si>
  <si>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</si>
  <si>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</si>
  <si>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</si>
  <si>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</si>
  <si>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</si>
  <si>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</si>
  <si>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</si>
  <si>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</si>
  <si>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</si>
  <si>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</si>
  <si>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</si>
  <si>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</si>
  <si>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</si>
  <si>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</si>
  <si>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</si>
  <si>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</si>
  <si>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</si>
  <si>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</si>
  <si>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</si>
  <si>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</si>
  <si>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</si>
  <si>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</si>
  <si>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</si>
  <si>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</si>
  <si>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</si>
  <si>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</si>
  <si>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</si>
  <si>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</si>
  <si>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</si>
  <si>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</si>
  <si>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</si>
  <si>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</si>
  <si>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</si>
  <si>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</si>
  <si>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</si>
  <si>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</si>
  <si>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3.90399 161.069 340.418 584.594 849.532 1046.18 1295.71 1502.17</t>
  </si>
  <si>
    <t>Fs_true</t>
  </si>
  <si>
    <t>-0.189491 200.443 386.81 596.081 807.048 1001.39 1201.41 1400.89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</si>
  <si>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</si>
  <si>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</si>
  <si>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</si>
  <si>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</si>
  <si>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</si>
  <si>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</si>
  <si>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</si>
  <si>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</si>
  <si>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</si>
  <si>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</si>
  <si>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</si>
  <si>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</si>
  <si>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</si>
  <si>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</si>
  <si>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</si>
  <si>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</si>
  <si>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</si>
  <si>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</si>
  <si>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</si>
  <si>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</si>
  <si>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</si>
  <si>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</si>
  <si>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</si>
  <si>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</si>
  <si>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</si>
  <si>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</si>
  <si>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</si>
  <si>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</si>
  <si>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</si>
  <si>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</si>
  <si>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</si>
  <si>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</si>
  <si>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</si>
  <si>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</si>
  <si>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</si>
  <si>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</si>
  <si>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</si>
  <si>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</si>
  <si>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</si>
  <si>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</si>
  <si>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</si>
  <si>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</si>
  <si>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</si>
  <si>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</si>
  <si>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</si>
  <si>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</si>
  <si>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</si>
  <si>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</si>
  <si>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</si>
  <si>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</si>
  <si>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</si>
  <si>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</si>
  <si>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</si>
  <si>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</si>
  <si>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</si>
  <si>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</si>
  <si>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</si>
  <si>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</si>
  <si>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</si>
  <si>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</si>
  <si>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</si>
  <si>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</si>
  <si>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</si>
  <si>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</si>
  <si>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</si>
  <si>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</si>
  <si>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</si>
  <si>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</si>
  <si>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</si>
  <si>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</si>
  <si>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</si>
  <si>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</si>
  <si>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</si>
  <si>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</si>
  <si>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</si>
  <si>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</si>
  <si>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</si>
  <si>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</si>
  <si>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</si>
  <si>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</si>
  <si>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</si>
  <si>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</si>
  <si>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</si>
  <si>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</si>
  <si>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</si>
  <si>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</si>
  <si>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</si>
  <si>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</si>
  <si>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</si>
  <si>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</si>
  <si>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</si>
  <si>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</si>
  <si>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</si>
  <si>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</si>
  <si>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</si>
  <si>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</si>
  <si>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</si>
  <si>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</si>
  <si>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</si>
  <si>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</si>
  <si>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</si>
  <si>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</si>
  <si>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</si>
  <si>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</si>
  <si>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</si>
  <si>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</si>
  <si>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</si>
  <si>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</si>
  <si>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</si>
  <si>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</si>
  <si>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</si>
  <si>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</si>
  <si>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</si>
  <si>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</si>
  <si>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</si>
  <si>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</si>
  <si>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</si>
  <si>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</si>
  <si>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</si>
  <si>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</si>
  <si>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</si>
  <si>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</si>
  <si>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</si>
  <si>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</si>
  <si>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</si>
  <si>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</si>
  <si>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</si>
  <si>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</si>
  <si>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</si>
  <si>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</si>
  <si>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</si>
  <si>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</si>
  <si>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</si>
  <si>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</si>
  <si>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</si>
  <si>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</si>
  <si>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</si>
  <si>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</si>
  <si>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</si>
  <si>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</si>
  <si>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</si>
  <si>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</si>
  <si>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</si>
  <si>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</si>
  <si>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</si>
  <si>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</si>
  <si>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</si>
  <si>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</si>
  <si>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</si>
  <si>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</si>
  <si>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</si>
  <si>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</si>
  <si>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</si>
  <si>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</si>
  <si>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</si>
  <si>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</si>
  <si>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</si>
  <si>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</si>
  <si>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</si>
  <si>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</si>
  <si>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</si>
  <si>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</si>
  <si>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</si>
  <si>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</si>
  <si>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</si>
  <si>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</si>
  <si>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</si>
  <si>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</si>
  <si>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</si>
  <si>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</si>
  <si>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</si>
  <si>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</si>
  <si>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</si>
  <si>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</si>
  <si>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</si>
  <si>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</si>
  <si>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</si>
  <si>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</si>
  <si>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</si>
  <si>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</si>
  <si>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</si>
  <si>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</si>
  <si>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</si>
  <si>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</si>
  <si>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</si>
  <si>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</si>
  <si>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</si>
  <si>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</si>
  <si>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</si>
  <si>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</si>
  <si>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</si>
  <si>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</si>
  <si>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</si>
  <si>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</si>
  <si>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</si>
  <si>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</si>
  <si>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</si>
  <si>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</si>
  <si>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</si>
  <si>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</si>
  <si>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</si>
  <si>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</si>
  <si>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</si>
  <si>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</si>
  <si>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</si>
  <si>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</si>
  <si>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</si>
  <si>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</si>
  <si>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</si>
  <si>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</si>
  <si>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</si>
  <si>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</si>
  <si>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</si>
  <si>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</si>
  <si>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</si>
  <si>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</si>
  <si>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</si>
  <si>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</si>
  <si>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</si>
  <si>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</si>
  <si>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</si>
  <si>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</si>
  <si>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</si>
  <si>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</si>
  <si>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</si>
  <si>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</si>
  <si>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</si>
  <si>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</si>
  <si>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</si>
  <si>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</si>
  <si>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</si>
  <si>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</si>
  <si>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</si>
  <si>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</si>
  <si>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</si>
  <si>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</si>
  <si>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</si>
  <si>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</si>
  <si>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</si>
  <si>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</si>
  <si>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</si>
  <si>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</si>
  <si>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</si>
  <si>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</si>
  <si>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</si>
  <si>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</si>
  <si>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</si>
  <si>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</si>
  <si>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</si>
  <si>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</si>
  <si>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</si>
  <si>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20250623 16:19:16</t>
  </si>
  <si>
    <t>16:19:16</t>
  </si>
  <si>
    <t>0: Broadleaf</t>
  </si>
  <si>
    <t>13:30:16</t>
  </si>
  <si>
    <t>2/2</t>
  </si>
  <si>
    <t>11111111</t>
  </si>
  <si>
    <t>oooooooo</t>
  </si>
  <si>
    <t>on</t>
  </si>
  <si>
    <t>20250623 16:22:17</t>
  </si>
  <si>
    <t>16:22:17</t>
  </si>
  <si>
    <t>20250623 16:25:17</t>
  </si>
  <si>
    <t>16:25:17</t>
  </si>
  <si>
    <t>20250623 16:28:18</t>
  </si>
  <si>
    <t>16:28:18</t>
  </si>
  <si>
    <t>20250623 16:31:18</t>
  </si>
  <si>
    <t>16:31:18</t>
  </si>
  <si>
    <t>20250623 16:34:19</t>
  </si>
  <si>
    <t>16:34:19</t>
  </si>
  <si>
    <t>20250623 16:37:19</t>
  </si>
  <si>
    <t>16:37:19</t>
  </si>
  <si>
    <t>20250623 16:40:20</t>
  </si>
  <si>
    <t>16:40:20</t>
  </si>
  <si>
    <t>20250623 16:43:20</t>
  </si>
  <si>
    <t>16:43:20</t>
  </si>
  <si>
    <t>20250623 16:46:21</t>
  </si>
  <si>
    <t>16:46:21</t>
  </si>
  <si>
    <t>1/2</t>
  </si>
  <si>
    <t>20250623 16:49:21</t>
  </si>
  <si>
    <t>16:49:21</t>
  </si>
  <si>
    <t>20250623 16:52:22</t>
  </si>
  <si>
    <t>16:52:22</t>
  </si>
  <si>
    <t>20250623 16:55:22</t>
  </si>
  <si>
    <t>16:55:22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</si>
</sst>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Q10" workbookViewId="0">
      <selection activeCell="BD16" sqref="BD16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1750688356.5</v>
      </c>
      <c r="C17">
        <v>0</v>
      </c>
      <c r="D17" t="s">
        <v>337</v>
      </c>
      <c r="E17" t="s">
        <v>338</v>
      </c>
      <c r="F17">
        <v>15</v>
      </c>
      <c r="G17">
        <v>1750688348.5</v>
      </c>
      <c r="H17">
        <f t="shared" ref="H17:H29" si="0">(I17)/1000</f>
        <v>2.804730391417893E-3</v>
      </c>
      <c r="I17">
        <f t="shared" ref="I17:I29" si="1">IF(BD17, AL17, AF17)</f>
        <v>2.8047303914178929</v>
      </c>
      <c r="J17">
        <f t="shared" ref="J17:J29" si="2">IF(BD17, AG17, AE17)</f>
        <v>21.320155140504021</v>
      </c>
      <c r="K17">
        <f t="shared" ref="K17:K29" si="3">BF17 - IF(AS17&gt;1, J17*AZ17*100/(AU17), 0)</f>
        <v>399.51183870967742</v>
      </c>
      <c r="L17">
        <f t="shared" ref="L17:L29" si="4">((R17-H17/2)*K17-J17)/(R17+H17/2)</f>
        <v>294.1916250795058</v>
      </c>
      <c r="M17">
        <f t="shared" ref="M17:M29" si="5">L17*(BM17+BN17)/1000</f>
        <v>29.812368259026332</v>
      </c>
      <c r="N17">
        <f t="shared" ref="N17:N29" si="6">(BF17 - IF(AS17&gt;1, J17*AZ17*100/(AU17), 0))*(BM17+BN17)/1000</f>
        <v>40.485156762143824</v>
      </c>
      <c r="O17">
        <f t="shared" ref="O17:O29" si="7">2/((1/Q17-1/P17)+SIGN(Q17)*SQRT((1/Q17-1/P17)*(1/Q17-1/P17) + 4*BA17/((BA17+1)*(BA17+1))*(2*1/Q17*1/P17-1/P17*1/P17)))</f>
        <v>0.36233777094053637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2.4155611663124081</v>
      </c>
      <c r="Q17">
        <f t="shared" ref="Q17:Q29" si="9">H17*(1000-(1000*0.61365*EXP(17.502*U17/(240.97+U17))/(BM17+BN17)+BH17)/2)/(1000*0.61365*EXP(17.502*U17/(240.97+U17))/(BM17+BN17)-BH17)</f>
        <v>0.33501486508668582</v>
      </c>
      <c r="R17">
        <f t="shared" ref="R17:R29" si="10">1/((BA17+1)/(O17/1.6)+1/(P17/1.37)) + BA17/((BA17+1)/(O17/1.6) + BA17/(P17/1.37))</f>
        <v>0.21166858636031405</v>
      </c>
      <c r="S17">
        <f t="shared" ref="S17:S29" si="11">(AV17*AY17)</f>
        <v>179.07648935483869</v>
      </c>
      <c r="T17">
        <f t="shared" ref="T17:T29" si="12">(BO17+(S17+2*0.95*0.0000000567*(((BO17+$B$7)+273)^4-(BO17+273)^4)-44100*H17)/(1.84*29.3*P17+8*0.95*0.0000000567*(BO17+273)^3))</f>
        <v>27.294744633075315</v>
      </c>
      <c r="U17">
        <f t="shared" ref="U17:U29" si="13">($C$7*BP17+$D$7*BQ17+$E$7*T17)</f>
        <v>26.26271612903226</v>
      </c>
      <c r="V17">
        <f t="shared" ref="V17:V29" si="14">0.61365*EXP(17.502*U17/(240.97+U17))</f>
        <v>3.427071387701571</v>
      </c>
      <c r="W17">
        <f t="shared" ref="W17:W29" si="15">(X17/Y17*100)</f>
        <v>73.162897649255243</v>
      </c>
      <c r="X17">
        <f t="shared" ref="X17:X29" si="16">BH17*(BM17+BN17)/1000</f>
        <v>2.6039315836698216</v>
      </c>
      <c r="Y17">
        <f t="shared" ref="Y17:Y29" si="17">0.61365*EXP(17.502*BO17/(240.97+BO17))</f>
        <v>3.5590875530287698</v>
      </c>
      <c r="Z17">
        <f t="shared" ref="Z17:Z29" si="18">(V17-BH17*(BM17+BN17)/1000)</f>
        <v>0.82313980403174947</v>
      </c>
      <c r="AA17">
        <f t="shared" ref="AA17:AA29" si="19">(-H17*44100)</f>
        <v>-123.68861026152908</v>
      </c>
      <c r="AB17">
        <f t="shared" ref="AB17:AB29" si="20">2*29.3*P17*0.92*(BO17-U17)</f>
        <v>83.549492892531575</v>
      </c>
      <c r="AC17">
        <f t="shared" ref="AC17:AC29" si="21">2*0.95*0.0000000567*(((BO17+$B$7)+273)^4-(U17+273)^4)</f>
        <v>7.4334623956997623</v>
      </c>
      <c r="AD17">
        <f t="shared" ref="AD17:AD29" si="22">S17+AC17+AA17+AB17</f>
        <v>146.37083438154093</v>
      </c>
      <c r="AE17">
        <f t="shared" ref="AE17:AE29" si="23">BL17*AS17*(BG17-BF17*(1000-AS17*BI17)/(1000-AS17*BH17))/(100*AZ17)</f>
        <v>21.320155140504021</v>
      </c>
      <c r="AF17">
        <f t="shared" ref="AF17:AF29" si="24">1000*BL17*AS17*(BH17-BI17)/(100*AZ17*(1000-AS17*BH17))</f>
        <v>2.8047303914178929</v>
      </c>
      <c r="AG17">
        <f t="shared" ref="AG17:AG29" si="25">(AH17 - AI17 - BM17*1000/(8.314*(BO17+273.15)) * AK17/BL17 * AJ17) * BL17/(100*AZ17) * (1000 - BI17)/1000</f>
        <v>21.33273569576804</v>
      </c>
      <c r="AH17">
        <v>459.00403965351751</v>
      </c>
      <c r="AI17">
        <v>410.04648484848502</v>
      </c>
      <c r="AJ17">
        <v>2.0012032546815219E-4</v>
      </c>
      <c r="AK17">
        <v>84.019814156764028</v>
      </c>
      <c r="AL17">
        <f t="shared" ref="AL17:AL29" si="26">(AN17 - AM17 + BM17*1000/(8.314*(BO17+273.15)) * AP17/BL17 * AO17) * BL17/(100*AZ17) * 1000/(1000 - AN17)</f>
        <v>2.8055517530965703</v>
      </c>
      <c r="AM17">
        <v>19.548299705380899</v>
      </c>
      <c r="AN17">
        <v>25.698600751879681</v>
      </c>
      <c r="AO17">
        <v>-1.681432812062425E-7</v>
      </c>
      <c r="AP17">
        <v>90.504844094183341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53563.118593037543</v>
      </c>
      <c r="AV17">
        <f t="shared" ref="AV17:AV29" si="30">$B$11*BU17+$C$11*BV17</f>
        <v>942.50783870967734</v>
      </c>
      <c r="AW17">
        <f t="shared" ref="AW17:AW29" si="31">AV17*AX17</f>
        <v>754.0062709677419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339</v>
      </c>
      <c r="BC17">
        <v>2</v>
      </c>
      <c r="BD17" t="b">
        <v>0</v>
      </c>
      <c r="BE17">
        <v>1750688348.5</v>
      </c>
      <c r="BF17">
        <v>399.51183870967742</v>
      </c>
      <c r="BG17">
        <v>450.00361290322581</v>
      </c>
      <c r="BH17">
        <v>25.695874193548391</v>
      </c>
      <c r="BI17">
        <v>19.547358064516128</v>
      </c>
      <c r="BJ17">
        <v>398.40958064516133</v>
      </c>
      <c r="BK17">
        <v>25.51815483870968</v>
      </c>
      <c r="BL17">
        <v>399.99803225806448</v>
      </c>
      <c r="BM17">
        <v>101.2365806451613</v>
      </c>
      <c r="BN17">
        <v>9.998272903225805E-2</v>
      </c>
      <c r="BO17">
        <v>26.90428064516129</v>
      </c>
      <c r="BP17">
        <v>26.26271612903226</v>
      </c>
      <c r="BQ17">
        <v>999.90000000000032</v>
      </c>
      <c r="BR17">
        <v>0</v>
      </c>
      <c r="BS17">
        <v>0</v>
      </c>
      <c r="BT17">
        <v>10002.91935483871</v>
      </c>
      <c r="BU17">
        <v>942.50783870967734</v>
      </c>
      <c r="BV17">
        <v>16.876200000000001</v>
      </c>
      <c r="BW17">
        <v>-50.491719354838708</v>
      </c>
      <c r="BX17">
        <v>410.04845161290319</v>
      </c>
      <c r="BY17">
        <v>458.97538709677423</v>
      </c>
      <c r="BZ17">
        <v>6.1485151612903239</v>
      </c>
      <c r="CA17">
        <v>450.00361290322581</v>
      </c>
      <c r="CB17">
        <v>19.547358064516128</v>
      </c>
      <c r="CC17">
        <v>2.601360967741936</v>
      </c>
      <c r="CD17">
        <v>1.978908064516129</v>
      </c>
      <c r="CE17">
        <v>21.674967741935479</v>
      </c>
      <c r="CF17">
        <v>17.276567741935491</v>
      </c>
      <c r="CG17">
        <v>1750678216.5</v>
      </c>
      <c r="CH17" t="s">
        <v>340</v>
      </c>
      <c r="CI17">
        <v>1750678216.5</v>
      </c>
      <c r="CJ17">
        <v>1750678216.5</v>
      </c>
      <c r="CK17">
        <v>4</v>
      </c>
      <c r="CL17">
        <v>-0.11</v>
      </c>
      <c r="CM17">
        <v>-2.7E-2</v>
      </c>
      <c r="CN17">
        <v>1.548</v>
      </c>
      <c r="CO17">
        <v>0.17799999999999999</v>
      </c>
      <c r="CP17">
        <v>450</v>
      </c>
      <c r="CQ17">
        <v>19</v>
      </c>
      <c r="CR17">
        <v>0.32</v>
      </c>
      <c r="CS17">
        <v>0.12</v>
      </c>
      <c r="CT17">
        <v>-50.459441463414642</v>
      </c>
      <c r="CU17">
        <v>-0.45231846689891742</v>
      </c>
      <c r="CV17">
        <v>5.8296186444362692E-2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6.146323658536585</v>
      </c>
      <c r="DC17">
        <v>3.5721324041816237E-2</v>
      </c>
      <c r="DD17">
        <v>4.1597242850104242E-3</v>
      </c>
      <c r="DE17">
        <v>1</v>
      </c>
      <c r="DF17">
        <v>2</v>
      </c>
      <c r="DG17">
        <v>2</v>
      </c>
      <c r="DH17" t="s">
        <v>341</v>
      </c>
      <c r="DI17">
        <v>3.0246200000000001</v>
      </c>
      <c r="DJ17">
        <v>2.6911700000000001</v>
      </c>
      <c r="DK17">
        <v>9.2918000000000001E-2</v>
      </c>
      <c r="DL17">
        <v>0.10234</v>
      </c>
      <c r="DM17">
        <v>0.12548500000000001</v>
      </c>
      <c r="DN17">
        <v>0.104462</v>
      </c>
      <c r="DO17">
        <v>25256</v>
      </c>
      <c r="DP17">
        <v>16811.2</v>
      </c>
      <c r="DQ17">
        <v>26419.8</v>
      </c>
      <c r="DR17">
        <v>17021.900000000001</v>
      </c>
      <c r="DS17">
        <v>32860.699999999997</v>
      </c>
      <c r="DT17">
        <v>19892.599999999999</v>
      </c>
      <c r="DU17">
        <v>38490.699999999997</v>
      </c>
      <c r="DV17">
        <v>22535.5</v>
      </c>
      <c r="DW17">
        <v>1.8036399999999999</v>
      </c>
      <c r="DX17">
        <v>2.1728800000000001</v>
      </c>
      <c r="DY17">
        <v>7.4631000000000003E-2</v>
      </c>
      <c r="DZ17">
        <v>0</v>
      </c>
      <c r="EA17">
        <v>25.0412</v>
      </c>
      <c r="EB17">
        <v>999.9</v>
      </c>
      <c r="EC17">
        <v>60.2</v>
      </c>
      <c r="ED17">
        <v>32.5</v>
      </c>
      <c r="EE17">
        <v>29.208200000000001</v>
      </c>
      <c r="EF17">
        <v>62.748699999999999</v>
      </c>
      <c r="EG17">
        <v>36.822899999999997</v>
      </c>
      <c r="EH17">
        <v>1</v>
      </c>
      <c r="EI17">
        <v>6.7245899999999997E-2</v>
      </c>
      <c r="EJ17">
        <v>2.56492E-2</v>
      </c>
      <c r="EK17">
        <v>20.327000000000002</v>
      </c>
      <c r="EL17">
        <v>5.2519099999999996</v>
      </c>
      <c r="EM17">
        <v>11.962</v>
      </c>
      <c r="EN17">
        <v>4.9897999999999998</v>
      </c>
      <c r="EO17">
        <v>3.2916400000000001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1.87195</v>
      </c>
      <c r="EV17">
        <v>1.8722300000000001</v>
      </c>
      <c r="EW17">
        <v>1.87727</v>
      </c>
      <c r="EX17">
        <v>1.8713500000000001</v>
      </c>
      <c r="EY17">
        <v>1.8721099999999999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1.1020000000000001</v>
      </c>
      <c r="FP17">
        <v>0.1777</v>
      </c>
      <c r="FQ17">
        <v>-2.1949045684245019</v>
      </c>
      <c r="FR17">
        <v>7.6898218637449396E-3</v>
      </c>
      <c r="FS17">
        <v>1.5097418776848419E-6</v>
      </c>
      <c r="FT17">
        <v>-9.8458676114205118E-11</v>
      </c>
      <c r="FU17">
        <v>0.17771499999999921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169</v>
      </c>
      <c r="GD17">
        <v>169</v>
      </c>
      <c r="GE17">
        <v>1.10107</v>
      </c>
      <c r="GF17">
        <v>2.6355</v>
      </c>
      <c r="GG17">
        <v>1.7981</v>
      </c>
      <c r="GH17">
        <v>2.3779300000000001</v>
      </c>
      <c r="GI17">
        <v>1.5979000000000001</v>
      </c>
      <c r="GJ17">
        <v>2.4230999999999998</v>
      </c>
      <c r="GK17">
        <v>35.964500000000001</v>
      </c>
      <c r="GL17">
        <v>24.157499999999999</v>
      </c>
      <c r="GM17">
        <v>18</v>
      </c>
      <c r="GN17">
        <v>369.95800000000003</v>
      </c>
      <c r="GO17">
        <v>661.53899999999999</v>
      </c>
      <c r="GP17">
        <v>25.829699999999999</v>
      </c>
      <c r="GQ17">
        <v>27.956</v>
      </c>
      <c r="GR17">
        <v>30</v>
      </c>
      <c r="GS17">
        <v>27.914999999999999</v>
      </c>
      <c r="GT17">
        <v>27.938400000000001</v>
      </c>
      <c r="GU17">
        <v>21.999600000000001</v>
      </c>
      <c r="GV17">
        <v>39.856200000000001</v>
      </c>
      <c r="GW17">
        <v>0</v>
      </c>
      <c r="GX17">
        <v>25.83</v>
      </c>
      <c r="GY17">
        <v>450</v>
      </c>
      <c r="GZ17">
        <v>19.5</v>
      </c>
      <c r="HA17">
        <v>100.398</v>
      </c>
      <c r="HB17">
        <v>70.370199999999997</v>
      </c>
    </row>
    <row r="18" spans="1:210" x14ac:dyDescent="0.3">
      <c r="A18">
        <v>2</v>
      </c>
      <c r="B18">
        <v>1750688537</v>
      </c>
      <c r="C18">
        <v>180.5</v>
      </c>
      <c r="D18" t="s">
        <v>345</v>
      </c>
      <c r="E18" t="s">
        <v>346</v>
      </c>
      <c r="F18">
        <v>15</v>
      </c>
      <c r="G18">
        <v>1750688529.25</v>
      </c>
      <c r="H18">
        <f t="shared" si="0"/>
        <v>2.8580093831908023E-3</v>
      </c>
      <c r="I18">
        <f t="shared" si="1"/>
        <v>2.8580093831908022</v>
      </c>
      <c r="J18">
        <f t="shared" si="2"/>
        <v>13.942756910842583</v>
      </c>
      <c r="K18">
        <f t="shared" si="3"/>
        <v>266.90063333333342</v>
      </c>
      <c r="L18">
        <f t="shared" si="4"/>
        <v>200.18725770681581</v>
      </c>
      <c r="M18">
        <f t="shared" si="5"/>
        <v>20.287407680490425</v>
      </c>
      <c r="N18">
        <f t="shared" si="6"/>
        <v>27.048284794152863</v>
      </c>
      <c r="O18">
        <f t="shared" si="7"/>
        <v>0.37579923045873204</v>
      </c>
      <c r="P18">
        <f t="shared" si="8"/>
        <v>2.4149972415125585</v>
      </c>
      <c r="Q18">
        <f t="shared" si="9"/>
        <v>0.34648938764152354</v>
      </c>
      <c r="R18">
        <f t="shared" si="10"/>
        <v>0.21899997656120701</v>
      </c>
      <c r="S18">
        <f t="shared" si="11"/>
        <v>179.03316833333335</v>
      </c>
      <c r="T18">
        <f t="shared" si="12"/>
        <v>27.275278999445295</v>
      </c>
      <c r="U18">
        <f t="shared" si="13"/>
        <v>26.25863</v>
      </c>
      <c r="V18">
        <f t="shared" si="14"/>
        <v>3.4262444726949814</v>
      </c>
      <c r="W18">
        <f t="shared" si="15"/>
        <v>73.492270632800739</v>
      </c>
      <c r="X18">
        <f t="shared" si="16"/>
        <v>2.6152426918601441</v>
      </c>
      <c r="Y18">
        <f t="shared" si="17"/>
        <v>3.5585275422051263</v>
      </c>
      <c r="Z18">
        <f t="shared" si="18"/>
        <v>0.81100178083483732</v>
      </c>
      <c r="AA18">
        <f t="shared" si="19"/>
        <v>-126.03821379871438</v>
      </c>
      <c r="AB18">
        <f t="shared" si="20"/>
        <v>83.713412087052049</v>
      </c>
      <c r="AC18">
        <f t="shared" si="21"/>
        <v>7.4495333610441401</v>
      </c>
      <c r="AD18">
        <f t="shared" si="22"/>
        <v>144.15789998271515</v>
      </c>
      <c r="AE18">
        <f t="shared" si="23"/>
        <v>13.942756910842583</v>
      </c>
      <c r="AF18">
        <f t="shared" si="24"/>
        <v>2.8580093831908022</v>
      </c>
      <c r="AG18">
        <f t="shared" si="25"/>
        <v>13.940592652393303</v>
      </c>
      <c r="AH18">
        <v>305.93261019281192</v>
      </c>
      <c r="AI18">
        <v>273.94329090909088</v>
      </c>
      <c r="AJ18">
        <v>5.4498653463772723E-6</v>
      </c>
      <c r="AK18">
        <v>84.019814156764028</v>
      </c>
      <c r="AL18">
        <f t="shared" si="26"/>
        <v>2.8606728657922664</v>
      </c>
      <c r="AM18">
        <v>19.540910598574019</v>
      </c>
      <c r="AN18">
        <v>25.81084255639097</v>
      </c>
      <c r="AO18">
        <v>1.281696694873633E-6</v>
      </c>
      <c r="AP18">
        <v>90.504844094183341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53544.863405334909</v>
      </c>
      <c r="AV18">
        <f t="shared" si="30"/>
        <v>942.27983333333339</v>
      </c>
      <c r="AW18">
        <f t="shared" si="31"/>
        <v>753.82386666666673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339</v>
      </c>
      <c r="BC18">
        <v>2</v>
      </c>
      <c r="BD18" t="b">
        <v>0</v>
      </c>
      <c r="BE18">
        <v>1750688529.25</v>
      </c>
      <c r="BF18">
        <v>266.90063333333342</v>
      </c>
      <c r="BG18">
        <v>299.98583333333329</v>
      </c>
      <c r="BH18">
        <v>25.806069999999991</v>
      </c>
      <c r="BI18">
        <v>19.54193333333334</v>
      </c>
      <c r="BJ18">
        <v>266.93716666666671</v>
      </c>
      <c r="BK18">
        <v>25.62836333333334</v>
      </c>
      <c r="BL18">
        <v>400.0279666666666</v>
      </c>
      <c r="BM18">
        <v>101.2421333333334</v>
      </c>
      <c r="BN18">
        <v>0.10001957333333331</v>
      </c>
      <c r="BO18">
        <v>26.901603333333341</v>
      </c>
      <c r="BP18">
        <v>26.25863</v>
      </c>
      <c r="BQ18">
        <v>999.9000000000002</v>
      </c>
      <c r="BR18">
        <v>0</v>
      </c>
      <c r="BS18">
        <v>0</v>
      </c>
      <c r="BT18">
        <v>9998.7000000000007</v>
      </c>
      <c r="BU18">
        <v>942.27983333333339</v>
      </c>
      <c r="BV18">
        <v>16.876200000000001</v>
      </c>
      <c r="BW18">
        <v>-33.085169999999998</v>
      </c>
      <c r="BX18">
        <v>273.97086666666672</v>
      </c>
      <c r="BY18">
        <v>305.96503333333328</v>
      </c>
      <c r="BZ18">
        <v>6.2641540000000004</v>
      </c>
      <c r="CA18">
        <v>299.98583333333329</v>
      </c>
      <c r="CB18">
        <v>19.54193333333334</v>
      </c>
      <c r="CC18">
        <v>2.6126633333333329</v>
      </c>
      <c r="CD18">
        <v>1.9784673333333329</v>
      </c>
      <c r="CE18">
        <v>21.745903333333331</v>
      </c>
      <c r="CF18">
        <v>17.273046666666669</v>
      </c>
      <c r="CG18">
        <v>1750678216.5</v>
      </c>
      <c r="CH18" t="s">
        <v>340</v>
      </c>
      <c r="CI18">
        <v>1750678216.5</v>
      </c>
      <c r="CJ18">
        <v>1750678216.5</v>
      </c>
      <c r="CK18">
        <v>4</v>
      </c>
      <c r="CL18">
        <v>-0.11</v>
      </c>
      <c r="CM18">
        <v>-2.7E-2</v>
      </c>
      <c r="CN18">
        <v>1.548</v>
      </c>
      <c r="CO18">
        <v>0.17799999999999999</v>
      </c>
      <c r="CP18">
        <v>450</v>
      </c>
      <c r="CQ18">
        <v>19</v>
      </c>
      <c r="CR18">
        <v>0.32</v>
      </c>
      <c r="CS18">
        <v>0.12</v>
      </c>
      <c r="CT18">
        <v>-33.070378048780491</v>
      </c>
      <c r="CU18">
        <v>-0.291432752613216</v>
      </c>
      <c r="CV18">
        <v>3.3975044731175998E-2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6.2631746341463419</v>
      </c>
      <c r="DC18">
        <v>3.574390243903091E-2</v>
      </c>
      <c r="DD18">
        <v>4.7959922789055816E-3</v>
      </c>
      <c r="DE18">
        <v>1</v>
      </c>
      <c r="DF18">
        <v>2</v>
      </c>
      <c r="DG18">
        <v>2</v>
      </c>
      <c r="DH18" t="s">
        <v>341</v>
      </c>
      <c r="DI18">
        <v>3.0246599999999999</v>
      </c>
      <c r="DJ18">
        <v>2.6911800000000001</v>
      </c>
      <c r="DK18">
        <v>6.7476999999999995E-2</v>
      </c>
      <c r="DL18">
        <v>7.4658000000000002E-2</v>
      </c>
      <c r="DM18">
        <v>0.12587699999999999</v>
      </c>
      <c r="DN18">
        <v>0.104439</v>
      </c>
      <c r="DO18">
        <v>25965.5</v>
      </c>
      <c r="DP18">
        <v>17330.2</v>
      </c>
      <c r="DQ18">
        <v>26420.9</v>
      </c>
      <c r="DR18">
        <v>17022.400000000001</v>
      </c>
      <c r="DS18">
        <v>32846</v>
      </c>
      <c r="DT18">
        <v>19892.599999999999</v>
      </c>
      <c r="DU18">
        <v>38492.199999999997</v>
      </c>
      <c r="DV18">
        <v>22535.5</v>
      </c>
      <c r="DW18">
        <v>1.8033999999999999</v>
      </c>
      <c r="DX18">
        <v>2.173</v>
      </c>
      <c r="DY18">
        <v>7.5215099999999993E-2</v>
      </c>
      <c r="DZ18">
        <v>0</v>
      </c>
      <c r="EA18">
        <v>25.029800000000002</v>
      </c>
      <c r="EB18">
        <v>999.9</v>
      </c>
      <c r="EC18">
        <v>60.1</v>
      </c>
      <c r="ED18">
        <v>32.5</v>
      </c>
      <c r="EE18">
        <v>29.156500000000001</v>
      </c>
      <c r="EF18">
        <v>62.738700000000001</v>
      </c>
      <c r="EG18">
        <v>36.710700000000003</v>
      </c>
      <c r="EH18">
        <v>1</v>
      </c>
      <c r="EI18">
        <v>6.5111799999999997E-2</v>
      </c>
      <c r="EJ18">
        <v>2.4052299999999999E-2</v>
      </c>
      <c r="EK18">
        <v>20.327500000000001</v>
      </c>
      <c r="EL18">
        <v>5.25143</v>
      </c>
      <c r="EM18">
        <v>11.962</v>
      </c>
      <c r="EN18">
        <v>4.9895199999999997</v>
      </c>
      <c r="EO18">
        <v>3.2915199999999998</v>
      </c>
      <c r="EP18">
        <v>9999</v>
      </c>
      <c r="EQ18">
        <v>9999</v>
      </c>
      <c r="ER18">
        <v>9999</v>
      </c>
      <c r="ES18">
        <v>999.9</v>
      </c>
      <c r="ET18">
        <v>4.9726999999999997</v>
      </c>
      <c r="EU18">
        <v>1.87195</v>
      </c>
      <c r="EV18">
        <v>1.8722300000000001</v>
      </c>
      <c r="EW18">
        <v>1.8772599999999999</v>
      </c>
      <c r="EX18">
        <v>1.87134</v>
      </c>
      <c r="EY18">
        <v>1.87212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-3.5999999999999997E-2</v>
      </c>
      <c r="FP18">
        <v>0.17780000000000001</v>
      </c>
      <c r="FQ18">
        <v>-2.1949045684245019</v>
      </c>
      <c r="FR18">
        <v>7.6898218637449396E-3</v>
      </c>
      <c r="FS18">
        <v>1.5097418776848419E-6</v>
      </c>
      <c r="FT18">
        <v>-9.8458676114205118E-11</v>
      </c>
      <c r="FU18">
        <v>0.17771499999999921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172</v>
      </c>
      <c r="GD18">
        <v>172</v>
      </c>
      <c r="GE18">
        <v>0.79956099999999997</v>
      </c>
      <c r="GF18">
        <v>2.63062</v>
      </c>
      <c r="GG18">
        <v>1.7981</v>
      </c>
      <c r="GH18">
        <v>2.3791500000000001</v>
      </c>
      <c r="GI18">
        <v>1.5979000000000001</v>
      </c>
      <c r="GJ18">
        <v>2.52441</v>
      </c>
      <c r="GK18">
        <v>36.011299999999999</v>
      </c>
      <c r="GL18">
        <v>24.1663</v>
      </c>
      <c r="GM18">
        <v>18</v>
      </c>
      <c r="GN18">
        <v>369.65</v>
      </c>
      <c r="GO18">
        <v>661.31799999999998</v>
      </c>
      <c r="GP18">
        <v>25.829899999999999</v>
      </c>
      <c r="GQ18">
        <v>27.927499999999998</v>
      </c>
      <c r="GR18">
        <v>30.0002</v>
      </c>
      <c r="GS18">
        <v>27.887</v>
      </c>
      <c r="GT18">
        <v>27.912099999999999</v>
      </c>
      <c r="GU18">
        <v>15.9634</v>
      </c>
      <c r="GV18">
        <v>39.856200000000001</v>
      </c>
      <c r="GW18">
        <v>0</v>
      </c>
      <c r="GX18">
        <v>25.83</v>
      </c>
      <c r="GY18">
        <v>300</v>
      </c>
      <c r="GZ18">
        <v>19.5</v>
      </c>
      <c r="HA18">
        <v>100.402</v>
      </c>
      <c r="HB18">
        <v>70.371200000000002</v>
      </c>
    </row>
    <row r="19" spans="1:210" x14ac:dyDescent="0.3">
      <c r="A19">
        <v>3</v>
      </c>
      <c r="B19">
        <v>1750688717.5</v>
      </c>
      <c r="C19">
        <v>361</v>
      </c>
      <c r="D19" t="s">
        <v>347</v>
      </c>
      <c r="E19" t="s">
        <v>348</v>
      </c>
      <c r="F19">
        <v>15</v>
      </c>
      <c r="G19">
        <v>1750688709.75</v>
      </c>
      <c r="H19">
        <f t="shared" si="0"/>
        <v>2.8884850734748348E-3</v>
      </c>
      <c r="I19">
        <f t="shared" si="1"/>
        <v>2.8884850734748349</v>
      </c>
      <c r="J19">
        <f t="shared" si="2"/>
        <v>8.5627073566969614</v>
      </c>
      <c r="K19">
        <f t="shared" si="3"/>
        <v>179.58166666666659</v>
      </c>
      <c r="L19">
        <f t="shared" si="4"/>
        <v>139.62786443593944</v>
      </c>
      <c r="M19">
        <f t="shared" si="5"/>
        <v>14.151542674193285</v>
      </c>
      <c r="N19">
        <f t="shared" si="6"/>
        <v>18.200934531245004</v>
      </c>
      <c r="O19">
        <f t="shared" si="7"/>
        <v>0.38843946134411467</v>
      </c>
      <c r="P19">
        <f t="shared" si="8"/>
        <v>2.4148068829862575</v>
      </c>
      <c r="Q19">
        <f t="shared" si="9"/>
        <v>0.35720952895892838</v>
      </c>
      <c r="R19">
        <f t="shared" si="10"/>
        <v>0.22585393218739772</v>
      </c>
      <c r="S19">
        <f t="shared" si="11"/>
        <v>178.96663033333337</v>
      </c>
      <c r="T19">
        <f t="shared" si="12"/>
        <v>27.230023429234503</v>
      </c>
      <c r="U19">
        <f t="shared" si="13"/>
        <v>26.215476666666671</v>
      </c>
      <c r="V19">
        <f t="shared" si="14"/>
        <v>3.4175221102262618</v>
      </c>
      <c r="W19">
        <f t="shared" si="15"/>
        <v>73.846284724993922</v>
      </c>
      <c r="X19">
        <f t="shared" si="16"/>
        <v>2.6223859310222615</v>
      </c>
      <c r="Y19">
        <f t="shared" si="17"/>
        <v>3.5511413211756233</v>
      </c>
      <c r="Z19">
        <f t="shared" si="18"/>
        <v>0.79513617920400037</v>
      </c>
      <c r="AA19">
        <f t="shared" si="19"/>
        <v>-127.38219174024022</v>
      </c>
      <c r="AB19">
        <f t="shared" si="20"/>
        <v>84.723140552676497</v>
      </c>
      <c r="AC19">
        <f t="shared" si="21"/>
        <v>7.5370189510219285</v>
      </c>
      <c r="AD19">
        <f t="shared" si="22"/>
        <v>143.84459809679157</v>
      </c>
      <c r="AE19">
        <f t="shared" si="23"/>
        <v>8.5627073566969614</v>
      </c>
      <c r="AF19">
        <f t="shared" si="24"/>
        <v>2.8884850734748349</v>
      </c>
      <c r="AG19">
        <f t="shared" si="25"/>
        <v>8.578710715692127</v>
      </c>
      <c r="AH19">
        <v>204.03411984349</v>
      </c>
      <c r="AI19">
        <v>184.3467333333333</v>
      </c>
      <c r="AJ19">
        <v>-8.1040990140853906E-5</v>
      </c>
      <c r="AK19">
        <v>84.019814156764028</v>
      </c>
      <c r="AL19">
        <f t="shared" si="26"/>
        <v>2.8874362181273447</v>
      </c>
      <c r="AM19">
        <v>19.54481912535713</v>
      </c>
      <c r="AN19">
        <v>25.873853082706749</v>
      </c>
      <c r="AO19">
        <v>2.004774932934977E-7</v>
      </c>
      <c r="AP19">
        <v>90.504844094183341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53545.020344807272</v>
      </c>
      <c r="AV19">
        <f t="shared" si="30"/>
        <v>941.92963333333353</v>
      </c>
      <c r="AW19">
        <f t="shared" si="31"/>
        <v>753.54370666666682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339</v>
      </c>
      <c r="BC19">
        <v>2</v>
      </c>
      <c r="BD19" t="b">
        <v>0</v>
      </c>
      <c r="BE19">
        <v>1750688709.75</v>
      </c>
      <c r="BF19">
        <v>179.58166666666659</v>
      </c>
      <c r="BG19">
        <v>200.01616666666669</v>
      </c>
      <c r="BH19">
        <v>25.87408000000001</v>
      </c>
      <c r="BI19">
        <v>19.54274666666667</v>
      </c>
      <c r="BJ19">
        <v>180.34113333333329</v>
      </c>
      <c r="BK19">
        <v>25.696359999999991</v>
      </c>
      <c r="BL19">
        <v>399.97473333333329</v>
      </c>
      <c r="BM19">
        <v>101.2518666666667</v>
      </c>
      <c r="BN19">
        <v>9.9985496666666673E-2</v>
      </c>
      <c r="BO19">
        <v>26.866256666666661</v>
      </c>
      <c r="BP19">
        <v>26.215476666666671</v>
      </c>
      <c r="BQ19">
        <v>999.9000000000002</v>
      </c>
      <c r="BR19">
        <v>0</v>
      </c>
      <c r="BS19">
        <v>0</v>
      </c>
      <c r="BT19">
        <v>9996.5</v>
      </c>
      <c r="BU19">
        <v>941.92963333333353</v>
      </c>
      <c r="BV19">
        <v>16.876200000000001</v>
      </c>
      <c r="BW19">
        <v>-20.434523333333331</v>
      </c>
      <c r="BX19">
        <v>184.3515000000001</v>
      </c>
      <c r="BY19">
        <v>204.0028666666667</v>
      </c>
      <c r="BZ19">
        <v>6.3313286666666659</v>
      </c>
      <c r="CA19">
        <v>200.01616666666669</v>
      </c>
      <c r="CB19">
        <v>19.54274666666667</v>
      </c>
      <c r="CC19">
        <v>2.6198000000000001</v>
      </c>
      <c r="CD19">
        <v>1.978740666666666</v>
      </c>
      <c r="CE19">
        <v>21.79054</v>
      </c>
      <c r="CF19">
        <v>17.27524</v>
      </c>
      <c r="CG19">
        <v>1750678216.5</v>
      </c>
      <c r="CH19" t="s">
        <v>340</v>
      </c>
      <c r="CI19">
        <v>1750678216.5</v>
      </c>
      <c r="CJ19">
        <v>1750678216.5</v>
      </c>
      <c r="CK19">
        <v>4</v>
      </c>
      <c r="CL19">
        <v>-0.11</v>
      </c>
      <c r="CM19">
        <v>-2.7E-2</v>
      </c>
      <c r="CN19">
        <v>1.548</v>
      </c>
      <c r="CO19">
        <v>0.17799999999999999</v>
      </c>
      <c r="CP19">
        <v>450</v>
      </c>
      <c r="CQ19">
        <v>19</v>
      </c>
      <c r="CR19">
        <v>0.32</v>
      </c>
      <c r="CS19">
        <v>0.12</v>
      </c>
      <c r="CT19">
        <v>-20.416965000000001</v>
      </c>
      <c r="CU19">
        <v>-0.26248705440900072</v>
      </c>
      <c r="CV19">
        <v>3.973454762546072E-2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6.3310912500000001</v>
      </c>
      <c r="DC19">
        <v>-6.9264540339238241E-4</v>
      </c>
      <c r="DD19">
        <v>1.1170254865042119E-3</v>
      </c>
      <c r="DE19">
        <v>1</v>
      </c>
      <c r="DF19">
        <v>2</v>
      </c>
      <c r="DG19">
        <v>2</v>
      </c>
      <c r="DH19" t="s">
        <v>341</v>
      </c>
      <c r="DI19">
        <v>3.02468</v>
      </c>
      <c r="DJ19">
        <v>2.6912699999999998</v>
      </c>
      <c r="DK19">
        <v>4.79925E-2</v>
      </c>
      <c r="DL19">
        <v>5.2877399999999998E-2</v>
      </c>
      <c r="DM19">
        <v>0.126114</v>
      </c>
      <c r="DN19">
        <v>0.104464</v>
      </c>
      <c r="DO19">
        <v>26509.3</v>
      </c>
      <c r="DP19">
        <v>17738.8</v>
      </c>
      <c r="DQ19">
        <v>26422.1</v>
      </c>
      <c r="DR19">
        <v>17023.099999999999</v>
      </c>
      <c r="DS19">
        <v>32837.599999999999</v>
      </c>
      <c r="DT19">
        <v>19892.400000000001</v>
      </c>
      <c r="DU19">
        <v>38493.800000000003</v>
      </c>
      <c r="DV19">
        <v>22536.3</v>
      </c>
      <c r="DW19">
        <v>1.8042800000000001</v>
      </c>
      <c r="DX19">
        <v>2.1726399999999999</v>
      </c>
      <c r="DY19">
        <v>7.4204800000000001E-2</v>
      </c>
      <c r="DZ19">
        <v>0</v>
      </c>
      <c r="EA19">
        <v>24.995799999999999</v>
      </c>
      <c r="EB19">
        <v>999.9</v>
      </c>
      <c r="EC19">
        <v>60</v>
      </c>
      <c r="ED19">
        <v>32.5</v>
      </c>
      <c r="EE19">
        <v>29.106999999999999</v>
      </c>
      <c r="EF19">
        <v>62.768700000000003</v>
      </c>
      <c r="EG19">
        <v>37.183500000000002</v>
      </c>
      <c r="EH19">
        <v>1</v>
      </c>
      <c r="EI19">
        <v>6.2888200000000005E-2</v>
      </c>
      <c r="EJ19">
        <v>-6.9281000000000004E-3</v>
      </c>
      <c r="EK19">
        <v>20.326599999999999</v>
      </c>
      <c r="EL19">
        <v>5.2461599999999997</v>
      </c>
      <c r="EM19">
        <v>11.962</v>
      </c>
      <c r="EN19">
        <v>4.9889200000000002</v>
      </c>
      <c r="EO19">
        <v>3.29114</v>
      </c>
      <c r="EP19">
        <v>9999</v>
      </c>
      <c r="EQ19">
        <v>9999</v>
      </c>
      <c r="ER19">
        <v>9999</v>
      </c>
      <c r="ES19">
        <v>999.9</v>
      </c>
      <c r="ET19">
        <v>4.9727300000000003</v>
      </c>
      <c r="EU19">
        <v>1.87195</v>
      </c>
      <c r="EV19">
        <v>1.87222</v>
      </c>
      <c r="EW19">
        <v>1.8772800000000001</v>
      </c>
      <c r="EX19">
        <v>1.8713500000000001</v>
      </c>
      <c r="EY19">
        <v>1.8721000000000001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-0.75900000000000001</v>
      </c>
      <c r="FP19">
        <v>0.1777</v>
      </c>
      <c r="FQ19">
        <v>-2.1949045684245019</v>
      </c>
      <c r="FR19">
        <v>7.6898218637449396E-3</v>
      </c>
      <c r="FS19">
        <v>1.5097418776848419E-6</v>
      </c>
      <c r="FT19">
        <v>-9.8458676114205118E-11</v>
      </c>
      <c r="FU19">
        <v>0.17771499999999921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175</v>
      </c>
      <c r="GD19">
        <v>175</v>
      </c>
      <c r="GE19">
        <v>0.58715799999999996</v>
      </c>
      <c r="GF19">
        <v>2.65015</v>
      </c>
      <c r="GG19">
        <v>1.7981</v>
      </c>
      <c r="GH19">
        <v>2.3791500000000001</v>
      </c>
      <c r="GI19">
        <v>1.5979000000000001</v>
      </c>
      <c r="GJ19">
        <v>2.5585900000000001</v>
      </c>
      <c r="GK19">
        <v>36.034700000000001</v>
      </c>
      <c r="GL19">
        <v>24.1663</v>
      </c>
      <c r="GM19">
        <v>18</v>
      </c>
      <c r="GN19">
        <v>369.92500000000001</v>
      </c>
      <c r="GO19">
        <v>660.66</v>
      </c>
      <c r="GP19">
        <v>25.829499999999999</v>
      </c>
      <c r="GQ19">
        <v>27.898900000000001</v>
      </c>
      <c r="GR19">
        <v>30</v>
      </c>
      <c r="GS19">
        <v>27.8596</v>
      </c>
      <c r="GT19">
        <v>27.883700000000001</v>
      </c>
      <c r="GU19">
        <v>11.7075</v>
      </c>
      <c r="GV19">
        <v>39.856200000000001</v>
      </c>
      <c r="GW19">
        <v>0</v>
      </c>
      <c r="GX19">
        <v>25.83</v>
      </c>
      <c r="GY19">
        <v>200</v>
      </c>
      <c r="GZ19">
        <v>19.5</v>
      </c>
      <c r="HA19">
        <v>100.40600000000001</v>
      </c>
      <c r="HB19">
        <v>70.373800000000003</v>
      </c>
    </row>
    <row r="20" spans="1:210" x14ac:dyDescent="0.3">
      <c r="A20">
        <v>4</v>
      </c>
      <c r="B20">
        <v>1750688898</v>
      </c>
      <c r="C20">
        <v>541.5</v>
      </c>
      <c r="D20" t="s">
        <v>349</v>
      </c>
      <c r="E20" t="s">
        <v>350</v>
      </c>
      <c r="F20">
        <v>15</v>
      </c>
      <c r="G20">
        <v>1750688890.25</v>
      </c>
      <c r="H20">
        <f t="shared" si="0"/>
        <v>2.9016842457568119E-3</v>
      </c>
      <c r="I20">
        <f t="shared" si="1"/>
        <v>2.9016842457568117</v>
      </c>
      <c r="J20">
        <f t="shared" si="2"/>
        <v>4.3422233219692288</v>
      </c>
      <c r="K20">
        <f t="shared" si="3"/>
        <v>114.4780333333333</v>
      </c>
      <c r="L20">
        <f t="shared" si="4"/>
        <v>94.523487536326314</v>
      </c>
      <c r="M20">
        <f t="shared" si="5"/>
        <v>9.5805516630328942</v>
      </c>
      <c r="N20">
        <f t="shared" si="6"/>
        <v>11.603070741659895</v>
      </c>
      <c r="O20">
        <f t="shared" si="7"/>
        <v>0.40129880719565225</v>
      </c>
      <c r="P20">
        <f t="shared" si="8"/>
        <v>2.4155788816883126</v>
      </c>
      <c r="Q20">
        <f t="shared" si="9"/>
        <v>0.36807055390211474</v>
      </c>
      <c r="R20">
        <f t="shared" si="10"/>
        <v>0.23280166732180702</v>
      </c>
      <c r="S20">
        <f t="shared" si="11"/>
        <v>178.92858600000002</v>
      </c>
      <c r="T20">
        <f t="shared" si="12"/>
        <v>27.156055380393234</v>
      </c>
      <c r="U20">
        <f t="shared" si="13"/>
        <v>26.134963333333339</v>
      </c>
      <c r="V20">
        <f t="shared" si="14"/>
        <v>3.4013001916725121</v>
      </c>
      <c r="W20">
        <f t="shared" si="15"/>
        <v>74.251397692597735</v>
      </c>
      <c r="X20">
        <f t="shared" si="16"/>
        <v>2.6260159060948158</v>
      </c>
      <c r="Y20">
        <f t="shared" si="17"/>
        <v>3.536655184548275</v>
      </c>
      <c r="Z20">
        <f t="shared" si="18"/>
        <v>0.77528428557769624</v>
      </c>
      <c r="AA20">
        <f t="shared" si="19"/>
        <v>-127.9642752378754</v>
      </c>
      <c r="AB20">
        <f t="shared" si="20"/>
        <v>86.183175683382245</v>
      </c>
      <c r="AC20">
        <f t="shared" si="21"/>
        <v>7.658697939011998</v>
      </c>
      <c r="AD20">
        <f t="shared" si="22"/>
        <v>144.80618438451887</v>
      </c>
      <c r="AE20">
        <f t="shared" si="23"/>
        <v>4.3422233219692288</v>
      </c>
      <c r="AF20">
        <f t="shared" si="24"/>
        <v>2.9016842457568117</v>
      </c>
      <c r="AG20">
        <f t="shared" si="25"/>
        <v>4.3500647010516351</v>
      </c>
      <c r="AH20">
        <v>127.4849517115922</v>
      </c>
      <c r="AI20">
        <v>117.5038363636363</v>
      </c>
      <c r="AJ20">
        <v>-1.15909104570807E-4</v>
      </c>
      <c r="AK20">
        <v>84.019814156764028</v>
      </c>
      <c r="AL20">
        <f t="shared" si="26"/>
        <v>2.901742878827358</v>
      </c>
      <c r="AM20">
        <v>19.548863782779431</v>
      </c>
      <c r="AN20">
        <v>25.908180451127791</v>
      </c>
      <c r="AO20">
        <v>6.0859382844084141E-7</v>
      </c>
      <c r="AP20">
        <v>90.504844094183341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53583.351417086502</v>
      </c>
      <c r="AV20">
        <f t="shared" si="30"/>
        <v>941.72940000000006</v>
      </c>
      <c r="AW20">
        <f t="shared" si="31"/>
        <v>753.38352000000009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339</v>
      </c>
      <c r="BC20">
        <v>2</v>
      </c>
      <c r="BD20" t="b">
        <v>0</v>
      </c>
      <c r="BE20">
        <v>1750688890.25</v>
      </c>
      <c r="BF20">
        <v>114.4780333333333</v>
      </c>
      <c r="BG20">
        <v>124.99469999999999</v>
      </c>
      <c r="BH20">
        <v>25.908756666666669</v>
      </c>
      <c r="BI20">
        <v>19.549566666666671</v>
      </c>
      <c r="BJ20">
        <v>115.7628666666667</v>
      </c>
      <c r="BK20">
        <v>25.731033333333329</v>
      </c>
      <c r="BL20">
        <v>400.02809999999988</v>
      </c>
      <c r="BM20">
        <v>101.2563333333333</v>
      </c>
      <c r="BN20">
        <v>9.9974106666666659E-2</v>
      </c>
      <c r="BO20">
        <v>26.79674666666666</v>
      </c>
      <c r="BP20">
        <v>26.134963333333339</v>
      </c>
      <c r="BQ20">
        <v>999.9000000000002</v>
      </c>
      <c r="BR20">
        <v>0</v>
      </c>
      <c r="BS20">
        <v>0</v>
      </c>
      <c r="BT20">
        <v>10001.08333333333</v>
      </c>
      <c r="BU20">
        <v>941.72940000000006</v>
      </c>
      <c r="BV20">
        <v>16.876200000000001</v>
      </c>
      <c r="BW20">
        <v>-10.51655333333334</v>
      </c>
      <c r="BX20">
        <v>117.52290000000001</v>
      </c>
      <c r="BY20">
        <v>127.4869333333333</v>
      </c>
      <c r="BZ20">
        <v>6.3591813333333338</v>
      </c>
      <c r="CA20">
        <v>124.99469999999999</v>
      </c>
      <c r="CB20">
        <v>19.549566666666671</v>
      </c>
      <c r="CC20">
        <v>2.623424</v>
      </c>
      <c r="CD20">
        <v>1.979517666666667</v>
      </c>
      <c r="CE20">
        <v>21.813176666666671</v>
      </c>
      <c r="CF20">
        <v>17.28144</v>
      </c>
      <c r="CG20">
        <v>1750678216.5</v>
      </c>
      <c r="CH20" t="s">
        <v>340</v>
      </c>
      <c r="CI20">
        <v>1750678216.5</v>
      </c>
      <c r="CJ20">
        <v>1750678216.5</v>
      </c>
      <c r="CK20">
        <v>4</v>
      </c>
      <c r="CL20">
        <v>-0.11</v>
      </c>
      <c r="CM20">
        <v>-2.7E-2</v>
      </c>
      <c r="CN20">
        <v>1.548</v>
      </c>
      <c r="CO20">
        <v>0.17799999999999999</v>
      </c>
      <c r="CP20">
        <v>450</v>
      </c>
      <c r="CQ20">
        <v>19</v>
      </c>
      <c r="CR20">
        <v>0.32</v>
      </c>
      <c r="CS20">
        <v>0.12</v>
      </c>
      <c r="CT20">
        <v>-10.52176585365854</v>
      </c>
      <c r="CU20">
        <v>4.7285017421601447E-2</v>
      </c>
      <c r="CV20">
        <v>1.8556710833393691E-2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6.3581902439024383</v>
      </c>
      <c r="DC20">
        <v>1.587867595819278E-2</v>
      </c>
      <c r="DD20">
        <v>2.1453983515545799E-3</v>
      </c>
      <c r="DE20">
        <v>1</v>
      </c>
      <c r="DF20">
        <v>2</v>
      </c>
      <c r="DG20">
        <v>2</v>
      </c>
      <c r="DH20" t="s">
        <v>341</v>
      </c>
      <c r="DI20">
        <v>3.0247899999999999</v>
      </c>
      <c r="DJ20">
        <v>2.6913200000000002</v>
      </c>
      <c r="DK20">
        <v>3.1792399999999998E-2</v>
      </c>
      <c r="DL20">
        <v>3.4344899999999998E-2</v>
      </c>
      <c r="DM20">
        <v>0.12625</v>
      </c>
      <c r="DN20">
        <v>0.104517</v>
      </c>
      <c r="DO20">
        <v>26963.7</v>
      </c>
      <c r="DP20">
        <v>18088</v>
      </c>
      <c r="DQ20">
        <v>26425.1</v>
      </c>
      <c r="DR20">
        <v>17024.900000000001</v>
      </c>
      <c r="DS20">
        <v>32835.199999999997</v>
      </c>
      <c r="DT20">
        <v>19892.3</v>
      </c>
      <c r="DU20">
        <v>38498.300000000003</v>
      </c>
      <c r="DV20">
        <v>22538.1</v>
      </c>
      <c r="DW20">
        <v>1.8051200000000001</v>
      </c>
      <c r="DX20">
        <v>2.1735600000000002</v>
      </c>
      <c r="DY20">
        <v>7.7199900000000002E-2</v>
      </c>
      <c r="DZ20">
        <v>0</v>
      </c>
      <c r="EA20">
        <v>24.8675</v>
      </c>
      <c r="EB20">
        <v>999.9</v>
      </c>
      <c r="EC20">
        <v>60</v>
      </c>
      <c r="ED20">
        <v>32.6</v>
      </c>
      <c r="EE20">
        <v>29.2713</v>
      </c>
      <c r="EF20">
        <v>62.8187</v>
      </c>
      <c r="EG20">
        <v>36.806899999999999</v>
      </c>
      <c r="EH20">
        <v>1</v>
      </c>
      <c r="EI20">
        <v>5.79106E-2</v>
      </c>
      <c r="EJ20">
        <v>-6.9392200000000001E-2</v>
      </c>
      <c r="EK20">
        <v>20.327500000000001</v>
      </c>
      <c r="EL20">
        <v>5.2529899999999996</v>
      </c>
      <c r="EM20">
        <v>11.962</v>
      </c>
      <c r="EN20">
        <v>4.98956</v>
      </c>
      <c r="EO20">
        <v>3.2915999999999999</v>
      </c>
      <c r="EP20">
        <v>9999</v>
      </c>
      <c r="EQ20">
        <v>9999</v>
      </c>
      <c r="ER20">
        <v>9999</v>
      </c>
      <c r="ES20">
        <v>999.9</v>
      </c>
      <c r="ET20">
        <v>4.9727100000000002</v>
      </c>
      <c r="EU20">
        <v>1.87195</v>
      </c>
      <c r="EV20">
        <v>1.8722300000000001</v>
      </c>
      <c r="EW20">
        <v>1.8772800000000001</v>
      </c>
      <c r="EX20">
        <v>1.8713599999999999</v>
      </c>
      <c r="EY20">
        <v>1.8721099999999999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-1.2849999999999999</v>
      </c>
      <c r="FP20">
        <v>0.1777</v>
      </c>
      <c r="FQ20">
        <v>-2.1949045684245019</v>
      </c>
      <c r="FR20">
        <v>7.6898218637449396E-3</v>
      </c>
      <c r="FS20">
        <v>1.5097418776848419E-6</v>
      </c>
      <c r="FT20">
        <v>-9.8458676114205118E-11</v>
      </c>
      <c r="FU20">
        <v>0.17771499999999921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178</v>
      </c>
      <c r="GD20">
        <v>178</v>
      </c>
      <c r="GE20">
        <v>0.42236299999999999</v>
      </c>
      <c r="GF20">
        <v>2.66479</v>
      </c>
      <c r="GG20">
        <v>1.7981</v>
      </c>
      <c r="GH20">
        <v>2.3791500000000001</v>
      </c>
      <c r="GI20">
        <v>1.5979000000000001</v>
      </c>
      <c r="GJ20">
        <v>2.4841299999999999</v>
      </c>
      <c r="GK20">
        <v>36.011299999999999</v>
      </c>
      <c r="GL20">
        <v>24.157499999999999</v>
      </c>
      <c r="GM20">
        <v>18</v>
      </c>
      <c r="GN20">
        <v>369.97699999999998</v>
      </c>
      <c r="GO20">
        <v>660.73800000000006</v>
      </c>
      <c r="GP20">
        <v>25.829699999999999</v>
      </c>
      <c r="GQ20">
        <v>27.829000000000001</v>
      </c>
      <c r="GR20">
        <v>29.9999</v>
      </c>
      <c r="GS20">
        <v>27.8018</v>
      </c>
      <c r="GT20">
        <v>27.825700000000001</v>
      </c>
      <c r="GU20">
        <v>8.4255200000000006</v>
      </c>
      <c r="GV20">
        <v>39.856200000000001</v>
      </c>
      <c r="GW20">
        <v>0</v>
      </c>
      <c r="GX20">
        <v>25.83</v>
      </c>
      <c r="GY20">
        <v>125</v>
      </c>
      <c r="GZ20">
        <v>19.5</v>
      </c>
      <c r="HA20">
        <v>100.41800000000001</v>
      </c>
      <c r="HB20">
        <v>70.380300000000005</v>
      </c>
    </row>
    <row r="21" spans="1:210" x14ac:dyDescent="0.3">
      <c r="A21">
        <v>5</v>
      </c>
      <c r="B21">
        <v>1750689078.5</v>
      </c>
      <c r="C21">
        <v>722</v>
      </c>
      <c r="D21" t="s">
        <v>351</v>
      </c>
      <c r="E21" t="s">
        <v>352</v>
      </c>
      <c r="F21">
        <v>15</v>
      </c>
      <c r="G21">
        <v>1750689070.75</v>
      </c>
      <c r="H21">
        <f t="shared" si="0"/>
        <v>2.9175268127369109E-3</v>
      </c>
      <c r="I21">
        <f t="shared" si="1"/>
        <v>2.9175268127369107</v>
      </c>
      <c r="J21">
        <f t="shared" si="2"/>
        <v>1.4254278794482294</v>
      </c>
      <c r="K21">
        <f t="shared" si="3"/>
        <v>71.320233333333334</v>
      </c>
      <c r="L21">
        <f t="shared" si="4"/>
        <v>64.520989133827456</v>
      </c>
      <c r="M21">
        <f t="shared" si="5"/>
        <v>6.5396300785744925</v>
      </c>
      <c r="N21">
        <f t="shared" si="6"/>
        <v>7.2287785630534707</v>
      </c>
      <c r="O21">
        <f t="shared" si="7"/>
        <v>0.41241878544492361</v>
      </c>
      <c r="P21">
        <f t="shared" si="8"/>
        <v>2.4169100316572174</v>
      </c>
      <c r="Q21">
        <f t="shared" si="9"/>
        <v>0.37742635311210149</v>
      </c>
      <c r="R21">
        <f t="shared" si="10"/>
        <v>0.23878949427609517</v>
      </c>
      <c r="S21">
        <f t="shared" si="11"/>
        <v>178.90724900000001</v>
      </c>
      <c r="T21">
        <f t="shared" si="12"/>
        <v>27.09293025065681</v>
      </c>
      <c r="U21">
        <f t="shared" si="13"/>
        <v>26.07551333333334</v>
      </c>
      <c r="V21">
        <f t="shared" si="14"/>
        <v>3.3893653360582112</v>
      </c>
      <c r="W21">
        <f t="shared" si="15"/>
        <v>74.593191144145692</v>
      </c>
      <c r="X21">
        <f t="shared" si="16"/>
        <v>2.6291345827370196</v>
      </c>
      <c r="Y21">
        <f t="shared" si="17"/>
        <v>3.5246307905723144</v>
      </c>
      <c r="Z21">
        <f t="shared" si="18"/>
        <v>0.76023075332119161</v>
      </c>
      <c r="AA21">
        <f t="shared" si="19"/>
        <v>-128.66293244169776</v>
      </c>
      <c r="AB21">
        <f t="shared" si="20"/>
        <v>86.434371578427545</v>
      </c>
      <c r="AC21">
        <f t="shared" si="21"/>
        <v>7.6722791645629886</v>
      </c>
      <c r="AD21">
        <f t="shared" si="22"/>
        <v>144.35096730129277</v>
      </c>
      <c r="AE21">
        <f t="shared" si="23"/>
        <v>1.4254278794482294</v>
      </c>
      <c r="AF21">
        <f t="shared" si="24"/>
        <v>2.9175268127369107</v>
      </c>
      <c r="AG21">
        <f t="shared" si="25"/>
        <v>1.4507370516911258</v>
      </c>
      <c r="AH21">
        <v>76.521743921025205</v>
      </c>
      <c r="AI21">
        <v>73.193674545454527</v>
      </c>
      <c r="AJ21">
        <v>-1.2296591963724819E-4</v>
      </c>
      <c r="AK21">
        <v>84.019814156764028</v>
      </c>
      <c r="AL21">
        <f t="shared" si="26"/>
        <v>2.9176275396526248</v>
      </c>
      <c r="AM21">
        <v>19.544901420666299</v>
      </c>
      <c r="AN21">
        <v>25.939064962406011</v>
      </c>
      <c r="AO21">
        <v>3.291844441317859E-7</v>
      </c>
      <c r="AP21">
        <v>90.504844094183341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53638.242679348186</v>
      </c>
      <c r="AV21">
        <f t="shared" si="30"/>
        <v>941.61710000000005</v>
      </c>
      <c r="AW21">
        <f t="shared" si="31"/>
        <v>753.29368000000011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339</v>
      </c>
      <c r="BC21">
        <v>2</v>
      </c>
      <c r="BD21" t="b">
        <v>0</v>
      </c>
      <c r="BE21">
        <v>1750689070.75</v>
      </c>
      <c r="BF21">
        <v>71.320233333333334</v>
      </c>
      <c r="BG21">
        <v>74.995499999999993</v>
      </c>
      <c r="BH21">
        <v>25.93944333333333</v>
      </c>
      <c r="BI21">
        <v>19.545500000000001</v>
      </c>
      <c r="BJ21">
        <v>72.946196666666665</v>
      </c>
      <c r="BK21">
        <v>25.76173</v>
      </c>
      <c r="BL21">
        <v>400.01339999999988</v>
      </c>
      <c r="BM21">
        <v>101.2566666666667</v>
      </c>
      <c r="BN21">
        <v>9.9964196666666671E-2</v>
      </c>
      <c r="BO21">
        <v>26.738859999999999</v>
      </c>
      <c r="BP21">
        <v>26.07551333333334</v>
      </c>
      <c r="BQ21">
        <v>999.9000000000002</v>
      </c>
      <c r="BR21">
        <v>0</v>
      </c>
      <c r="BS21">
        <v>0</v>
      </c>
      <c r="BT21">
        <v>10009.716666666671</v>
      </c>
      <c r="BU21">
        <v>941.61710000000005</v>
      </c>
      <c r="BV21">
        <v>16.876200000000001</v>
      </c>
      <c r="BW21">
        <v>-3.6752713333333329</v>
      </c>
      <c r="BX21">
        <v>73.219506666666646</v>
      </c>
      <c r="BY21">
        <v>76.490560000000002</v>
      </c>
      <c r="BZ21">
        <v>6.3939383333333346</v>
      </c>
      <c r="CA21">
        <v>74.995499999999993</v>
      </c>
      <c r="CB21">
        <v>19.545500000000001</v>
      </c>
      <c r="CC21">
        <v>2.6265386666666668</v>
      </c>
      <c r="CD21">
        <v>1.9791123333333329</v>
      </c>
      <c r="CE21">
        <v>21.832619999999999</v>
      </c>
      <c r="CF21">
        <v>17.278199999999998</v>
      </c>
      <c r="CG21">
        <v>1750678216.5</v>
      </c>
      <c r="CH21" t="s">
        <v>340</v>
      </c>
      <c r="CI21">
        <v>1750678216.5</v>
      </c>
      <c r="CJ21">
        <v>1750678216.5</v>
      </c>
      <c r="CK21">
        <v>4</v>
      </c>
      <c r="CL21">
        <v>-0.11</v>
      </c>
      <c r="CM21">
        <v>-2.7E-2</v>
      </c>
      <c r="CN21">
        <v>1.548</v>
      </c>
      <c r="CO21">
        <v>0.17799999999999999</v>
      </c>
      <c r="CP21">
        <v>450</v>
      </c>
      <c r="CQ21">
        <v>19</v>
      </c>
      <c r="CR21">
        <v>0.32</v>
      </c>
      <c r="CS21">
        <v>0.12</v>
      </c>
      <c r="CT21">
        <v>-3.6690546341463408</v>
      </c>
      <c r="CU21">
        <v>-0.1662541463414659</v>
      </c>
      <c r="CV21">
        <v>2.8387225407382879E-2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6.3922792682926826</v>
      </c>
      <c r="DC21">
        <v>1.813672473866863E-2</v>
      </c>
      <c r="DD21">
        <v>3.2777828543413472E-3</v>
      </c>
      <c r="DE21">
        <v>1</v>
      </c>
      <c r="DF21">
        <v>2</v>
      </c>
      <c r="DG21">
        <v>2</v>
      </c>
      <c r="DH21" t="s">
        <v>341</v>
      </c>
      <c r="DI21">
        <v>3.0247099999999998</v>
      </c>
      <c r="DJ21">
        <v>2.6911299999999998</v>
      </c>
      <c r="DK21">
        <v>2.0313100000000001E-2</v>
      </c>
      <c r="DL21">
        <v>2.0974E-2</v>
      </c>
      <c r="DM21">
        <v>0.126384</v>
      </c>
      <c r="DN21">
        <v>0.10452500000000001</v>
      </c>
      <c r="DO21">
        <v>27287.200000000001</v>
      </c>
      <c r="DP21">
        <v>18341.2</v>
      </c>
      <c r="DQ21">
        <v>26428.3</v>
      </c>
      <c r="DR21">
        <v>17027.3</v>
      </c>
      <c r="DS21">
        <v>32833.199999999997</v>
      </c>
      <c r="DT21">
        <v>19893.900000000001</v>
      </c>
      <c r="DU21">
        <v>38503.300000000003</v>
      </c>
      <c r="DV21">
        <v>22540.6</v>
      </c>
      <c r="DW21">
        <v>1.80586</v>
      </c>
      <c r="DX21">
        <v>2.1747000000000001</v>
      </c>
      <c r="DY21">
        <v>8.0096700000000007E-2</v>
      </c>
      <c r="DZ21">
        <v>0</v>
      </c>
      <c r="EA21">
        <v>24.7637</v>
      </c>
      <c r="EB21">
        <v>999.9</v>
      </c>
      <c r="EC21">
        <v>59.9</v>
      </c>
      <c r="ED21">
        <v>32.6</v>
      </c>
      <c r="EE21">
        <v>29.220500000000001</v>
      </c>
      <c r="EF21">
        <v>62.668700000000001</v>
      </c>
      <c r="EG21">
        <v>37.103400000000001</v>
      </c>
      <c r="EH21">
        <v>1</v>
      </c>
      <c r="EI21">
        <v>5.1205300000000002E-2</v>
      </c>
      <c r="EJ21">
        <v>-0.118298</v>
      </c>
      <c r="EK21">
        <v>20.327400000000001</v>
      </c>
      <c r="EL21">
        <v>5.2523900000000001</v>
      </c>
      <c r="EM21">
        <v>11.962</v>
      </c>
      <c r="EN21">
        <v>4.9896000000000003</v>
      </c>
      <c r="EO21">
        <v>3.2918599999999998</v>
      </c>
      <c r="EP21">
        <v>9999</v>
      </c>
      <c r="EQ21">
        <v>9999</v>
      </c>
      <c r="ER21">
        <v>9999</v>
      </c>
      <c r="ES21">
        <v>999.9</v>
      </c>
      <c r="ET21">
        <v>4.9727100000000002</v>
      </c>
      <c r="EU21">
        <v>1.87195</v>
      </c>
      <c r="EV21">
        <v>1.8722000000000001</v>
      </c>
      <c r="EW21">
        <v>1.8772599999999999</v>
      </c>
      <c r="EX21">
        <v>1.8713500000000001</v>
      </c>
      <c r="EY21">
        <v>1.8721000000000001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-1.6259999999999999</v>
      </c>
      <c r="FP21">
        <v>0.1777</v>
      </c>
      <c r="FQ21">
        <v>-2.1949045684245019</v>
      </c>
      <c r="FR21">
        <v>7.6898218637449396E-3</v>
      </c>
      <c r="FS21">
        <v>1.5097418776848419E-6</v>
      </c>
      <c r="FT21">
        <v>-9.8458676114205118E-11</v>
      </c>
      <c r="FU21">
        <v>0.17771499999999921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181</v>
      </c>
      <c r="GD21">
        <v>181</v>
      </c>
      <c r="GE21">
        <v>0.31372100000000003</v>
      </c>
      <c r="GF21">
        <v>2.677</v>
      </c>
      <c r="GG21">
        <v>1.7981</v>
      </c>
      <c r="GH21">
        <v>2.3791500000000001</v>
      </c>
      <c r="GI21">
        <v>1.5979000000000001</v>
      </c>
      <c r="GJ21">
        <v>2.5158700000000001</v>
      </c>
      <c r="GK21">
        <v>35.964500000000001</v>
      </c>
      <c r="GL21">
        <v>24.157499999999999</v>
      </c>
      <c r="GM21">
        <v>18</v>
      </c>
      <c r="GN21">
        <v>369.81799999999998</v>
      </c>
      <c r="GO21">
        <v>660.72500000000002</v>
      </c>
      <c r="GP21">
        <v>25.829599999999999</v>
      </c>
      <c r="GQ21">
        <v>27.738499999999998</v>
      </c>
      <c r="GR21">
        <v>29.9999</v>
      </c>
      <c r="GS21">
        <v>27.719899999999999</v>
      </c>
      <c r="GT21">
        <v>27.745200000000001</v>
      </c>
      <c r="GU21">
        <v>6.2165299999999997</v>
      </c>
      <c r="GV21">
        <v>39.856200000000001</v>
      </c>
      <c r="GW21">
        <v>0</v>
      </c>
      <c r="GX21">
        <v>25.83</v>
      </c>
      <c r="GY21">
        <v>75</v>
      </c>
      <c r="GZ21">
        <v>19.5</v>
      </c>
      <c r="HA21">
        <v>100.431</v>
      </c>
      <c r="HB21">
        <v>70.388900000000007</v>
      </c>
    </row>
    <row r="22" spans="1:210" x14ac:dyDescent="0.3">
      <c r="A22">
        <v>6</v>
      </c>
      <c r="B22">
        <v>1750689259</v>
      </c>
      <c r="C22">
        <v>902.5</v>
      </c>
      <c r="D22" t="s">
        <v>353</v>
      </c>
      <c r="E22" t="s">
        <v>354</v>
      </c>
      <c r="F22">
        <v>15</v>
      </c>
      <c r="G22">
        <v>1750689251.25</v>
      </c>
      <c r="H22">
        <f t="shared" si="0"/>
        <v>2.9057944984735512E-3</v>
      </c>
      <c r="I22">
        <f t="shared" si="1"/>
        <v>2.9057944984735511</v>
      </c>
      <c r="J22">
        <f t="shared" si="2"/>
        <v>21.821240347532402</v>
      </c>
      <c r="K22">
        <f t="shared" si="3"/>
        <v>398.30706666666663</v>
      </c>
      <c r="L22">
        <f t="shared" si="4"/>
        <v>304.32342293517098</v>
      </c>
      <c r="M22">
        <f t="shared" si="5"/>
        <v>30.846463147499609</v>
      </c>
      <c r="N22">
        <f t="shared" si="6"/>
        <v>40.372719703337879</v>
      </c>
      <c r="O22">
        <f t="shared" si="7"/>
        <v>0.42037755027083279</v>
      </c>
      <c r="P22">
        <f t="shared" si="8"/>
        <v>2.4154597290142275</v>
      </c>
      <c r="Q22">
        <f t="shared" si="9"/>
        <v>0.3840648313812689</v>
      </c>
      <c r="R22">
        <f t="shared" si="10"/>
        <v>0.24304325035921098</v>
      </c>
      <c r="S22">
        <f t="shared" si="11"/>
        <v>178.911011</v>
      </c>
      <c r="T22">
        <f t="shared" si="12"/>
        <v>27.02244518319656</v>
      </c>
      <c r="U22">
        <f t="shared" si="13"/>
        <v>25.971476666666661</v>
      </c>
      <c r="V22">
        <f t="shared" si="14"/>
        <v>3.368567495428386</v>
      </c>
      <c r="W22">
        <f t="shared" si="15"/>
        <v>74.784230010672687</v>
      </c>
      <c r="X22">
        <f t="shared" si="16"/>
        <v>2.6243532114114116</v>
      </c>
      <c r="Y22">
        <f t="shared" si="17"/>
        <v>3.5092334453893321</v>
      </c>
      <c r="Z22">
        <f t="shared" si="18"/>
        <v>0.74421428401697431</v>
      </c>
      <c r="AA22">
        <f t="shared" si="19"/>
        <v>-128.14553738268361</v>
      </c>
      <c r="AB22">
        <f t="shared" si="20"/>
        <v>90.244897731490639</v>
      </c>
      <c r="AC22">
        <f t="shared" si="21"/>
        <v>8.0081659198829787</v>
      </c>
      <c r="AD22">
        <f t="shared" si="22"/>
        <v>149.01853726869001</v>
      </c>
      <c r="AE22">
        <f t="shared" si="23"/>
        <v>21.821240347532402</v>
      </c>
      <c r="AF22">
        <f t="shared" si="24"/>
        <v>2.9057944984735511</v>
      </c>
      <c r="AG22">
        <f t="shared" si="25"/>
        <v>21.831791842465702</v>
      </c>
      <c r="AH22">
        <v>458.94052998320183</v>
      </c>
      <c r="AI22">
        <v>408.85504242424241</v>
      </c>
      <c r="AJ22">
        <v>-1.1531445160812869E-3</v>
      </c>
      <c r="AK22">
        <v>84.019814156764028</v>
      </c>
      <c r="AL22">
        <f t="shared" si="26"/>
        <v>2.9036100317783817</v>
      </c>
      <c r="AM22">
        <v>19.524672599023621</v>
      </c>
      <c r="AN22">
        <v>25.888117744360901</v>
      </c>
      <c r="AO22">
        <v>1.070638045291575E-7</v>
      </c>
      <c r="AP22">
        <v>90.504844094183341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53603.111168123214</v>
      </c>
      <c r="AV22">
        <f t="shared" si="30"/>
        <v>941.63689999999997</v>
      </c>
      <c r="AW22">
        <f t="shared" si="31"/>
        <v>753.30952000000002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339</v>
      </c>
      <c r="BC22">
        <v>2</v>
      </c>
      <c r="BD22" t="b">
        <v>0</v>
      </c>
      <c r="BE22">
        <v>1750689251.25</v>
      </c>
      <c r="BF22">
        <v>398.30706666666663</v>
      </c>
      <c r="BG22">
        <v>450.00456666666662</v>
      </c>
      <c r="BH22">
        <v>25.891206666666658</v>
      </c>
      <c r="BI22">
        <v>19.522993333333339</v>
      </c>
      <c r="BJ22">
        <v>397.21533333333338</v>
      </c>
      <c r="BK22">
        <v>25.71349</v>
      </c>
      <c r="BL22">
        <v>400.03433333333328</v>
      </c>
      <c r="BM22">
        <v>101.2608</v>
      </c>
      <c r="BN22">
        <v>9.9991916666666694E-2</v>
      </c>
      <c r="BO22">
        <v>26.66448333333334</v>
      </c>
      <c r="BP22">
        <v>25.971476666666661</v>
      </c>
      <c r="BQ22">
        <v>999.9000000000002</v>
      </c>
      <c r="BR22">
        <v>0</v>
      </c>
      <c r="BS22">
        <v>0</v>
      </c>
      <c r="BT22">
        <v>9999.8666666666668</v>
      </c>
      <c r="BU22">
        <v>941.63689999999997</v>
      </c>
      <c r="BV22">
        <v>16.92003333333334</v>
      </c>
      <c r="BW22">
        <v>-51.697546666666668</v>
      </c>
      <c r="BX22">
        <v>408.89383333333342</v>
      </c>
      <c r="BY22">
        <v>458.96490000000011</v>
      </c>
      <c r="BZ22">
        <v>6.3682086666666669</v>
      </c>
      <c r="CA22">
        <v>450.00456666666662</v>
      </c>
      <c r="CB22">
        <v>19.522993333333339</v>
      </c>
      <c r="CC22">
        <v>2.621766333333333</v>
      </c>
      <c r="CD22">
        <v>1.9769159999999999</v>
      </c>
      <c r="CE22">
        <v>21.802826666666661</v>
      </c>
      <c r="CF22">
        <v>17.260656666666669</v>
      </c>
      <c r="CG22">
        <v>1750678216.5</v>
      </c>
      <c r="CH22" t="s">
        <v>340</v>
      </c>
      <c r="CI22">
        <v>1750678216.5</v>
      </c>
      <c r="CJ22">
        <v>1750678216.5</v>
      </c>
      <c r="CK22">
        <v>4</v>
      </c>
      <c r="CL22">
        <v>-0.11</v>
      </c>
      <c r="CM22">
        <v>-2.7E-2</v>
      </c>
      <c r="CN22">
        <v>1.548</v>
      </c>
      <c r="CO22">
        <v>0.17799999999999999</v>
      </c>
      <c r="CP22">
        <v>450</v>
      </c>
      <c r="CQ22">
        <v>19</v>
      </c>
      <c r="CR22">
        <v>0.32</v>
      </c>
      <c r="CS22">
        <v>0.12</v>
      </c>
      <c r="CT22">
        <v>-51.67630243902439</v>
      </c>
      <c r="CU22">
        <v>-0.31852055749129921</v>
      </c>
      <c r="CV22">
        <v>4.5091649152802962E-2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6.3691907317073166</v>
      </c>
      <c r="DC22">
        <v>-1.220487804877283E-2</v>
      </c>
      <c r="DD22">
        <v>2.3169906788910381E-3</v>
      </c>
      <c r="DE22">
        <v>1</v>
      </c>
      <c r="DF22">
        <v>2</v>
      </c>
      <c r="DG22">
        <v>2</v>
      </c>
      <c r="DH22" t="s">
        <v>341</v>
      </c>
      <c r="DI22">
        <v>3.0247700000000002</v>
      </c>
      <c r="DJ22">
        <v>2.69136</v>
      </c>
      <c r="DK22">
        <v>9.2793500000000001E-2</v>
      </c>
      <c r="DL22">
        <v>0.102437</v>
      </c>
      <c r="DM22">
        <v>0.126253</v>
      </c>
      <c r="DN22">
        <v>0.104446</v>
      </c>
      <c r="DO22">
        <v>25276.799999999999</v>
      </c>
      <c r="DP22">
        <v>16818.900000000001</v>
      </c>
      <c r="DQ22">
        <v>26436.2</v>
      </c>
      <c r="DR22">
        <v>17030.7</v>
      </c>
      <c r="DS22">
        <v>32848.1</v>
      </c>
      <c r="DT22">
        <v>19899.8</v>
      </c>
      <c r="DU22">
        <v>38514</v>
      </c>
      <c r="DV22">
        <v>22544.2</v>
      </c>
      <c r="DW22">
        <v>1.8074600000000001</v>
      </c>
      <c r="DX22">
        <v>2.1781000000000001</v>
      </c>
      <c r="DY22">
        <v>8.2647799999999993E-2</v>
      </c>
      <c r="DZ22">
        <v>0</v>
      </c>
      <c r="EA22">
        <v>24.613900000000001</v>
      </c>
      <c r="EB22">
        <v>999.9</v>
      </c>
      <c r="EC22">
        <v>59.9</v>
      </c>
      <c r="ED22">
        <v>32.6</v>
      </c>
      <c r="EE22">
        <v>29.2193</v>
      </c>
      <c r="EF22">
        <v>62.898699999999998</v>
      </c>
      <c r="EG22">
        <v>37.067300000000003</v>
      </c>
      <c r="EH22">
        <v>1</v>
      </c>
      <c r="EI22">
        <v>4.1140200000000002E-2</v>
      </c>
      <c r="EJ22">
        <v>-0.20255100000000001</v>
      </c>
      <c r="EK22">
        <v>20.3276</v>
      </c>
      <c r="EL22">
        <v>5.2516699999999998</v>
      </c>
      <c r="EM22">
        <v>11.962</v>
      </c>
      <c r="EN22">
        <v>4.9897600000000004</v>
      </c>
      <c r="EO22">
        <v>3.29176</v>
      </c>
      <c r="EP22">
        <v>9999</v>
      </c>
      <c r="EQ22">
        <v>9999</v>
      </c>
      <c r="ER22">
        <v>9999</v>
      </c>
      <c r="ES22">
        <v>999.9</v>
      </c>
      <c r="ET22">
        <v>4.9727100000000002</v>
      </c>
      <c r="EU22">
        <v>1.87195</v>
      </c>
      <c r="EV22">
        <v>1.8722399999999999</v>
      </c>
      <c r="EW22">
        <v>1.8772599999999999</v>
      </c>
      <c r="EX22">
        <v>1.8713500000000001</v>
      </c>
      <c r="EY22">
        <v>1.8721099999999999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1.091</v>
      </c>
      <c r="FP22">
        <v>0.1777</v>
      </c>
      <c r="FQ22">
        <v>-2.1949045684245019</v>
      </c>
      <c r="FR22">
        <v>7.6898218637449396E-3</v>
      </c>
      <c r="FS22">
        <v>1.5097418776848419E-6</v>
      </c>
      <c r="FT22">
        <v>-9.8458676114205118E-11</v>
      </c>
      <c r="FU22">
        <v>0.17771499999999921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184</v>
      </c>
      <c r="GD22">
        <v>184</v>
      </c>
      <c r="GE22">
        <v>1.10229</v>
      </c>
      <c r="GF22">
        <v>2.6440399999999999</v>
      </c>
      <c r="GG22">
        <v>1.7981</v>
      </c>
      <c r="GH22">
        <v>2.3791500000000001</v>
      </c>
      <c r="GI22">
        <v>1.5979000000000001</v>
      </c>
      <c r="GJ22">
        <v>2.5622600000000002</v>
      </c>
      <c r="GK22">
        <v>35.894399999999997</v>
      </c>
      <c r="GL22">
        <v>24.1663</v>
      </c>
      <c r="GM22">
        <v>18</v>
      </c>
      <c r="GN22">
        <v>369.86099999999999</v>
      </c>
      <c r="GO22">
        <v>662.18</v>
      </c>
      <c r="GP22">
        <v>25.829499999999999</v>
      </c>
      <c r="GQ22">
        <v>27.607299999999999</v>
      </c>
      <c r="GR22">
        <v>29.999700000000001</v>
      </c>
      <c r="GS22">
        <v>27.600999999999999</v>
      </c>
      <c r="GT22">
        <v>27.626200000000001</v>
      </c>
      <c r="GU22">
        <v>22.0154</v>
      </c>
      <c r="GV22">
        <v>40.130299999999998</v>
      </c>
      <c r="GW22">
        <v>0</v>
      </c>
      <c r="GX22">
        <v>25.83</v>
      </c>
      <c r="GY22">
        <v>450</v>
      </c>
      <c r="GZ22">
        <v>19.5</v>
      </c>
      <c r="HA22">
        <v>100.459</v>
      </c>
      <c r="HB22">
        <v>70.401499999999999</v>
      </c>
    </row>
    <row r="23" spans="1:210" x14ac:dyDescent="0.3">
      <c r="A23">
        <v>7</v>
      </c>
      <c r="B23">
        <v>1750689439.5</v>
      </c>
      <c r="C23">
        <v>1083</v>
      </c>
      <c r="D23" t="s">
        <v>355</v>
      </c>
      <c r="E23" t="s">
        <v>356</v>
      </c>
      <c r="F23">
        <v>15</v>
      </c>
      <c r="G23">
        <v>1750689431.75</v>
      </c>
      <c r="H23">
        <f t="shared" si="0"/>
        <v>2.8758800954921965E-3</v>
      </c>
      <c r="I23">
        <f t="shared" si="1"/>
        <v>2.8758800954921964</v>
      </c>
      <c r="J23">
        <f t="shared" si="2"/>
        <v>21.873583632594602</v>
      </c>
      <c r="K23">
        <f t="shared" si="3"/>
        <v>398.21823333333327</v>
      </c>
      <c r="L23">
        <f t="shared" si="4"/>
        <v>303.83169673943252</v>
      </c>
      <c r="M23">
        <f t="shared" si="5"/>
        <v>30.794835716309191</v>
      </c>
      <c r="N23">
        <f t="shared" si="6"/>
        <v>40.361375084758656</v>
      </c>
      <c r="O23">
        <f t="shared" si="7"/>
        <v>0.41926161850930083</v>
      </c>
      <c r="P23">
        <f t="shared" si="8"/>
        <v>2.4146726067739452</v>
      </c>
      <c r="Q23">
        <f t="shared" si="9"/>
        <v>0.38312194033937358</v>
      </c>
      <c r="R23">
        <f t="shared" si="10"/>
        <v>0.24244018446209503</v>
      </c>
      <c r="S23">
        <f t="shared" si="11"/>
        <v>178.92016266666664</v>
      </c>
      <c r="T23">
        <f t="shared" si="12"/>
        <v>26.951815997328158</v>
      </c>
      <c r="U23">
        <f t="shared" si="13"/>
        <v>25.894206666666669</v>
      </c>
      <c r="V23">
        <f t="shared" si="14"/>
        <v>3.3531927671523429</v>
      </c>
      <c r="W23">
        <f t="shared" si="15"/>
        <v>74.863848991219683</v>
      </c>
      <c r="X23">
        <f t="shared" si="16"/>
        <v>2.6147777397706387</v>
      </c>
      <c r="Y23">
        <f t="shared" si="17"/>
        <v>3.4927108010133296</v>
      </c>
      <c r="Z23">
        <f t="shared" si="18"/>
        <v>0.73841502738170428</v>
      </c>
      <c r="AA23">
        <f t="shared" si="19"/>
        <v>-126.82631221120587</v>
      </c>
      <c r="AB23">
        <f t="shared" si="20"/>
        <v>89.843175449385612</v>
      </c>
      <c r="AC23">
        <f t="shared" si="21"/>
        <v>7.9688275175345984</v>
      </c>
      <c r="AD23">
        <f t="shared" si="22"/>
        <v>149.90585342238097</v>
      </c>
      <c r="AE23">
        <f t="shared" si="23"/>
        <v>21.873583632594602</v>
      </c>
      <c r="AF23">
        <f t="shared" si="24"/>
        <v>2.8758800954921964</v>
      </c>
      <c r="AG23">
        <f t="shared" si="25"/>
        <v>21.828920897171852</v>
      </c>
      <c r="AH23">
        <v>458.89314648455849</v>
      </c>
      <c r="AI23">
        <v>408.8030787878788</v>
      </c>
      <c r="AJ23">
        <v>3.2876717564871898E-4</v>
      </c>
      <c r="AK23">
        <v>84.019814156764028</v>
      </c>
      <c r="AL23">
        <f t="shared" si="26"/>
        <v>2.873641434082117</v>
      </c>
      <c r="AM23">
        <v>19.493956648853281</v>
      </c>
      <c r="AN23">
        <v>25.792344661654109</v>
      </c>
      <c r="AO23">
        <v>-7.1348808580493192E-7</v>
      </c>
      <c r="AP23">
        <v>90.504844094183341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53590.975423270844</v>
      </c>
      <c r="AV23">
        <f t="shared" si="30"/>
        <v>941.68506666666656</v>
      </c>
      <c r="AW23">
        <f t="shared" si="31"/>
        <v>753.34805333333327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339</v>
      </c>
      <c r="BC23">
        <v>2</v>
      </c>
      <c r="BD23" t="b">
        <v>0</v>
      </c>
      <c r="BE23">
        <v>1750689431.75</v>
      </c>
      <c r="BF23">
        <v>398.21823333333327</v>
      </c>
      <c r="BG23">
        <v>450.00606666666658</v>
      </c>
      <c r="BH23">
        <v>25.798233333333329</v>
      </c>
      <c r="BI23">
        <v>19.49498333333333</v>
      </c>
      <c r="BJ23">
        <v>397.1272666666668</v>
      </c>
      <c r="BK23">
        <v>25.62051666666666</v>
      </c>
      <c r="BL23">
        <v>400.03469999999999</v>
      </c>
      <c r="BM23">
        <v>101.25483333333339</v>
      </c>
      <c r="BN23">
        <v>0.1000814</v>
      </c>
      <c r="BO23">
        <v>26.58435333333334</v>
      </c>
      <c r="BP23">
        <v>25.894206666666669</v>
      </c>
      <c r="BQ23">
        <v>999.9000000000002</v>
      </c>
      <c r="BR23">
        <v>0</v>
      </c>
      <c r="BS23">
        <v>0</v>
      </c>
      <c r="BT23">
        <v>9995.3333333333339</v>
      </c>
      <c r="BU23">
        <v>941.68506666666656</v>
      </c>
      <c r="BV23">
        <v>16.933199999999999</v>
      </c>
      <c r="BW23">
        <v>-51.787959999999998</v>
      </c>
      <c r="BX23">
        <v>408.76353333333338</v>
      </c>
      <c r="BY23">
        <v>458.95336666666668</v>
      </c>
      <c r="BZ23">
        <v>6.3032543333333333</v>
      </c>
      <c r="CA23">
        <v>450.00606666666658</v>
      </c>
      <c r="CB23">
        <v>19.49498333333333</v>
      </c>
      <c r="CC23">
        <v>2.6121926666666662</v>
      </c>
      <c r="CD23">
        <v>1.973959333333333</v>
      </c>
      <c r="CE23">
        <v>21.74295</v>
      </c>
      <c r="CF23">
        <v>17.236979999999999</v>
      </c>
      <c r="CG23">
        <v>1750678216.5</v>
      </c>
      <c r="CH23" t="s">
        <v>340</v>
      </c>
      <c r="CI23">
        <v>1750678216.5</v>
      </c>
      <c r="CJ23">
        <v>1750678216.5</v>
      </c>
      <c r="CK23">
        <v>4</v>
      </c>
      <c r="CL23">
        <v>-0.11</v>
      </c>
      <c r="CM23">
        <v>-2.7E-2</v>
      </c>
      <c r="CN23">
        <v>1.548</v>
      </c>
      <c r="CO23">
        <v>0.17799999999999999</v>
      </c>
      <c r="CP23">
        <v>450</v>
      </c>
      <c r="CQ23">
        <v>19</v>
      </c>
      <c r="CR23">
        <v>0.32</v>
      </c>
      <c r="CS23">
        <v>0.12</v>
      </c>
      <c r="CT23">
        <v>-51.788821951219511</v>
      </c>
      <c r="CU23">
        <v>6.6319860627182564E-2</v>
      </c>
      <c r="CV23">
        <v>4.3091057938295277E-2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6.3046875609756112</v>
      </c>
      <c r="DC23">
        <v>-2.3388919860627182E-2</v>
      </c>
      <c r="DD23">
        <v>2.5272155510372121E-3</v>
      </c>
      <c r="DE23">
        <v>1</v>
      </c>
      <c r="DF23">
        <v>2</v>
      </c>
      <c r="DG23">
        <v>2</v>
      </c>
      <c r="DH23" t="s">
        <v>341</v>
      </c>
      <c r="DI23">
        <v>3.02474</v>
      </c>
      <c r="DJ23">
        <v>2.6913800000000001</v>
      </c>
      <c r="DK23">
        <v>9.2819600000000002E-2</v>
      </c>
      <c r="DL23">
        <v>0.10247100000000001</v>
      </c>
      <c r="DM23">
        <v>0.12596199999999999</v>
      </c>
      <c r="DN23">
        <v>0.104394</v>
      </c>
      <c r="DO23">
        <v>25285.3</v>
      </c>
      <c r="DP23">
        <v>16822.900000000001</v>
      </c>
      <c r="DQ23">
        <v>26444.9</v>
      </c>
      <c r="DR23">
        <v>17035</v>
      </c>
      <c r="DS23">
        <v>32868.5</v>
      </c>
      <c r="DT23">
        <v>19904.8</v>
      </c>
      <c r="DU23">
        <v>38526.6</v>
      </c>
      <c r="DV23">
        <v>22549</v>
      </c>
      <c r="DW23">
        <v>1.80908</v>
      </c>
      <c r="DX23">
        <v>2.1814200000000001</v>
      </c>
      <c r="DY23">
        <v>8.7976499999999999E-2</v>
      </c>
      <c r="DZ23">
        <v>0</v>
      </c>
      <c r="EA23">
        <v>24.444099999999999</v>
      </c>
      <c r="EB23">
        <v>999.9</v>
      </c>
      <c r="EC23">
        <v>59.9</v>
      </c>
      <c r="ED23">
        <v>32.6</v>
      </c>
      <c r="EE23">
        <v>29.219000000000001</v>
      </c>
      <c r="EF23">
        <v>62.748699999999999</v>
      </c>
      <c r="EG23">
        <v>36.955100000000002</v>
      </c>
      <c r="EH23">
        <v>1</v>
      </c>
      <c r="EI23">
        <v>2.7241899999999999E-2</v>
      </c>
      <c r="EJ23">
        <v>-0.29968600000000001</v>
      </c>
      <c r="EK23">
        <v>20.3279</v>
      </c>
      <c r="EL23">
        <v>5.2527499999999998</v>
      </c>
      <c r="EM23">
        <v>11.962</v>
      </c>
      <c r="EN23">
        <v>4.9896399999999996</v>
      </c>
      <c r="EO23">
        <v>3.29156</v>
      </c>
      <c r="EP23">
        <v>9999</v>
      </c>
      <c r="EQ23">
        <v>9999</v>
      </c>
      <c r="ER23">
        <v>9999</v>
      </c>
      <c r="ES23">
        <v>999.9</v>
      </c>
      <c r="ET23">
        <v>4.9727199999999998</v>
      </c>
      <c r="EU23">
        <v>1.87195</v>
      </c>
      <c r="EV23">
        <v>1.87222</v>
      </c>
      <c r="EW23">
        <v>1.8772599999999999</v>
      </c>
      <c r="EX23">
        <v>1.8713599999999999</v>
      </c>
      <c r="EY23">
        <v>1.87212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1.091</v>
      </c>
      <c r="FP23">
        <v>0.17780000000000001</v>
      </c>
      <c r="FQ23">
        <v>-2.1949045684245019</v>
      </c>
      <c r="FR23">
        <v>7.6898218637449396E-3</v>
      </c>
      <c r="FS23">
        <v>1.5097418776848419E-6</v>
      </c>
      <c r="FT23">
        <v>-9.8458676114205118E-11</v>
      </c>
      <c r="FU23">
        <v>0.17771499999999921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187.1</v>
      </c>
      <c r="GD23">
        <v>187.1</v>
      </c>
      <c r="GE23">
        <v>1.10229</v>
      </c>
      <c r="GF23">
        <v>2.66235</v>
      </c>
      <c r="GG23">
        <v>1.7981</v>
      </c>
      <c r="GH23">
        <v>2.3791500000000001</v>
      </c>
      <c r="GI23">
        <v>1.5979000000000001</v>
      </c>
      <c r="GJ23">
        <v>2.4853499999999999</v>
      </c>
      <c r="GK23">
        <v>35.824399999999997</v>
      </c>
      <c r="GL23">
        <v>24.157499999999999</v>
      </c>
      <c r="GM23">
        <v>18</v>
      </c>
      <c r="GN23">
        <v>369.58600000000001</v>
      </c>
      <c r="GO23">
        <v>662.98900000000003</v>
      </c>
      <c r="GP23">
        <v>25.8294</v>
      </c>
      <c r="GQ23">
        <v>27.422899999999998</v>
      </c>
      <c r="GR23">
        <v>29.999700000000001</v>
      </c>
      <c r="GS23">
        <v>27.4343</v>
      </c>
      <c r="GT23">
        <v>27.461099999999998</v>
      </c>
      <c r="GU23">
        <v>22.014700000000001</v>
      </c>
      <c r="GV23">
        <v>40.130299999999998</v>
      </c>
      <c r="GW23">
        <v>0</v>
      </c>
      <c r="GX23">
        <v>25.83</v>
      </c>
      <c r="GY23">
        <v>450</v>
      </c>
      <c r="GZ23">
        <v>19.5</v>
      </c>
      <c r="HA23">
        <v>100.492</v>
      </c>
      <c r="HB23">
        <v>70.417699999999996</v>
      </c>
    </row>
    <row r="24" spans="1:210" x14ac:dyDescent="0.3">
      <c r="A24">
        <v>8</v>
      </c>
      <c r="B24">
        <v>1750689620</v>
      </c>
      <c r="C24">
        <v>1263.5</v>
      </c>
      <c r="D24" t="s">
        <v>357</v>
      </c>
      <c r="E24" t="s">
        <v>358</v>
      </c>
      <c r="F24">
        <v>15</v>
      </c>
      <c r="G24">
        <v>1750689612.25</v>
      </c>
      <c r="H24">
        <f t="shared" si="0"/>
        <v>2.8160252731445792E-3</v>
      </c>
      <c r="I24">
        <f t="shared" si="1"/>
        <v>2.8160252731445792</v>
      </c>
      <c r="J24">
        <f t="shared" si="2"/>
        <v>21.727926709508768</v>
      </c>
      <c r="K24">
        <f t="shared" si="3"/>
        <v>398.58606666666668</v>
      </c>
      <c r="L24">
        <f t="shared" si="4"/>
        <v>301.76347121510901</v>
      </c>
      <c r="M24">
        <f t="shared" si="5"/>
        <v>30.589307164776272</v>
      </c>
      <c r="N24">
        <f t="shared" si="6"/>
        <v>40.404067383541538</v>
      </c>
      <c r="O24">
        <f t="shared" si="7"/>
        <v>0.40463649103981986</v>
      </c>
      <c r="P24">
        <f t="shared" si="8"/>
        <v>2.4149757078910428</v>
      </c>
      <c r="Q24">
        <f t="shared" si="9"/>
        <v>0.37087021130636194</v>
      </c>
      <c r="R24">
        <f t="shared" si="10"/>
        <v>0.23459428662215678</v>
      </c>
      <c r="S24">
        <f t="shared" si="11"/>
        <v>178.93122066666669</v>
      </c>
      <c r="T24">
        <f t="shared" si="12"/>
        <v>26.907715340421351</v>
      </c>
      <c r="U24">
        <f t="shared" si="13"/>
        <v>25.843640000000001</v>
      </c>
      <c r="V24">
        <f t="shared" si="14"/>
        <v>3.3431645223932311</v>
      </c>
      <c r="W24">
        <f t="shared" si="15"/>
        <v>74.602240937786149</v>
      </c>
      <c r="X24">
        <f t="shared" si="16"/>
        <v>2.5960196382369909</v>
      </c>
      <c r="Y24">
        <f t="shared" si="17"/>
        <v>3.4798145546350514</v>
      </c>
      <c r="Z24">
        <f t="shared" si="18"/>
        <v>0.74714488415624025</v>
      </c>
      <c r="AA24">
        <f t="shared" si="19"/>
        <v>-124.18671454567594</v>
      </c>
      <c r="AB24">
        <f t="shared" si="20"/>
        <v>88.265191736449353</v>
      </c>
      <c r="AC24">
        <f t="shared" si="21"/>
        <v>7.8234355166756817</v>
      </c>
      <c r="AD24">
        <f t="shared" si="22"/>
        <v>150.83313337411579</v>
      </c>
      <c r="AE24">
        <f t="shared" si="23"/>
        <v>21.727926709508768</v>
      </c>
      <c r="AF24">
        <f t="shared" si="24"/>
        <v>2.8160252731445792</v>
      </c>
      <c r="AG24">
        <f t="shared" si="25"/>
        <v>21.710504500362383</v>
      </c>
      <c r="AH24">
        <v>458.89632511518232</v>
      </c>
      <c r="AI24">
        <v>409.07478181818169</v>
      </c>
      <c r="AJ24">
        <v>-1.8992612316086489E-6</v>
      </c>
      <c r="AK24">
        <v>84.019814156764028</v>
      </c>
      <c r="AL24">
        <f t="shared" si="26"/>
        <v>2.8129632533891327</v>
      </c>
      <c r="AM24">
        <v>19.435071974443279</v>
      </c>
      <c r="AN24">
        <v>25.60278796992479</v>
      </c>
      <c r="AO24">
        <v>-9.9244166067319611E-7</v>
      </c>
      <c r="AP24">
        <v>90.504844094183341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53612.649709521575</v>
      </c>
      <c r="AV24">
        <f t="shared" si="30"/>
        <v>941.74326666666673</v>
      </c>
      <c r="AW24">
        <f t="shared" si="31"/>
        <v>753.39461333333338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339</v>
      </c>
      <c r="BC24">
        <v>2</v>
      </c>
      <c r="BD24" t="b">
        <v>0</v>
      </c>
      <c r="BE24">
        <v>1750689612.25</v>
      </c>
      <c r="BF24">
        <v>398.58606666666668</v>
      </c>
      <c r="BG24">
        <v>450.00423333333327</v>
      </c>
      <c r="BH24">
        <v>25.609729999999999</v>
      </c>
      <c r="BI24">
        <v>19.435353333333339</v>
      </c>
      <c r="BJ24">
        <v>397.49196666666671</v>
      </c>
      <c r="BK24">
        <v>25.432009999999998</v>
      </c>
      <c r="BL24">
        <v>399.96213333333338</v>
      </c>
      <c r="BM24">
        <v>101.2685666666667</v>
      </c>
      <c r="BN24">
        <v>9.9922506666666688E-2</v>
      </c>
      <c r="BO24">
        <v>26.52158</v>
      </c>
      <c r="BP24">
        <v>25.843640000000001</v>
      </c>
      <c r="BQ24">
        <v>999.9000000000002</v>
      </c>
      <c r="BR24">
        <v>0</v>
      </c>
      <c r="BS24">
        <v>0</v>
      </c>
      <c r="BT24">
        <v>9995.9500000000007</v>
      </c>
      <c r="BU24">
        <v>941.74326666666673</v>
      </c>
      <c r="BV24">
        <v>16.933199999999999</v>
      </c>
      <c r="BW24">
        <v>-51.41823999999999</v>
      </c>
      <c r="BX24">
        <v>409.06196666666659</v>
      </c>
      <c r="BY24">
        <v>458.92360000000002</v>
      </c>
      <c r="BZ24">
        <v>6.1743663333333334</v>
      </c>
      <c r="CA24">
        <v>450.00423333333327</v>
      </c>
      <c r="CB24">
        <v>19.435353333333339</v>
      </c>
      <c r="CC24">
        <v>2.593461</v>
      </c>
      <c r="CD24">
        <v>1.968191</v>
      </c>
      <c r="CE24">
        <v>21.62521666666667</v>
      </c>
      <c r="CF24">
        <v>17.19072666666667</v>
      </c>
      <c r="CG24">
        <v>1750678216.5</v>
      </c>
      <c r="CH24" t="s">
        <v>340</v>
      </c>
      <c r="CI24">
        <v>1750678216.5</v>
      </c>
      <c r="CJ24">
        <v>1750678216.5</v>
      </c>
      <c r="CK24">
        <v>4</v>
      </c>
      <c r="CL24">
        <v>-0.11</v>
      </c>
      <c r="CM24">
        <v>-2.7E-2</v>
      </c>
      <c r="CN24">
        <v>1.548</v>
      </c>
      <c r="CO24">
        <v>0.17799999999999999</v>
      </c>
      <c r="CP24">
        <v>450</v>
      </c>
      <c r="CQ24">
        <v>19</v>
      </c>
      <c r="CR24">
        <v>0.32</v>
      </c>
      <c r="CS24">
        <v>0.12</v>
      </c>
      <c r="CT24">
        <v>-51.432485</v>
      </c>
      <c r="CU24">
        <v>0.27051332082545593</v>
      </c>
      <c r="CV24">
        <v>3.7497096887626147E-2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6.1761927500000002</v>
      </c>
      <c r="DC24">
        <v>-5.3693020637898672E-2</v>
      </c>
      <c r="DD24">
        <v>5.3809529767039916E-3</v>
      </c>
      <c r="DE24">
        <v>1</v>
      </c>
      <c r="DF24">
        <v>2</v>
      </c>
      <c r="DG24">
        <v>2</v>
      </c>
      <c r="DH24" t="s">
        <v>341</v>
      </c>
      <c r="DI24">
        <v>3.0245199999999999</v>
      </c>
      <c r="DJ24">
        <v>2.6912500000000001</v>
      </c>
      <c r="DK24">
        <v>9.2934699999999995E-2</v>
      </c>
      <c r="DL24">
        <v>0.10252699999999999</v>
      </c>
      <c r="DM24">
        <v>0.12537999999999999</v>
      </c>
      <c r="DN24">
        <v>0.104222</v>
      </c>
      <c r="DO24">
        <v>25291.8</v>
      </c>
      <c r="DP24">
        <v>16827.099999999999</v>
      </c>
      <c r="DQ24">
        <v>26454.1</v>
      </c>
      <c r="DR24">
        <v>17039.900000000001</v>
      </c>
      <c r="DS24">
        <v>32900.5</v>
      </c>
      <c r="DT24">
        <v>19912.7</v>
      </c>
      <c r="DU24">
        <v>38539.699999999997</v>
      </c>
      <c r="DV24">
        <v>22554.2</v>
      </c>
      <c r="DW24">
        <v>1.8105</v>
      </c>
      <c r="DX24">
        <v>2.1854200000000001</v>
      </c>
      <c r="DY24">
        <v>9.0882199999999996E-2</v>
      </c>
      <c r="DZ24">
        <v>0</v>
      </c>
      <c r="EA24">
        <v>24.3416</v>
      </c>
      <c r="EB24">
        <v>999.9</v>
      </c>
      <c r="EC24">
        <v>59.8</v>
      </c>
      <c r="ED24">
        <v>32.5</v>
      </c>
      <c r="EE24">
        <v>29.005700000000001</v>
      </c>
      <c r="EF24">
        <v>62.7087</v>
      </c>
      <c r="EG24">
        <v>37.131399999999999</v>
      </c>
      <c r="EH24">
        <v>1</v>
      </c>
      <c r="EI24">
        <v>1.2304900000000001E-2</v>
      </c>
      <c r="EJ24">
        <v>-0.37278</v>
      </c>
      <c r="EK24">
        <v>20.327200000000001</v>
      </c>
      <c r="EL24">
        <v>5.25</v>
      </c>
      <c r="EM24">
        <v>11.962</v>
      </c>
      <c r="EN24">
        <v>4.9893599999999996</v>
      </c>
      <c r="EO24">
        <v>3.2911999999999999</v>
      </c>
      <c r="EP24">
        <v>9999</v>
      </c>
      <c r="EQ24">
        <v>9999</v>
      </c>
      <c r="ER24">
        <v>9999</v>
      </c>
      <c r="ES24">
        <v>999.9</v>
      </c>
      <c r="ET24">
        <v>4.9726999999999997</v>
      </c>
      <c r="EU24">
        <v>1.8719399999999999</v>
      </c>
      <c r="EV24">
        <v>1.8721399999999999</v>
      </c>
      <c r="EW24">
        <v>1.87724</v>
      </c>
      <c r="EX24">
        <v>1.87134</v>
      </c>
      <c r="EY24">
        <v>1.8721000000000001</v>
      </c>
      <c r="EZ24">
        <v>1.8717999999999999</v>
      </c>
      <c r="FA24">
        <v>1.8687199999999999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1.0940000000000001</v>
      </c>
      <c r="FP24">
        <v>0.1777</v>
      </c>
      <c r="FQ24">
        <v>-2.1949045684245019</v>
      </c>
      <c r="FR24">
        <v>7.6898218637449396E-3</v>
      </c>
      <c r="FS24">
        <v>1.5097418776848419E-6</v>
      </c>
      <c r="FT24">
        <v>-9.8458676114205118E-11</v>
      </c>
      <c r="FU24">
        <v>0.17771499999999921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190.1</v>
      </c>
      <c r="GD24">
        <v>190.1</v>
      </c>
      <c r="GE24">
        <v>1.10229</v>
      </c>
      <c r="GF24">
        <v>2.65259</v>
      </c>
      <c r="GG24">
        <v>1.7981</v>
      </c>
      <c r="GH24">
        <v>2.3791500000000001</v>
      </c>
      <c r="GI24">
        <v>1.5979000000000001</v>
      </c>
      <c r="GJ24">
        <v>2.4499499999999999</v>
      </c>
      <c r="GK24">
        <v>35.731099999999998</v>
      </c>
      <c r="GL24">
        <v>24.157499999999999</v>
      </c>
      <c r="GM24">
        <v>18</v>
      </c>
      <c r="GN24">
        <v>369.05399999999997</v>
      </c>
      <c r="GO24">
        <v>664.08199999999999</v>
      </c>
      <c r="GP24">
        <v>25.829799999999999</v>
      </c>
      <c r="GQ24">
        <v>27.222100000000001</v>
      </c>
      <c r="GR24">
        <v>29.999700000000001</v>
      </c>
      <c r="GS24">
        <v>27.244800000000001</v>
      </c>
      <c r="GT24">
        <v>27.272600000000001</v>
      </c>
      <c r="GU24">
        <v>22.015699999999999</v>
      </c>
      <c r="GV24">
        <v>39.859499999999997</v>
      </c>
      <c r="GW24">
        <v>0</v>
      </c>
      <c r="GX24">
        <v>25.83</v>
      </c>
      <c r="GY24">
        <v>450</v>
      </c>
      <c r="GZ24">
        <v>19.5</v>
      </c>
      <c r="HA24">
        <v>100.527</v>
      </c>
      <c r="HB24">
        <v>70.435599999999994</v>
      </c>
    </row>
    <row r="25" spans="1:210" x14ac:dyDescent="0.3">
      <c r="A25">
        <v>9</v>
      </c>
      <c r="B25">
        <v>1750689800.5</v>
      </c>
      <c r="C25">
        <v>1444</v>
      </c>
      <c r="D25" t="s">
        <v>359</v>
      </c>
      <c r="E25" t="s">
        <v>360</v>
      </c>
      <c r="F25">
        <v>15</v>
      </c>
      <c r="G25">
        <v>1750689792.75</v>
      </c>
      <c r="H25">
        <f t="shared" si="0"/>
        <v>2.7093978164621333E-3</v>
      </c>
      <c r="I25">
        <f t="shared" si="1"/>
        <v>2.7093978164621331</v>
      </c>
      <c r="J25">
        <f t="shared" si="2"/>
        <v>27.191297718555653</v>
      </c>
      <c r="K25">
        <f t="shared" si="3"/>
        <v>535.55993333333333</v>
      </c>
      <c r="L25">
        <f t="shared" si="4"/>
        <v>407.64485320770575</v>
      </c>
      <c r="M25">
        <f t="shared" si="5"/>
        <v>41.32052356589405</v>
      </c>
      <c r="N25">
        <f t="shared" si="6"/>
        <v>54.286511094433045</v>
      </c>
      <c r="O25">
        <f t="shared" si="7"/>
        <v>0.38234855312084542</v>
      </c>
      <c r="P25">
        <f t="shared" si="8"/>
        <v>2.4160183491924707</v>
      </c>
      <c r="Q25">
        <f t="shared" si="9"/>
        <v>0.35206367898449581</v>
      </c>
      <c r="R25">
        <f t="shared" si="10"/>
        <v>0.22256215752795655</v>
      </c>
      <c r="S25">
        <f t="shared" si="11"/>
        <v>178.90833833333332</v>
      </c>
      <c r="T25">
        <f t="shared" si="12"/>
        <v>26.87866273752136</v>
      </c>
      <c r="U25">
        <f t="shared" si="13"/>
        <v>25.783280000000001</v>
      </c>
      <c r="V25">
        <f t="shared" si="14"/>
        <v>3.3312283961511566</v>
      </c>
      <c r="W25">
        <f t="shared" si="15"/>
        <v>74.236414347079688</v>
      </c>
      <c r="X25">
        <f t="shared" si="16"/>
        <v>2.5738772494701734</v>
      </c>
      <c r="Y25">
        <f t="shared" si="17"/>
        <v>3.4671357340030586</v>
      </c>
      <c r="Z25">
        <f t="shared" si="18"/>
        <v>0.75735114668098324</v>
      </c>
      <c r="AA25">
        <f t="shared" si="19"/>
        <v>-119.48444370598007</v>
      </c>
      <c r="AB25">
        <f t="shared" si="20"/>
        <v>88.100973973445662</v>
      </c>
      <c r="AC25">
        <f t="shared" si="21"/>
        <v>7.8007259016514903</v>
      </c>
      <c r="AD25">
        <f t="shared" si="22"/>
        <v>155.32559450245043</v>
      </c>
      <c r="AE25">
        <f t="shared" si="23"/>
        <v>27.191297718555653</v>
      </c>
      <c r="AF25">
        <f t="shared" si="24"/>
        <v>2.7093978164621331</v>
      </c>
      <c r="AG25">
        <f t="shared" si="25"/>
        <v>27.177455314594521</v>
      </c>
      <c r="AH25">
        <v>611.85570202699989</v>
      </c>
      <c r="AI25">
        <v>549.49818181818171</v>
      </c>
      <c r="AJ25">
        <v>-4.4515870380892669E-4</v>
      </c>
      <c r="AK25">
        <v>84.019814156764028</v>
      </c>
      <c r="AL25">
        <f t="shared" si="26"/>
        <v>2.7051454019846202</v>
      </c>
      <c r="AM25">
        <v>19.45112785364427</v>
      </c>
      <c r="AN25">
        <v>25.383123157894719</v>
      </c>
      <c r="AO25">
        <v>-7.5314660703411469E-7</v>
      </c>
      <c r="AP25">
        <v>90.504844094183341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53658.549375111405</v>
      </c>
      <c r="AV25">
        <f t="shared" si="30"/>
        <v>941.62283333333323</v>
      </c>
      <c r="AW25">
        <f t="shared" si="31"/>
        <v>753.29826666666668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339</v>
      </c>
      <c r="BC25">
        <v>2</v>
      </c>
      <c r="BD25" t="b">
        <v>0</v>
      </c>
      <c r="BE25">
        <v>1750689792.75</v>
      </c>
      <c r="BF25">
        <v>535.55993333333333</v>
      </c>
      <c r="BG25">
        <v>600.00420000000008</v>
      </c>
      <c r="BH25">
        <v>25.39241333333333</v>
      </c>
      <c r="BI25">
        <v>19.45115666666667</v>
      </c>
      <c r="BJ25">
        <v>533.2399333333334</v>
      </c>
      <c r="BK25">
        <v>25.214703333333329</v>
      </c>
      <c r="BL25">
        <v>400.00623333333328</v>
      </c>
      <c r="BM25">
        <v>101.2640333333333</v>
      </c>
      <c r="BN25">
        <v>9.9992829999999977E-2</v>
      </c>
      <c r="BO25">
        <v>26.459666666666671</v>
      </c>
      <c r="BP25">
        <v>25.783280000000001</v>
      </c>
      <c r="BQ25">
        <v>999.9000000000002</v>
      </c>
      <c r="BR25">
        <v>0</v>
      </c>
      <c r="BS25">
        <v>0</v>
      </c>
      <c r="BT25">
        <v>10003.183333333331</v>
      </c>
      <c r="BU25">
        <v>941.62283333333323</v>
      </c>
      <c r="BV25">
        <v>16.93247666666667</v>
      </c>
      <c r="BW25">
        <v>-64.444310000000002</v>
      </c>
      <c r="BX25">
        <v>549.5134333333333</v>
      </c>
      <c r="BY25">
        <v>611.90649999999982</v>
      </c>
      <c r="BZ25">
        <v>5.9412600000000024</v>
      </c>
      <c r="CA25">
        <v>600.00420000000008</v>
      </c>
      <c r="CB25">
        <v>19.45115666666667</v>
      </c>
      <c r="CC25">
        <v>2.571337666666667</v>
      </c>
      <c r="CD25">
        <v>1.9697016666666669</v>
      </c>
      <c r="CE25">
        <v>21.485236666666669</v>
      </c>
      <c r="CF25">
        <v>17.202856666666669</v>
      </c>
      <c r="CG25">
        <v>1750678216.5</v>
      </c>
      <c r="CH25" t="s">
        <v>340</v>
      </c>
      <c r="CI25">
        <v>1750678216.5</v>
      </c>
      <c r="CJ25">
        <v>1750678216.5</v>
      </c>
      <c r="CK25">
        <v>4</v>
      </c>
      <c r="CL25">
        <v>-0.11</v>
      </c>
      <c r="CM25">
        <v>-2.7E-2</v>
      </c>
      <c r="CN25">
        <v>1.548</v>
      </c>
      <c r="CO25">
        <v>0.17799999999999999</v>
      </c>
      <c r="CP25">
        <v>450</v>
      </c>
      <c r="CQ25">
        <v>19</v>
      </c>
      <c r="CR25">
        <v>0.32</v>
      </c>
      <c r="CS25">
        <v>0.12</v>
      </c>
      <c r="CT25">
        <v>-64.448243902439017</v>
      </c>
      <c r="CU25">
        <v>0.13139372822284839</v>
      </c>
      <c r="CV25">
        <v>4.5750697975645883E-2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5.9445285365853664</v>
      </c>
      <c r="DC25">
        <v>-7.5060000000000016E-2</v>
      </c>
      <c r="DD25">
        <v>7.5179231567052852E-3</v>
      </c>
      <c r="DE25">
        <v>1</v>
      </c>
      <c r="DF25">
        <v>2</v>
      </c>
      <c r="DG25">
        <v>2</v>
      </c>
      <c r="DH25" t="s">
        <v>341</v>
      </c>
      <c r="DI25">
        <v>3.02467</v>
      </c>
      <c r="DJ25">
        <v>2.6911999999999998</v>
      </c>
      <c r="DK25">
        <v>0.115464</v>
      </c>
      <c r="DL25">
        <v>0.126133</v>
      </c>
      <c r="DM25">
        <v>0.124677</v>
      </c>
      <c r="DN25">
        <v>0.10432</v>
      </c>
      <c r="DO25">
        <v>24672.5</v>
      </c>
      <c r="DP25">
        <v>16388</v>
      </c>
      <c r="DQ25">
        <v>26462.7</v>
      </c>
      <c r="DR25">
        <v>17043</v>
      </c>
      <c r="DS25">
        <v>32937.1</v>
      </c>
      <c r="DT25">
        <v>19912.5</v>
      </c>
      <c r="DU25">
        <v>38551.800000000003</v>
      </c>
      <c r="DV25">
        <v>22556.5</v>
      </c>
      <c r="DW25">
        <v>1.8125199999999999</v>
      </c>
      <c r="DX25">
        <v>2.18872</v>
      </c>
      <c r="DY25">
        <v>9.3609100000000001E-2</v>
      </c>
      <c r="DZ25">
        <v>0</v>
      </c>
      <c r="EA25">
        <v>24.2501</v>
      </c>
      <c r="EB25">
        <v>999.9</v>
      </c>
      <c r="EC25">
        <v>59.8</v>
      </c>
      <c r="ED25">
        <v>32.5</v>
      </c>
      <c r="EE25">
        <v>29.005099999999999</v>
      </c>
      <c r="EF25">
        <v>62.648800000000001</v>
      </c>
      <c r="EG25">
        <v>37.031199999999998</v>
      </c>
      <c r="EH25">
        <v>1</v>
      </c>
      <c r="EI25">
        <v>-8.4552800000000001E-4</v>
      </c>
      <c r="EJ25">
        <v>-0.42830699999999999</v>
      </c>
      <c r="EK25">
        <v>20.328099999999999</v>
      </c>
      <c r="EL25">
        <v>5.2503500000000001</v>
      </c>
      <c r="EM25">
        <v>11.962</v>
      </c>
      <c r="EN25">
        <v>4.9897999999999998</v>
      </c>
      <c r="EO25">
        <v>3.29176</v>
      </c>
      <c r="EP25">
        <v>9999</v>
      </c>
      <c r="EQ25">
        <v>9999</v>
      </c>
      <c r="ER25">
        <v>9999</v>
      </c>
      <c r="ES25">
        <v>999.9</v>
      </c>
      <c r="ET25">
        <v>4.9726999999999997</v>
      </c>
      <c r="EU25">
        <v>1.8719399999999999</v>
      </c>
      <c r="EV25">
        <v>1.8721399999999999</v>
      </c>
      <c r="EW25">
        <v>1.8771899999999999</v>
      </c>
      <c r="EX25">
        <v>1.87134</v>
      </c>
      <c r="EY25">
        <v>1.8721099999999999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2.3199999999999998</v>
      </c>
      <c r="FP25">
        <v>0.1777</v>
      </c>
      <c r="FQ25">
        <v>-2.1949045684245019</v>
      </c>
      <c r="FR25">
        <v>7.6898218637449396E-3</v>
      </c>
      <c r="FS25">
        <v>1.5097418776848419E-6</v>
      </c>
      <c r="FT25">
        <v>-9.8458676114205118E-11</v>
      </c>
      <c r="FU25">
        <v>0.17771499999999921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193.1</v>
      </c>
      <c r="GD25">
        <v>193.1</v>
      </c>
      <c r="GE25">
        <v>1.38794</v>
      </c>
      <c r="GF25">
        <v>2.6452599999999999</v>
      </c>
      <c r="GG25">
        <v>1.7981</v>
      </c>
      <c r="GH25">
        <v>2.3791500000000001</v>
      </c>
      <c r="GI25">
        <v>1.5979000000000001</v>
      </c>
      <c r="GJ25">
        <v>2.5427200000000001</v>
      </c>
      <c r="GK25">
        <v>35.637999999999998</v>
      </c>
      <c r="GL25">
        <v>24.1663</v>
      </c>
      <c r="GM25">
        <v>18</v>
      </c>
      <c r="GN25">
        <v>368.86700000000002</v>
      </c>
      <c r="GO25">
        <v>664.62599999999998</v>
      </c>
      <c r="GP25">
        <v>25.829799999999999</v>
      </c>
      <c r="GQ25">
        <v>27.037600000000001</v>
      </c>
      <c r="GR25">
        <v>29.999700000000001</v>
      </c>
      <c r="GS25">
        <v>27.061199999999999</v>
      </c>
      <c r="GT25">
        <v>27.089200000000002</v>
      </c>
      <c r="GU25">
        <v>27.7393</v>
      </c>
      <c r="GV25">
        <v>39.578600000000002</v>
      </c>
      <c r="GW25">
        <v>0</v>
      </c>
      <c r="GX25">
        <v>25.83</v>
      </c>
      <c r="GY25">
        <v>600</v>
      </c>
      <c r="GZ25">
        <v>19.5</v>
      </c>
      <c r="HA25">
        <v>100.559</v>
      </c>
      <c r="HB25">
        <v>70.445300000000003</v>
      </c>
    </row>
    <row r="26" spans="1:210" x14ac:dyDescent="0.3">
      <c r="A26">
        <v>10</v>
      </c>
      <c r="B26">
        <v>1750689981.0999999</v>
      </c>
      <c r="C26">
        <v>1624.599999904633</v>
      </c>
      <c r="D26" t="s">
        <v>361</v>
      </c>
      <c r="E26" t="s">
        <v>362</v>
      </c>
      <c r="F26">
        <v>15</v>
      </c>
      <c r="G26">
        <v>1750689973.099999</v>
      </c>
      <c r="H26">
        <f t="shared" si="0"/>
        <v>2.5520297193457366E-3</v>
      </c>
      <c r="I26">
        <f t="shared" si="1"/>
        <v>2.5520297193457364</v>
      </c>
      <c r="J26">
        <f t="shared" si="2"/>
        <v>32.067800857506271</v>
      </c>
      <c r="K26">
        <f t="shared" si="3"/>
        <v>823.14099999999996</v>
      </c>
      <c r="L26">
        <f t="shared" si="4"/>
        <v>656.3822758136422</v>
      </c>
      <c r="M26">
        <f t="shared" si="5"/>
        <v>66.531949957622771</v>
      </c>
      <c r="N26">
        <f t="shared" si="6"/>
        <v>83.434879091123264</v>
      </c>
      <c r="O26">
        <f t="shared" si="7"/>
        <v>0.34764845603324845</v>
      </c>
      <c r="P26">
        <f t="shared" si="8"/>
        <v>2.4150553834973261</v>
      </c>
      <c r="Q26">
        <f t="shared" si="9"/>
        <v>0.32240913430661194</v>
      </c>
      <c r="R26">
        <f t="shared" si="10"/>
        <v>0.20362169780532668</v>
      </c>
      <c r="S26">
        <f t="shared" si="11"/>
        <v>178.93659419354836</v>
      </c>
      <c r="T26">
        <f t="shared" si="12"/>
        <v>26.888121695889176</v>
      </c>
      <c r="U26">
        <f t="shared" si="13"/>
        <v>25.752099999999999</v>
      </c>
      <c r="V26">
        <f t="shared" si="14"/>
        <v>3.3250771779953805</v>
      </c>
      <c r="W26">
        <f t="shared" si="15"/>
        <v>73.60479304183842</v>
      </c>
      <c r="X26">
        <f t="shared" si="16"/>
        <v>2.5459856591958454</v>
      </c>
      <c r="Y26">
        <f t="shared" si="17"/>
        <v>3.4589943860702883</v>
      </c>
      <c r="Z26">
        <f t="shared" si="18"/>
        <v>0.77909151879953509</v>
      </c>
      <c r="AA26">
        <f t="shared" si="19"/>
        <v>-112.54451062314698</v>
      </c>
      <c r="AB26">
        <f t="shared" si="20"/>
        <v>86.935691041106594</v>
      </c>
      <c r="AC26">
        <f t="shared" si="21"/>
        <v>7.6978742902537274</v>
      </c>
      <c r="AD26">
        <f t="shared" si="22"/>
        <v>161.02564890176171</v>
      </c>
      <c r="AE26">
        <f t="shared" si="23"/>
        <v>32.067800857506271</v>
      </c>
      <c r="AF26">
        <f t="shared" si="24"/>
        <v>2.5520297193457364</v>
      </c>
      <c r="AG26">
        <f t="shared" si="25"/>
        <v>31.927673467550832</v>
      </c>
      <c r="AH26">
        <v>917.9335400916076</v>
      </c>
      <c r="AI26">
        <v>844.44233333333295</v>
      </c>
      <c r="AJ26">
        <v>2.7596616320314279E-2</v>
      </c>
      <c r="AK26">
        <v>84.019814156764028</v>
      </c>
      <c r="AL26">
        <f t="shared" si="26"/>
        <v>2.5435857226488632</v>
      </c>
      <c r="AM26">
        <v>19.520353699658159</v>
      </c>
      <c r="AN26">
        <v>25.098877593984952</v>
      </c>
      <c r="AO26">
        <v>-8.9766283343007543E-7</v>
      </c>
      <c r="AP26">
        <v>90.504844094183341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53633.389322449948</v>
      </c>
      <c r="AV26">
        <f t="shared" si="30"/>
        <v>941.77154838709669</v>
      </c>
      <c r="AW26">
        <f t="shared" si="31"/>
        <v>753.41723870967735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339</v>
      </c>
      <c r="BC26">
        <v>2</v>
      </c>
      <c r="BD26" t="b">
        <v>0</v>
      </c>
      <c r="BE26">
        <v>1750689973.099999</v>
      </c>
      <c r="BF26">
        <v>823.14099999999996</v>
      </c>
      <c r="BG26">
        <v>900.00754838709679</v>
      </c>
      <c r="BH26">
        <v>25.117854838709679</v>
      </c>
      <c r="BI26">
        <v>19.52092903225806</v>
      </c>
      <c r="BJ26">
        <v>818.08848387096782</v>
      </c>
      <c r="BK26">
        <v>24.940145161290321</v>
      </c>
      <c r="BL26">
        <v>400.06522580645162</v>
      </c>
      <c r="BM26">
        <v>101.26154838709679</v>
      </c>
      <c r="BN26">
        <v>0.10003983548387101</v>
      </c>
      <c r="BO26">
        <v>26.419806451612899</v>
      </c>
      <c r="BP26">
        <v>25.752099999999999</v>
      </c>
      <c r="BQ26">
        <v>999.90000000000032</v>
      </c>
      <c r="BR26">
        <v>0</v>
      </c>
      <c r="BS26">
        <v>0</v>
      </c>
      <c r="BT26">
        <v>9997.1612903225814</v>
      </c>
      <c r="BU26">
        <v>941.77154838709669</v>
      </c>
      <c r="BV26">
        <v>16.933199999999999</v>
      </c>
      <c r="BW26">
        <v>-76.866538709677442</v>
      </c>
      <c r="BX26">
        <v>844.34922580645161</v>
      </c>
      <c r="BY26">
        <v>917.92638709677431</v>
      </c>
      <c r="BZ26">
        <v>5.5969229032258063</v>
      </c>
      <c r="CA26">
        <v>900.00754838709679</v>
      </c>
      <c r="CB26">
        <v>19.52092903225806</v>
      </c>
      <c r="CC26">
        <v>2.543473870967742</v>
      </c>
      <c r="CD26">
        <v>1.97672</v>
      </c>
      <c r="CE26">
        <v>21.307396774193549</v>
      </c>
      <c r="CF26">
        <v>17.259077419354838</v>
      </c>
      <c r="CG26">
        <v>1750678216.5</v>
      </c>
      <c r="CH26" t="s">
        <v>340</v>
      </c>
      <c r="CI26">
        <v>1750678216.5</v>
      </c>
      <c r="CJ26">
        <v>1750678216.5</v>
      </c>
      <c r="CK26">
        <v>4</v>
      </c>
      <c r="CL26">
        <v>-0.11</v>
      </c>
      <c r="CM26">
        <v>-2.7E-2</v>
      </c>
      <c r="CN26">
        <v>1.548</v>
      </c>
      <c r="CO26">
        <v>0.17799999999999999</v>
      </c>
      <c r="CP26">
        <v>450</v>
      </c>
      <c r="CQ26">
        <v>19</v>
      </c>
      <c r="CR26">
        <v>0.32</v>
      </c>
      <c r="CS26">
        <v>0.12</v>
      </c>
      <c r="CT26">
        <v>-76.908546341463406</v>
      </c>
      <c r="CU26">
        <v>0.38694773519165221</v>
      </c>
      <c r="CV26">
        <v>6.3412467411389908E-2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5.6042953658536581</v>
      </c>
      <c r="DC26">
        <v>-0.1222105923344874</v>
      </c>
      <c r="DD26">
        <v>1.210974755483207E-2</v>
      </c>
      <c r="DE26">
        <v>0</v>
      </c>
      <c r="DF26">
        <v>1</v>
      </c>
      <c r="DG26">
        <v>2</v>
      </c>
      <c r="DH26" t="s">
        <v>363</v>
      </c>
      <c r="DI26">
        <v>3.0247299999999999</v>
      </c>
      <c r="DJ26">
        <v>2.6913100000000001</v>
      </c>
      <c r="DK26">
        <v>0.154754</v>
      </c>
      <c r="DL26">
        <v>0.165573</v>
      </c>
      <c r="DM26">
        <v>0.12374499999999999</v>
      </c>
      <c r="DN26">
        <v>0.104615</v>
      </c>
      <c r="DO26">
        <v>23583.200000000001</v>
      </c>
      <c r="DP26">
        <v>15649.8</v>
      </c>
      <c r="DQ26">
        <v>26469</v>
      </c>
      <c r="DR26">
        <v>17044.099999999999</v>
      </c>
      <c r="DS26">
        <v>32979.800000000003</v>
      </c>
      <c r="DT26">
        <v>19905.5</v>
      </c>
      <c r="DU26">
        <v>38559.9</v>
      </c>
      <c r="DV26">
        <v>22555.9</v>
      </c>
      <c r="DW26">
        <v>1.8142799999999999</v>
      </c>
      <c r="DX26">
        <v>2.1924999999999999</v>
      </c>
      <c r="DY26">
        <v>9.6964800000000004E-2</v>
      </c>
      <c r="DZ26">
        <v>0</v>
      </c>
      <c r="EA26">
        <v>24.165199999999999</v>
      </c>
      <c r="EB26">
        <v>999.9</v>
      </c>
      <c r="EC26">
        <v>59.8</v>
      </c>
      <c r="ED26">
        <v>32.5</v>
      </c>
      <c r="EE26">
        <v>29.005800000000001</v>
      </c>
      <c r="EF26">
        <v>62.725999999999999</v>
      </c>
      <c r="EG26">
        <v>36.991199999999999</v>
      </c>
      <c r="EH26">
        <v>1</v>
      </c>
      <c r="EI26">
        <v>-1.3875999999999999E-2</v>
      </c>
      <c r="EJ26">
        <v>-0.47588000000000003</v>
      </c>
      <c r="EK26">
        <v>20.3279</v>
      </c>
      <c r="EL26">
        <v>5.2513100000000001</v>
      </c>
      <c r="EM26">
        <v>11.962</v>
      </c>
      <c r="EN26">
        <v>4.9896799999999999</v>
      </c>
      <c r="EO26">
        <v>3.2917000000000001</v>
      </c>
      <c r="EP26">
        <v>9999</v>
      </c>
      <c r="EQ26">
        <v>9999</v>
      </c>
      <c r="ER26">
        <v>9999</v>
      </c>
      <c r="ES26">
        <v>999.9</v>
      </c>
      <c r="ET26">
        <v>4.9727100000000002</v>
      </c>
      <c r="EU26">
        <v>1.87195</v>
      </c>
      <c r="EV26">
        <v>1.87215</v>
      </c>
      <c r="EW26">
        <v>1.8772500000000001</v>
      </c>
      <c r="EX26">
        <v>1.87134</v>
      </c>
      <c r="EY26">
        <v>1.8721000000000001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5.0540000000000003</v>
      </c>
      <c r="FP26">
        <v>0.1777</v>
      </c>
      <c r="FQ26">
        <v>-2.1949045684245019</v>
      </c>
      <c r="FR26">
        <v>7.6898218637449396E-3</v>
      </c>
      <c r="FS26">
        <v>1.5097418776848419E-6</v>
      </c>
      <c r="FT26">
        <v>-9.8458676114205118E-11</v>
      </c>
      <c r="FU26">
        <v>0.17771499999999921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196.1</v>
      </c>
      <c r="GD26">
        <v>196.1</v>
      </c>
      <c r="GE26">
        <v>1.9287099999999999</v>
      </c>
      <c r="GF26">
        <v>2.63794</v>
      </c>
      <c r="GG26">
        <v>1.79932</v>
      </c>
      <c r="GH26">
        <v>2.3791500000000001</v>
      </c>
      <c r="GI26">
        <v>1.5979000000000001</v>
      </c>
      <c r="GJ26">
        <v>2.4291999999999998</v>
      </c>
      <c r="GK26">
        <v>35.568300000000001</v>
      </c>
      <c r="GL26">
        <v>24.157499999999999</v>
      </c>
      <c r="GM26">
        <v>18</v>
      </c>
      <c r="GN26">
        <v>368.66</v>
      </c>
      <c r="GO26">
        <v>665.79</v>
      </c>
      <c r="GP26">
        <v>25.829699999999999</v>
      </c>
      <c r="GQ26">
        <v>26.876899999999999</v>
      </c>
      <c r="GR26">
        <v>29.999700000000001</v>
      </c>
      <c r="GS26">
        <v>26.895399999999999</v>
      </c>
      <c r="GT26">
        <v>26.923100000000002</v>
      </c>
      <c r="GU26">
        <v>38.572800000000001</v>
      </c>
      <c r="GV26">
        <v>39.297499999999999</v>
      </c>
      <c r="GW26">
        <v>0</v>
      </c>
      <c r="GX26">
        <v>25.83</v>
      </c>
      <c r="GY26">
        <v>900</v>
      </c>
      <c r="GZ26">
        <v>19.5</v>
      </c>
      <c r="HA26">
        <v>100.581</v>
      </c>
      <c r="HB26">
        <v>70.446100000000001</v>
      </c>
    </row>
    <row r="27" spans="1:210" x14ac:dyDescent="0.3">
      <c r="A27">
        <v>11</v>
      </c>
      <c r="B27">
        <v>1750690161.5999999</v>
      </c>
      <c r="C27">
        <v>1805.099999904633</v>
      </c>
      <c r="D27" t="s">
        <v>364</v>
      </c>
      <c r="E27" t="s">
        <v>365</v>
      </c>
      <c r="F27">
        <v>15</v>
      </c>
      <c r="G27">
        <v>1750690153.849999</v>
      </c>
      <c r="H27">
        <f t="shared" si="0"/>
        <v>2.3741229109012071E-3</v>
      </c>
      <c r="I27">
        <f t="shared" si="1"/>
        <v>2.3741229109012072</v>
      </c>
      <c r="J27">
        <f t="shared" si="2"/>
        <v>33.43082930736243</v>
      </c>
      <c r="K27">
        <f t="shared" si="3"/>
        <v>1118.7933333333331</v>
      </c>
      <c r="L27">
        <f t="shared" si="4"/>
        <v>919.38166957101146</v>
      </c>
      <c r="M27">
        <f t="shared" si="5"/>
        <v>93.192888668422341</v>
      </c>
      <c r="N27">
        <f t="shared" si="6"/>
        <v>113.40620115360403</v>
      </c>
      <c r="O27">
        <f t="shared" si="7"/>
        <v>0.30455700652096357</v>
      </c>
      <c r="P27">
        <f t="shared" si="8"/>
        <v>2.4155844409820273</v>
      </c>
      <c r="Q27">
        <f t="shared" si="9"/>
        <v>0.28500362040988864</v>
      </c>
      <c r="R27">
        <f t="shared" si="10"/>
        <v>0.17978019748886406</v>
      </c>
      <c r="S27">
        <f t="shared" si="11"/>
        <v>178.96372333333335</v>
      </c>
      <c r="T27">
        <f t="shared" si="12"/>
        <v>26.911473421240778</v>
      </c>
      <c r="U27">
        <f t="shared" si="13"/>
        <v>25.74667333333333</v>
      </c>
      <c r="V27">
        <f t="shared" si="14"/>
        <v>3.3240076146588637</v>
      </c>
      <c r="W27">
        <f t="shared" si="15"/>
        <v>72.525195254733859</v>
      </c>
      <c r="X27">
        <f t="shared" si="16"/>
        <v>2.5038977446190533</v>
      </c>
      <c r="Y27">
        <f t="shared" si="17"/>
        <v>3.4524522627267507</v>
      </c>
      <c r="Z27">
        <f t="shared" si="18"/>
        <v>0.8201098700398104</v>
      </c>
      <c r="AA27">
        <f t="shared" si="19"/>
        <v>-104.69882037074323</v>
      </c>
      <c r="AB27">
        <f t="shared" si="20"/>
        <v>83.482424809169004</v>
      </c>
      <c r="AC27">
        <f t="shared" si="21"/>
        <v>7.3890885355523261</v>
      </c>
      <c r="AD27">
        <f t="shared" si="22"/>
        <v>165.13641630731144</v>
      </c>
      <c r="AE27">
        <f t="shared" si="23"/>
        <v>33.43082930736243</v>
      </c>
      <c r="AF27">
        <f t="shared" si="24"/>
        <v>2.3741229109012072</v>
      </c>
      <c r="AG27">
        <f t="shared" si="25"/>
        <v>33.410044747221306</v>
      </c>
      <c r="AH27">
        <v>1223.8305844084241</v>
      </c>
      <c r="AI27">
        <v>1147.1428484848479</v>
      </c>
      <c r="AJ27">
        <v>1.9563182232112219E-3</v>
      </c>
      <c r="AK27">
        <v>84.019814156764028</v>
      </c>
      <c r="AL27">
        <f t="shared" si="26"/>
        <v>2.3650713537428807</v>
      </c>
      <c r="AM27">
        <v>19.49080644349614</v>
      </c>
      <c r="AN27">
        <v>24.68116360902253</v>
      </c>
      <c r="AO27">
        <v>-1.1955997765079391E-6</v>
      </c>
      <c r="AP27">
        <v>90.504844094183341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53656.927799372083</v>
      </c>
      <c r="AV27">
        <f t="shared" si="30"/>
        <v>941.91433333333339</v>
      </c>
      <c r="AW27">
        <f t="shared" si="31"/>
        <v>753.5314666666668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339</v>
      </c>
      <c r="BC27">
        <v>2</v>
      </c>
      <c r="BD27" t="b">
        <v>0</v>
      </c>
      <c r="BE27">
        <v>1750690153.849999</v>
      </c>
      <c r="BF27">
        <v>1118.7933333333331</v>
      </c>
      <c r="BG27">
        <v>1199.9933333333331</v>
      </c>
      <c r="BH27">
        <v>24.70186</v>
      </c>
      <c r="BI27">
        <v>19.491759999999999</v>
      </c>
      <c r="BJ27">
        <v>1110.7186666666671</v>
      </c>
      <c r="BK27">
        <v>24.52414666666666</v>
      </c>
      <c r="BL27">
        <v>399.97886666666659</v>
      </c>
      <c r="BM27">
        <v>101.26479999999999</v>
      </c>
      <c r="BN27">
        <v>9.9945190000000003E-2</v>
      </c>
      <c r="BO27">
        <v>26.38771666666667</v>
      </c>
      <c r="BP27">
        <v>25.74667333333333</v>
      </c>
      <c r="BQ27">
        <v>999.9000000000002</v>
      </c>
      <c r="BR27">
        <v>0</v>
      </c>
      <c r="BS27">
        <v>0</v>
      </c>
      <c r="BT27">
        <v>10000.283333333329</v>
      </c>
      <c r="BU27">
        <v>941.91433333333339</v>
      </c>
      <c r="BV27">
        <v>16.91885666666667</v>
      </c>
      <c r="BW27">
        <v>-81.200589999999991</v>
      </c>
      <c r="BX27">
        <v>1147.129333333334</v>
      </c>
      <c r="BY27">
        <v>1223.8476666666661</v>
      </c>
      <c r="BZ27">
        <v>5.2100900000000019</v>
      </c>
      <c r="CA27">
        <v>1199.9933333333331</v>
      </c>
      <c r="CB27">
        <v>19.491759999999999</v>
      </c>
      <c r="CC27">
        <v>2.501428666666667</v>
      </c>
      <c r="CD27">
        <v>1.973829666666667</v>
      </c>
      <c r="CE27">
        <v>21.03579666666667</v>
      </c>
      <c r="CF27">
        <v>17.235946666666671</v>
      </c>
      <c r="CG27">
        <v>1750678216.5</v>
      </c>
      <c r="CH27" t="s">
        <v>340</v>
      </c>
      <c r="CI27">
        <v>1750678216.5</v>
      </c>
      <c r="CJ27">
        <v>1750678216.5</v>
      </c>
      <c r="CK27">
        <v>4</v>
      </c>
      <c r="CL27">
        <v>-0.11</v>
      </c>
      <c r="CM27">
        <v>-2.7E-2</v>
      </c>
      <c r="CN27">
        <v>1.548</v>
      </c>
      <c r="CO27">
        <v>0.17799999999999999</v>
      </c>
      <c r="CP27">
        <v>450</v>
      </c>
      <c r="CQ27">
        <v>19</v>
      </c>
      <c r="CR27">
        <v>0.32</v>
      </c>
      <c r="CS27">
        <v>0.12</v>
      </c>
      <c r="CT27">
        <v>-81.219977499999999</v>
      </c>
      <c r="CU27">
        <v>0.24942776735475031</v>
      </c>
      <c r="CV27">
        <v>8.3660810680688355E-2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5.2185707499999996</v>
      </c>
      <c r="DC27">
        <v>-0.144056848030021</v>
      </c>
      <c r="DD27">
        <v>1.394424727037996E-2</v>
      </c>
      <c r="DE27">
        <v>0</v>
      </c>
      <c r="DF27">
        <v>1</v>
      </c>
      <c r="DG27">
        <v>2</v>
      </c>
      <c r="DH27" t="s">
        <v>363</v>
      </c>
      <c r="DI27">
        <v>3.0248300000000001</v>
      </c>
      <c r="DJ27">
        <v>2.6911299999999998</v>
      </c>
      <c r="DK27">
        <v>0.18820799999999999</v>
      </c>
      <c r="DL27">
        <v>0.19861000000000001</v>
      </c>
      <c r="DM27">
        <v>0.122351</v>
      </c>
      <c r="DN27">
        <v>0.104561</v>
      </c>
      <c r="DO27">
        <v>22656.5</v>
      </c>
      <c r="DP27">
        <v>15032.4</v>
      </c>
      <c r="DQ27">
        <v>26475.8</v>
      </c>
      <c r="DR27">
        <v>17046</v>
      </c>
      <c r="DS27">
        <v>33041.800000000003</v>
      </c>
      <c r="DT27">
        <v>19908.2</v>
      </c>
      <c r="DU27">
        <v>38569.699999999997</v>
      </c>
      <c r="DV27">
        <v>22557.5</v>
      </c>
      <c r="DW27">
        <v>1.8158399999999999</v>
      </c>
      <c r="DX27">
        <v>2.1961599999999999</v>
      </c>
      <c r="DY27">
        <v>0.100091</v>
      </c>
      <c r="DZ27">
        <v>0</v>
      </c>
      <c r="EA27">
        <v>24.106100000000001</v>
      </c>
      <c r="EB27">
        <v>999.9</v>
      </c>
      <c r="EC27">
        <v>59.8</v>
      </c>
      <c r="ED27">
        <v>32.4</v>
      </c>
      <c r="EE27">
        <v>28.841799999999999</v>
      </c>
      <c r="EF27">
        <v>62.4861</v>
      </c>
      <c r="EG27">
        <v>37.235599999999998</v>
      </c>
      <c r="EH27">
        <v>1</v>
      </c>
      <c r="EI27">
        <v>-2.6306900000000001E-2</v>
      </c>
      <c r="EJ27">
        <v>-0.52588199999999996</v>
      </c>
      <c r="EK27">
        <v>20.3279</v>
      </c>
      <c r="EL27">
        <v>5.2517899999999997</v>
      </c>
      <c r="EM27">
        <v>11.962</v>
      </c>
      <c r="EN27">
        <v>4.9896399999999996</v>
      </c>
      <c r="EO27">
        <v>3.2916400000000001</v>
      </c>
      <c r="EP27">
        <v>9999</v>
      </c>
      <c r="EQ27">
        <v>9999</v>
      </c>
      <c r="ER27">
        <v>9999</v>
      </c>
      <c r="ES27">
        <v>999.9</v>
      </c>
      <c r="ET27">
        <v>4.9726800000000004</v>
      </c>
      <c r="EU27">
        <v>1.87195</v>
      </c>
      <c r="EV27">
        <v>1.8721399999999999</v>
      </c>
      <c r="EW27">
        <v>1.8771899999999999</v>
      </c>
      <c r="EX27">
        <v>1.87134</v>
      </c>
      <c r="EY27">
        <v>1.8721000000000001</v>
      </c>
      <c r="EZ27">
        <v>1.8717999999999999</v>
      </c>
      <c r="FA27">
        <v>1.86873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8.07</v>
      </c>
      <c r="FP27">
        <v>0.1777</v>
      </c>
      <c r="FQ27">
        <v>-2.1949045684245019</v>
      </c>
      <c r="FR27">
        <v>7.6898218637449396E-3</v>
      </c>
      <c r="FS27">
        <v>1.5097418776848419E-6</v>
      </c>
      <c r="FT27">
        <v>-9.8458676114205118E-11</v>
      </c>
      <c r="FU27">
        <v>0.17771499999999921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199.1</v>
      </c>
      <c r="GD27">
        <v>199.1</v>
      </c>
      <c r="GE27">
        <v>2.4414099999999999</v>
      </c>
      <c r="GF27">
        <v>2.6098599999999998</v>
      </c>
      <c r="GG27">
        <v>1.7981</v>
      </c>
      <c r="GH27">
        <v>2.3779300000000001</v>
      </c>
      <c r="GI27">
        <v>1.5979000000000001</v>
      </c>
      <c r="GJ27">
        <v>2.5805699999999998</v>
      </c>
      <c r="GK27">
        <v>35.452300000000001</v>
      </c>
      <c r="GL27">
        <v>24.1663</v>
      </c>
      <c r="GM27">
        <v>18</v>
      </c>
      <c r="GN27">
        <v>368.40800000000002</v>
      </c>
      <c r="GO27">
        <v>666.95799999999997</v>
      </c>
      <c r="GP27">
        <v>25.829799999999999</v>
      </c>
      <c r="GQ27">
        <v>26.724599999999999</v>
      </c>
      <c r="GR27">
        <v>29.999700000000001</v>
      </c>
      <c r="GS27">
        <v>26.738900000000001</v>
      </c>
      <c r="GT27">
        <v>26.765899999999998</v>
      </c>
      <c r="GU27">
        <v>48.806800000000003</v>
      </c>
      <c r="GV27">
        <v>39.297499999999999</v>
      </c>
      <c r="GW27">
        <v>0</v>
      </c>
      <c r="GX27">
        <v>25.83</v>
      </c>
      <c r="GY27">
        <v>1200</v>
      </c>
      <c r="GZ27">
        <v>19.5</v>
      </c>
      <c r="HA27">
        <v>100.607</v>
      </c>
      <c r="HB27">
        <v>70.452399999999997</v>
      </c>
    </row>
    <row r="28" spans="1:210" x14ac:dyDescent="0.3">
      <c r="A28">
        <v>12</v>
      </c>
      <c r="B28">
        <v>1750690342.0999999</v>
      </c>
      <c r="C28">
        <v>1985.599999904633</v>
      </c>
      <c r="D28" t="s">
        <v>366</v>
      </c>
      <c r="E28" t="s">
        <v>367</v>
      </c>
      <c r="F28">
        <v>15</v>
      </c>
      <c r="G28">
        <v>1750690334.349999</v>
      </c>
      <c r="H28">
        <f t="shared" si="0"/>
        <v>2.1728089632525494E-3</v>
      </c>
      <c r="I28">
        <f t="shared" si="1"/>
        <v>2.1728089632525496</v>
      </c>
      <c r="J28">
        <f t="shared" si="2"/>
        <v>33.471480339209755</v>
      </c>
      <c r="K28">
        <f t="shared" si="3"/>
        <v>1517.252333333334</v>
      </c>
      <c r="L28">
        <f t="shared" si="4"/>
        <v>1282.2721099217106</v>
      </c>
      <c r="M28">
        <f t="shared" si="5"/>
        <v>129.9709718342813</v>
      </c>
      <c r="N28">
        <f t="shared" si="6"/>
        <v>153.78854359797654</v>
      </c>
      <c r="O28">
        <f t="shared" si="7"/>
        <v>0.26115862500581799</v>
      </c>
      <c r="P28">
        <f t="shared" si="8"/>
        <v>2.4154977937844166</v>
      </c>
      <c r="Q28">
        <f t="shared" si="9"/>
        <v>0.24663891223558518</v>
      </c>
      <c r="R28">
        <f t="shared" si="10"/>
        <v>0.15538710326623262</v>
      </c>
      <c r="S28">
        <f t="shared" si="11"/>
        <v>178.99363566666662</v>
      </c>
      <c r="T28">
        <f t="shared" si="12"/>
        <v>26.928424508507618</v>
      </c>
      <c r="U28">
        <f t="shared" si="13"/>
        <v>25.73292</v>
      </c>
      <c r="V28">
        <f t="shared" si="14"/>
        <v>3.3212982613270778</v>
      </c>
      <c r="W28">
        <f t="shared" si="15"/>
        <v>71.266621406837032</v>
      </c>
      <c r="X28">
        <f t="shared" si="16"/>
        <v>2.4537886893165668</v>
      </c>
      <c r="Y28">
        <f t="shared" si="17"/>
        <v>3.4431107310513815</v>
      </c>
      <c r="Z28">
        <f t="shared" si="18"/>
        <v>0.86750957201051104</v>
      </c>
      <c r="AA28">
        <f t="shared" si="19"/>
        <v>-95.820875279437431</v>
      </c>
      <c r="AB28">
        <f t="shared" si="20"/>
        <v>79.291416251639404</v>
      </c>
      <c r="AC28">
        <f t="shared" si="21"/>
        <v>7.0162902224845318</v>
      </c>
      <c r="AD28">
        <f t="shared" si="22"/>
        <v>169.48046686135314</v>
      </c>
      <c r="AE28">
        <f t="shared" si="23"/>
        <v>33.471480339209755</v>
      </c>
      <c r="AF28">
        <f t="shared" si="24"/>
        <v>2.1728089632525496</v>
      </c>
      <c r="AG28">
        <f t="shared" si="25"/>
        <v>33.48110847474566</v>
      </c>
      <c r="AH28">
        <v>1631.7028993239221</v>
      </c>
      <c r="AI28">
        <v>1554.8778181818179</v>
      </c>
      <c r="AJ28">
        <v>4.9463960842420496E-4</v>
      </c>
      <c r="AK28">
        <v>84.019814156764028</v>
      </c>
      <c r="AL28">
        <f t="shared" si="26"/>
        <v>2.1609316705073658</v>
      </c>
      <c r="AM28">
        <v>19.440666783053281</v>
      </c>
      <c r="AN28">
        <v>24.185250827067669</v>
      </c>
      <c r="AO28">
        <v>-4.2252471177131967E-5</v>
      </c>
      <c r="AP28">
        <v>90.504844094183341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53662.149770731914</v>
      </c>
      <c r="AV28">
        <f t="shared" si="30"/>
        <v>942.07176666666646</v>
      </c>
      <c r="AW28">
        <f t="shared" si="31"/>
        <v>753.65741333333324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339</v>
      </c>
      <c r="BC28">
        <v>2</v>
      </c>
      <c r="BD28" t="b">
        <v>0</v>
      </c>
      <c r="BE28">
        <v>1750690334.349999</v>
      </c>
      <c r="BF28">
        <v>1517.252333333334</v>
      </c>
      <c r="BG28">
        <v>1599.9753333333331</v>
      </c>
      <c r="BH28">
        <v>24.20867333333333</v>
      </c>
      <c r="BI28">
        <v>19.438516666666668</v>
      </c>
      <c r="BJ28">
        <v>1504.792666666666</v>
      </c>
      <c r="BK28">
        <v>24.030966666666671</v>
      </c>
      <c r="BL28">
        <v>400.02613333333341</v>
      </c>
      <c r="BM28">
        <v>101.25993333333329</v>
      </c>
      <c r="BN28">
        <v>9.9965886666666656E-2</v>
      </c>
      <c r="BO28">
        <v>26.341803333333331</v>
      </c>
      <c r="BP28">
        <v>25.73292</v>
      </c>
      <c r="BQ28">
        <v>999.9000000000002</v>
      </c>
      <c r="BR28">
        <v>0</v>
      </c>
      <c r="BS28">
        <v>0</v>
      </c>
      <c r="BT28">
        <v>10000.200000000001</v>
      </c>
      <c r="BU28">
        <v>942.07176666666646</v>
      </c>
      <c r="BV28">
        <v>16.933199999999999</v>
      </c>
      <c r="BW28">
        <v>-82.722226666666685</v>
      </c>
      <c r="BX28">
        <v>1554.8953333333329</v>
      </c>
      <c r="BY28">
        <v>1631.6926666666659</v>
      </c>
      <c r="BZ28">
        <v>4.7701589999999996</v>
      </c>
      <c r="CA28">
        <v>1599.9753333333331</v>
      </c>
      <c r="CB28">
        <v>19.438516666666668</v>
      </c>
      <c r="CC28">
        <v>2.4513703333333341</v>
      </c>
      <c r="CD28">
        <v>1.9683433333333329</v>
      </c>
      <c r="CE28">
        <v>20.707166666666669</v>
      </c>
      <c r="CF28">
        <v>17.191949999999999</v>
      </c>
      <c r="CG28">
        <v>1750678216.5</v>
      </c>
      <c r="CH28" t="s">
        <v>340</v>
      </c>
      <c r="CI28">
        <v>1750678216.5</v>
      </c>
      <c r="CJ28">
        <v>1750678216.5</v>
      </c>
      <c r="CK28">
        <v>4</v>
      </c>
      <c r="CL28">
        <v>-0.11</v>
      </c>
      <c r="CM28">
        <v>-2.7E-2</v>
      </c>
      <c r="CN28">
        <v>1.548</v>
      </c>
      <c r="CO28">
        <v>0.17799999999999999</v>
      </c>
      <c r="CP28">
        <v>450</v>
      </c>
      <c r="CQ28">
        <v>19</v>
      </c>
      <c r="CR28">
        <v>0.32</v>
      </c>
      <c r="CS28">
        <v>0.12</v>
      </c>
      <c r="CT28">
        <v>-82.744700000000009</v>
      </c>
      <c r="CU28">
        <v>0.24651428571423281</v>
      </c>
      <c r="CV28">
        <v>0.1001180449610815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4.7793126829268289</v>
      </c>
      <c r="DC28">
        <v>-0.15896299651567131</v>
      </c>
      <c r="DD28">
        <v>1.58906795852145E-2</v>
      </c>
      <c r="DE28">
        <v>0</v>
      </c>
      <c r="DF28">
        <v>1</v>
      </c>
      <c r="DG28">
        <v>2</v>
      </c>
      <c r="DH28" t="s">
        <v>363</v>
      </c>
      <c r="DI28">
        <v>3.02461</v>
      </c>
      <c r="DJ28">
        <v>2.69137</v>
      </c>
      <c r="DK28">
        <v>0.22642000000000001</v>
      </c>
      <c r="DL28">
        <v>0.23619599999999999</v>
      </c>
      <c r="DM28">
        <v>0.120657</v>
      </c>
      <c r="DN28">
        <v>0.10437299999999999</v>
      </c>
      <c r="DO28">
        <v>21596.5</v>
      </c>
      <c r="DP28">
        <v>14330.3</v>
      </c>
      <c r="DQ28">
        <v>26482.400000000001</v>
      </c>
      <c r="DR28">
        <v>17048.7</v>
      </c>
      <c r="DS28">
        <v>33115</v>
      </c>
      <c r="DT28">
        <v>19914.900000000001</v>
      </c>
      <c r="DU28">
        <v>38578.699999999997</v>
      </c>
      <c r="DV28">
        <v>22560</v>
      </c>
      <c r="DW28">
        <v>1.81646</v>
      </c>
      <c r="DX28">
        <v>2.20038</v>
      </c>
      <c r="DY28">
        <v>0.104105</v>
      </c>
      <c r="DZ28">
        <v>0</v>
      </c>
      <c r="EA28">
        <v>24.017499999999998</v>
      </c>
      <c r="EB28">
        <v>999.9</v>
      </c>
      <c r="EC28">
        <v>59.8</v>
      </c>
      <c r="ED28">
        <v>32.4</v>
      </c>
      <c r="EE28">
        <v>28.843</v>
      </c>
      <c r="EF28">
        <v>62.686100000000003</v>
      </c>
      <c r="EG28">
        <v>37.171500000000002</v>
      </c>
      <c r="EH28">
        <v>1</v>
      </c>
      <c r="EI28">
        <v>-3.8550800000000003E-2</v>
      </c>
      <c r="EJ28">
        <v>-0.56983700000000004</v>
      </c>
      <c r="EK28">
        <v>20.3278</v>
      </c>
      <c r="EL28">
        <v>5.2532300000000003</v>
      </c>
      <c r="EM28">
        <v>11.962</v>
      </c>
      <c r="EN28">
        <v>4.9897200000000002</v>
      </c>
      <c r="EO28">
        <v>3.2917200000000002</v>
      </c>
      <c r="EP28">
        <v>9999</v>
      </c>
      <c r="EQ28">
        <v>9999</v>
      </c>
      <c r="ER28">
        <v>9999</v>
      </c>
      <c r="ES28">
        <v>999.9</v>
      </c>
      <c r="ET28">
        <v>4.9726800000000004</v>
      </c>
      <c r="EU28">
        <v>1.8719399999999999</v>
      </c>
      <c r="EV28">
        <v>1.8721699999999999</v>
      </c>
      <c r="EW28">
        <v>1.8772200000000001</v>
      </c>
      <c r="EX28">
        <v>1.87134</v>
      </c>
      <c r="EY28">
        <v>1.8721000000000001</v>
      </c>
      <c r="EZ28">
        <v>1.8717999999999999</v>
      </c>
      <c r="FA28">
        <v>1.8687199999999999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12.46</v>
      </c>
      <c r="FP28">
        <v>0.1777</v>
      </c>
      <c r="FQ28">
        <v>-2.1949045684245019</v>
      </c>
      <c r="FR28">
        <v>7.6898218637449396E-3</v>
      </c>
      <c r="FS28">
        <v>1.5097418776848419E-6</v>
      </c>
      <c r="FT28">
        <v>-9.8458676114205118E-11</v>
      </c>
      <c r="FU28">
        <v>0.17771499999999921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202.1</v>
      </c>
      <c r="GD28">
        <v>202.1</v>
      </c>
      <c r="GE28">
        <v>3.0883799999999999</v>
      </c>
      <c r="GF28">
        <v>2.6232899999999999</v>
      </c>
      <c r="GG28">
        <v>1.79932</v>
      </c>
      <c r="GH28">
        <v>2.3791500000000001</v>
      </c>
      <c r="GI28">
        <v>1.5979000000000001</v>
      </c>
      <c r="GJ28">
        <v>2.4682599999999999</v>
      </c>
      <c r="GK28">
        <v>35.3827</v>
      </c>
      <c r="GL28">
        <v>24.157499999999999</v>
      </c>
      <c r="GM28">
        <v>18</v>
      </c>
      <c r="GN28">
        <v>367.70299999999997</v>
      </c>
      <c r="GO28">
        <v>668.66499999999996</v>
      </c>
      <c r="GP28">
        <v>25.829499999999999</v>
      </c>
      <c r="GQ28">
        <v>26.576899999999998</v>
      </c>
      <c r="GR28">
        <v>29.999700000000001</v>
      </c>
      <c r="GS28">
        <v>26.587199999999999</v>
      </c>
      <c r="GT28">
        <v>26.613800000000001</v>
      </c>
      <c r="GU28">
        <v>61.718000000000004</v>
      </c>
      <c r="GV28">
        <v>39.297499999999999</v>
      </c>
      <c r="GW28">
        <v>0</v>
      </c>
      <c r="GX28">
        <v>25.83</v>
      </c>
      <c r="GY28">
        <v>1600</v>
      </c>
      <c r="GZ28">
        <v>19.5</v>
      </c>
      <c r="HA28">
        <v>100.631</v>
      </c>
      <c r="HB28">
        <v>70.461600000000004</v>
      </c>
    </row>
    <row r="29" spans="1:210" x14ac:dyDescent="0.3">
      <c r="A29">
        <v>13</v>
      </c>
      <c r="B29">
        <v>1750690522.5999999</v>
      </c>
      <c r="C29">
        <v>2166.099999904633</v>
      </c>
      <c r="D29" t="s">
        <v>368</v>
      </c>
      <c r="E29" t="s">
        <v>369</v>
      </c>
      <c r="F29">
        <v>15</v>
      </c>
      <c r="G29">
        <v>1750690514.849999</v>
      </c>
      <c r="H29">
        <f t="shared" si="0"/>
        <v>1.9565225383826935E-3</v>
      </c>
      <c r="I29">
        <f t="shared" si="1"/>
        <v>1.9565225383826936</v>
      </c>
      <c r="J29">
        <f t="shared" si="2"/>
        <v>17.475217307985019</v>
      </c>
      <c r="K29">
        <f t="shared" si="3"/>
        <v>408.86556666666678</v>
      </c>
      <c r="L29">
        <f t="shared" si="4"/>
        <v>273.04927864547017</v>
      </c>
      <c r="M29">
        <f t="shared" si="5"/>
        <v>27.675316876458265</v>
      </c>
      <c r="N29">
        <f t="shared" si="6"/>
        <v>41.441179312049421</v>
      </c>
      <c r="O29">
        <f t="shared" si="7"/>
        <v>0.22293922715613673</v>
      </c>
      <c r="P29">
        <f t="shared" si="8"/>
        <v>2.414139478378035</v>
      </c>
      <c r="Q29">
        <f t="shared" si="9"/>
        <v>0.21226012510672465</v>
      </c>
      <c r="R29">
        <f t="shared" si="10"/>
        <v>0.13357976759907511</v>
      </c>
      <c r="S29">
        <f t="shared" si="11"/>
        <v>178.99259066666667</v>
      </c>
      <c r="T29">
        <f t="shared" si="12"/>
        <v>26.955217110541518</v>
      </c>
      <c r="U29">
        <f t="shared" si="13"/>
        <v>25.731733333333331</v>
      </c>
      <c r="V29">
        <f t="shared" si="14"/>
        <v>3.3210645830234053</v>
      </c>
      <c r="W29">
        <f t="shared" si="15"/>
        <v>70.257866393956974</v>
      </c>
      <c r="X29">
        <f t="shared" si="16"/>
        <v>2.4132321797050569</v>
      </c>
      <c r="Y29">
        <f t="shared" si="17"/>
        <v>3.4348213282955946</v>
      </c>
      <c r="Z29">
        <f t="shared" si="18"/>
        <v>0.90783240331834847</v>
      </c>
      <c r="AA29">
        <f t="shared" si="19"/>
        <v>-86.282643942676785</v>
      </c>
      <c r="AB29">
        <f t="shared" si="20"/>
        <v>74.086771244737889</v>
      </c>
      <c r="AC29">
        <f t="shared" si="21"/>
        <v>6.558050044021325</v>
      </c>
      <c r="AD29">
        <f t="shared" si="22"/>
        <v>173.3547680127491</v>
      </c>
      <c r="AE29">
        <f t="shared" si="23"/>
        <v>17.475217307985019</v>
      </c>
      <c r="AF29">
        <f t="shared" si="24"/>
        <v>1.9565225383826936</v>
      </c>
      <c r="AG29">
        <f t="shared" si="25"/>
        <v>17.496804961690096</v>
      </c>
      <c r="AH29">
        <v>458.97347280058779</v>
      </c>
      <c r="AI29">
        <v>418.81395151515142</v>
      </c>
      <c r="AJ29">
        <v>6.0918003154809971E-4</v>
      </c>
      <c r="AK29">
        <v>84.019814156764028</v>
      </c>
      <c r="AL29">
        <f t="shared" si="26"/>
        <v>1.9471271135471639</v>
      </c>
      <c r="AM29">
        <v>19.51388040715603</v>
      </c>
      <c r="AN29">
        <v>23.791456541353369</v>
      </c>
      <c r="AO29">
        <v>-4.8068079455598108E-5</v>
      </c>
      <c r="AP29">
        <v>90.504844094183341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53623.893793882264</v>
      </c>
      <c r="AV29">
        <f t="shared" si="30"/>
        <v>942.06626666666671</v>
      </c>
      <c r="AW29">
        <f t="shared" si="31"/>
        <v>753.65301333333343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339</v>
      </c>
      <c r="BC29">
        <v>2</v>
      </c>
      <c r="BD29" t="b">
        <v>0</v>
      </c>
      <c r="BE29">
        <v>1750690514.849999</v>
      </c>
      <c r="BF29">
        <v>408.86556666666678</v>
      </c>
      <c r="BG29">
        <v>449.9878666666666</v>
      </c>
      <c r="BH29">
        <v>23.809349999999991</v>
      </c>
      <c r="BI29">
        <v>19.511656666666671</v>
      </c>
      <c r="BJ29">
        <v>407.68126666666649</v>
      </c>
      <c r="BK29">
        <v>23.631620000000002</v>
      </c>
      <c r="BL29">
        <v>399.96923333333342</v>
      </c>
      <c r="BM29">
        <v>101.2565</v>
      </c>
      <c r="BN29">
        <v>9.9991450000000009E-2</v>
      </c>
      <c r="BO29">
        <v>26.30097</v>
      </c>
      <c r="BP29">
        <v>25.731733333333331</v>
      </c>
      <c r="BQ29">
        <v>999.9000000000002</v>
      </c>
      <c r="BR29">
        <v>0</v>
      </c>
      <c r="BS29">
        <v>0</v>
      </c>
      <c r="BT29">
        <v>9991.7000000000007</v>
      </c>
      <c r="BU29">
        <v>942.06626666666671</v>
      </c>
      <c r="BV29">
        <v>16.933199999999999</v>
      </c>
      <c r="BW29">
        <v>-41.122196666666667</v>
      </c>
      <c r="BX29">
        <v>418.83800000000008</v>
      </c>
      <c r="BY29">
        <v>458.94249999999988</v>
      </c>
      <c r="BZ29">
        <v>4.2976910000000004</v>
      </c>
      <c r="CA29">
        <v>449.9878666666666</v>
      </c>
      <c r="CB29">
        <v>19.511656666666671</v>
      </c>
      <c r="CC29">
        <v>2.4108520000000002</v>
      </c>
      <c r="CD29">
        <v>1.9756819999999999</v>
      </c>
      <c r="CE29">
        <v>20.43685666666666</v>
      </c>
      <c r="CF29">
        <v>17.25078666666667</v>
      </c>
      <c r="CG29">
        <v>1750678216.5</v>
      </c>
      <c r="CH29" t="s">
        <v>340</v>
      </c>
      <c r="CI29">
        <v>1750678216.5</v>
      </c>
      <c r="CJ29">
        <v>1750678216.5</v>
      </c>
      <c r="CK29">
        <v>4</v>
      </c>
      <c r="CL29">
        <v>-0.11</v>
      </c>
      <c r="CM29">
        <v>-2.7E-2</v>
      </c>
      <c r="CN29">
        <v>1.548</v>
      </c>
      <c r="CO29">
        <v>0.17799999999999999</v>
      </c>
      <c r="CP29">
        <v>450</v>
      </c>
      <c r="CQ29">
        <v>19</v>
      </c>
      <c r="CR29">
        <v>0.32</v>
      </c>
      <c r="CS29">
        <v>0.12</v>
      </c>
      <c r="CT29">
        <v>-41.134749999999997</v>
      </c>
      <c r="CU29">
        <v>-8.324352720440624E-2</v>
      </c>
      <c r="CV29">
        <v>5.2346561491658901E-2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4.30638875</v>
      </c>
      <c r="DC29">
        <v>-0.14494705440901781</v>
      </c>
      <c r="DD29">
        <v>1.419750122160594E-2</v>
      </c>
      <c r="DE29">
        <v>0</v>
      </c>
      <c r="DF29">
        <v>1</v>
      </c>
      <c r="DG29">
        <v>2</v>
      </c>
      <c r="DH29" t="s">
        <v>363</v>
      </c>
      <c r="DI29">
        <v>3.0248499999999998</v>
      </c>
      <c r="DJ29">
        <v>2.6913499999999999</v>
      </c>
      <c r="DK29">
        <v>9.4897200000000001E-2</v>
      </c>
      <c r="DL29">
        <v>0.102714</v>
      </c>
      <c r="DM29">
        <v>0.1193</v>
      </c>
      <c r="DN29">
        <v>0.104668</v>
      </c>
      <c r="DO29">
        <v>25273.7</v>
      </c>
      <c r="DP29">
        <v>16835</v>
      </c>
      <c r="DQ29">
        <v>26488.6</v>
      </c>
      <c r="DR29">
        <v>17049.599999999999</v>
      </c>
      <c r="DS29">
        <v>33171.4</v>
      </c>
      <c r="DT29">
        <v>19905.599999999999</v>
      </c>
      <c r="DU29">
        <v>38588.199999999997</v>
      </c>
      <c r="DV29">
        <v>22559.8</v>
      </c>
      <c r="DW29">
        <v>1.8176000000000001</v>
      </c>
      <c r="DX29">
        <v>2.2004000000000001</v>
      </c>
      <c r="DY29">
        <v>0.110942</v>
      </c>
      <c r="DZ29">
        <v>0</v>
      </c>
      <c r="EA29">
        <v>23.914999999999999</v>
      </c>
      <c r="EB29">
        <v>999.9</v>
      </c>
      <c r="EC29">
        <v>59.8</v>
      </c>
      <c r="ED29">
        <v>32.299999999999997</v>
      </c>
      <c r="EE29">
        <v>28.684799999999999</v>
      </c>
      <c r="EF29">
        <v>62.7761</v>
      </c>
      <c r="EG29">
        <v>37.211500000000001</v>
      </c>
      <c r="EH29">
        <v>1</v>
      </c>
      <c r="EI29">
        <v>-5.0321100000000001E-2</v>
      </c>
      <c r="EJ29">
        <v>-0.62654699999999997</v>
      </c>
      <c r="EK29">
        <v>20.327500000000001</v>
      </c>
      <c r="EL29">
        <v>5.2505899999999999</v>
      </c>
      <c r="EM29">
        <v>11.962</v>
      </c>
      <c r="EN29">
        <v>4.9894400000000001</v>
      </c>
      <c r="EO29">
        <v>3.29122</v>
      </c>
      <c r="EP29">
        <v>9999</v>
      </c>
      <c r="EQ29">
        <v>9999</v>
      </c>
      <c r="ER29">
        <v>9999</v>
      </c>
      <c r="ES29">
        <v>999.9</v>
      </c>
      <c r="ET29">
        <v>4.9726900000000001</v>
      </c>
      <c r="EU29">
        <v>1.8719399999999999</v>
      </c>
      <c r="EV29">
        <v>1.87218</v>
      </c>
      <c r="EW29">
        <v>1.87717</v>
      </c>
      <c r="EX29">
        <v>1.87134</v>
      </c>
      <c r="EY29">
        <v>1.8721000000000001</v>
      </c>
      <c r="EZ29">
        <v>1.8717999999999999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1.1839999999999999</v>
      </c>
      <c r="FP29">
        <v>0.1777</v>
      </c>
      <c r="FQ29">
        <v>-2.1949045684245019</v>
      </c>
      <c r="FR29">
        <v>7.6898218637449396E-3</v>
      </c>
      <c r="FS29">
        <v>1.5097418776848419E-6</v>
      </c>
      <c r="FT29">
        <v>-9.8458676114205118E-11</v>
      </c>
      <c r="FU29">
        <v>0.17771499999999921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205.1</v>
      </c>
      <c r="GD29">
        <v>205.1</v>
      </c>
      <c r="GE29">
        <v>1.10107</v>
      </c>
      <c r="GF29">
        <v>2.63306</v>
      </c>
      <c r="GG29">
        <v>1.7981</v>
      </c>
      <c r="GH29">
        <v>2.3779300000000001</v>
      </c>
      <c r="GI29">
        <v>1.5979000000000001</v>
      </c>
      <c r="GJ29">
        <v>2.4365199999999998</v>
      </c>
      <c r="GK29">
        <v>35.267099999999999</v>
      </c>
      <c r="GL29">
        <v>24.157499999999999</v>
      </c>
      <c r="GM29">
        <v>18</v>
      </c>
      <c r="GN29">
        <v>367.29199999999997</v>
      </c>
      <c r="GO29">
        <v>666.78899999999999</v>
      </c>
      <c r="GP29">
        <v>25.829699999999999</v>
      </c>
      <c r="GQ29">
        <v>26.430900000000001</v>
      </c>
      <c r="GR29">
        <v>29.999700000000001</v>
      </c>
      <c r="GS29">
        <v>26.439900000000002</v>
      </c>
      <c r="GT29">
        <v>26.465399999999999</v>
      </c>
      <c r="GU29">
        <v>22.0153</v>
      </c>
      <c r="GV29">
        <v>38.749699999999997</v>
      </c>
      <c r="GW29">
        <v>0</v>
      </c>
      <c r="GX29">
        <v>25.83</v>
      </c>
      <c r="GY29">
        <v>450</v>
      </c>
      <c r="GZ29">
        <v>19.5</v>
      </c>
      <c r="HA29">
        <v>100.655</v>
      </c>
      <c r="HB29">
        <v>70.462699999999998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2025-06-23T14:55:37Z</dcterms:created>
  <dcterms:modified xsi:type="dcterms:W3CDTF">2025-12-01T11:37:09Z</dcterms:modified>
</cp:coreProperties>
</file>