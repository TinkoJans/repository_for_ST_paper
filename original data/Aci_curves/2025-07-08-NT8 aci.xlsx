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ED0310FDFFFF70DD050C655126C4FFB4" xr6:coauthVersionLast="47" xr6:coauthVersionMax="47" xr10:uidLastSave="{0675E7EF-6110-432F-82CE-4FA60031B164}"/>
  <bookViews>
    <workbookView xWindow="3312" yWindow="331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W29" i="1" s="1"/>
  <c r="X29" i="1"/>
  <c r="P29" i="1"/>
  <c r="AY28" i="1"/>
  <c r="AX28" i="1"/>
  <c r="AV28" i="1"/>
  <c r="AW28" i="1" s="1"/>
  <c r="AU28" i="1"/>
  <c r="AS28" i="1"/>
  <c r="AF28" i="1" s="1"/>
  <c r="I28" i="1" s="1"/>
  <c r="H28" i="1" s="1"/>
  <c r="AL28" i="1"/>
  <c r="AG28" i="1"/>
  <c r="Y28" i="1"/>
  <c r="X28" i="1"/>
  <c r="W28" i="1" s="1"/>
  <c r="S28" i="1"/>
  <c r="P28" i="1"/>
  <c r="K28" i="1"/>
  <c r="AY27" i="1"/>
  <c r="AX27" i="1"/>
  <c r="AV27" i="1"/>
  <c r="S27" i="1" s="1"/>
  <c r="AU27" i="1"/>
  <c r="AS27" i="1" s="1"/>
  <c r="AL27" i="1"/>
  <c r="AG27" i="1"/>
  <c r="Y27" i="1"/>
  <c r="X27" i="1"/>
  <c r="W27" i="1" s="1"/>
  <c r="P27" i="1"/>
  <c r="AY26" i="1"/>
  <c r="AX26" i="1"/>
  <c r="AV26" i="1"/>
  <c r="AW26" i="1" s="1"/>
  <c r="AU26" i="1"/>
  <c r="AS26" i="1" s="1"/>
  <c r="AL26" i="1"/>
  <c r="AG26" i="1"/>
  <c r="Y26" i="1"/>
  <c r="X26" i="1"/>
  <c r="W26" i="1"/>
  <c r="P26" i="1"/>
  <c r="AY25" i="1"/>
  <c r="AX25" i="1"/>
  <c r="AV25" i="1"/>
  <c r="AW25" i="1" s="1"/>
  <c r="AU25" i="1"/>
  <c r="AS25" i="1" s="1"/>
  <c r="AL25" i="1"/>
  <c r="AG25" i="1"/>
  <c r="Y25" i="1"/>
  <c r="X25" i="1"/>
  <c r="W25" i="1" s="1"/>
  <c r="P25" i="1"/>
  <c r="AY24" i="1"/>
  <c r="AX24" i="1"/>
  <c r="AV24" i="1"/>
  <c r="S24" i="1" s="1"/>
  <c r="AU24" i="1"/>
  <c r="AS24" i="1"/>
  <c r="AF24" i="1" s="1"/>
  <c r="I24" i="1" s="1"/>
  <c r="H24" i="1" s="1"/>
  <c r="AL24" i="1"/>
  <c r="AG24" i="1"/>
  <c r="Y24" i="1"/>
  <c r="X24" i="1"/>
  <c r="W24" i="1" s="1"/>
  <c r="P24" i="1"/>
  <c r="N24" i="1"/>
  <c r="K24" i="1"/>
  <c r="AY23" i="1"/>
  <c r="AX23" i="1"/>
  <c r="AV23" i="1"/>
  <c r="S23" i="1" s="1"/>
  <c r="AU23" i="1"/>
  <c r="AS23" i="1" s="1"/>
  <c r="AL23" i="1"/>
  <c r="AG23" i="1"/>
  <c r="Y23" i="1"/>
  <c r="X23" i="1"/>
  <c r="W23" i="1" s="1"/>
  <c r="P23" i="1"/>
  <c r="AY22" i="1"/>
  <c r="AX22" i="1"/>
  <c r="AV22" i="1"/>
  <c r="AW22" i="1" s="1"/>
  <c r="AU22" i="1"/>
  <c r="AT22" i="1"/>
  <c r="AS22" i="1"/>
  <c r="AF22" i="1" s="1"/>
  <c r="I22" i="1" s="1"/>
  <c r="H22" i="1" s="1"/>
  <c r="AL22" i="1"/>
  <c r="AG22" i="1"/>
  <c r="AE22" i="1"/>
  <c r="Y22" i="1"/>
  <c r="X22" i="1"/>
  <c r="W22" i="1"/>
  <c r="P22" i="1"/>
  <c r="N22" i="1"/>
  <c r="K22" i="1"/>
  <c r="J22" i="1"/>
  <c r="AY21" i="1"/>
  <c r="AX21" i="1"/>
  <c r="AV21" i="1"/>
  <c r="AW21" i="1" s="1"/>
  <c r="AU21" i="1"/>
  <c r="AS21" i="1" s="1"/>
  <c r="AL21" i="1"/>
  <c r="AG21" i="1"/>
  <c r="Y21" i="1"/>
  <c r="X21" i="1"/>
  <c r="W21" i="1" s="1"/>
  <c r="P21" i="1"/>
  <c r="AY20" i="1"/>
  <c r="AX20" i="1"/>
  <c r="AV20" i="1"/>
  <c r="S20" i="1" s="1"/>
  <c r="AU20" i="1"/>
  <c r="AT20" i="1"/>
  <c r="AS20" i="1"/>
  <c r="AE20" i="1" s="1"/>
  <c r="J20" i="1" s="1"/>
  <c r="AL20" i="1"/>
  <c r="AG20" i="1"/>
  <c r="AF20" i="1"/>
  <c r="I20" i="1" s="1"/>
  <c r="H20" i="1" s="1"/>
  <c r="Y20" i="1"/>
  <c r="X20" i="1"/>
  <c r="W20" i="1" s="1"/>
  <c r="P20" i="1"/>
  <c r="N20" i="1"/>
  <c r="K20" i="1"/>
  <c r="AY19" i="1"/>
  <c r="AX19" i="1"/>
  <c r="AV19" i="1"/>
  <c r="S19" i="1" s="1"/>
  <c r="AU19" i="1"/>
  <c r="AS19" i="1" s="1"/>
  <c r="AL19" i="1"/>
  <c r="AG19" i="1"/>
  <c r="Y19" i="1"/>
  <c r="X19" i="1"/>
  <c r="W19" i="1" s="1"/>
  <c r="P19" i="1"/>
  <c r="AY18" i="1"/>
  <c r="AX18" i="1"/>
  <c r="AV18" i="1"/>
  <c r="AW18" i="1" s="1"/>
  <c r="AU18" i="1"/>
  <c r="AT18" i="1"/>
  <c r="AS18" i="1"/>
  <c r="AL18" i="1"/>
  <c r="AG18" i="1"/>
  <c r="AF18" i="1"/>
  <c r="I18" i="1" s="1"/>
  <c r="H18" i="1" s="1"/>
  <c r="AE18" i="1"/>
  <c r="Y18" i="1"/>
  <c r="X18" i="1"/>
  <c r="W18" i="1" s="1"/>
  <c r="P18" i="1"/>
  <c r="N18" i="1"/>
  <c r="K18" i="1"/>
  <c r="J18" i="1"/>
  <c r="AY17" i="1"/>
  <c r="AX17" i="1"/>
  <c r="AV17" i="1"/>
  <c r="AW17" i="1" s="1"/>
  <c r="AU17" i="1"/>
  <c r="AS17" i="1" s="1"/>
  <c r="AL17" i="1"/>
  <c r="AG17" i="1"/>
  <c r="Y17" i="1"/>
  <c r="X17" i="1"/>
  <c r="W17" i="1" s="1"/>
  <c r="P17" i="1"/>
  <c r="AA18" i="1" l="1"/>
  <c r="AA28" i="1"/>
  <c r="AA20" i="1"/>
  <c r="AA22" i="1"/>
  <c r="T24" i="1"/>
  <c r="U24" i="1" s="1"/>
  <c r="AF25" i="1"/>
  <c r="I25" i="1" s="1"/>
  <c r="H25" i="1" s="1"/>
  <c r="AE25" i="1"/>
  <c r="J25" i="1" s="1"/>
  <c r="N25" i="1"/>
  <c r="AT25" i="1"/>
  <c r="K25" i="1"/>
  <c r="AF29" i="1"/>
  <c r="I29" i="1" s="1"/>
  <c r="H29" i="1" s="1"/>
  <c r="AE29" i="1"/>
  <c r="J29" i="1" s="1"/>
  <c r="N29" i="1"/>
  <c r="AT29" i="1"/>
  <c r="K29" i="1"/>
  <c r="AA24" i="1"/>
  <c r="AE17" i="1"/>
  <c r="J17" i="1" s="1"/>
  <c r="AT17" i="1"/>
  <c r="AF17" i="1"/>
  <c r="I17" i="1" s="1"/>
  <c r="H17" i="1" s="1"/>
  <c r="K17" i="1"/>
  <c r="N17" i="1"/>
  <c r="T20" i="1"/>
  <c r="U20" i="1" s="1"/>
  <c r="AF21" i="1"/>
  <c r="I21" i="1" s="1"/>
  <c r="H21" i="1" s="1"/>
  <c r="AE21" i="1"/>
  <c r="J21" i="1" s="1"/>
  <c r="N21" i="1"/>
  <c r="AT21" i="1"/>
  <c r="K21" i="1"/>
  <c r="AE26" i="1"/>
  <c r="J26" i="1" s="1"/>
  <c r="N26" i="1"/>
  <c r="AT26" i="1"/>
  <c r="K26" i="1"/>
  <c r="AF26" i="1"/>
  <c r="I26" i="1" s="1"/>
  <c r="H26" i="1" s="1"/>
  <c r="K19" i="1"/>
  <c r="AF19" i="1"/>
  <c r="I19" i="1" s="1"/>
  <c r="H19" i="1" s="1"/>
  <c r="T19" i="1" s="1"/>
  <c r="U19" i="1" s="1"/>
  <c r="AE19" i="1"/>
  <c r="J19" i="1" s="1"/>
  <c r="N19" i="1"/>
  <c r="AT19" i="1"/>
  <c r="AT23" i="1"/>
  <c r="K23" i="1"/>
  <c r="AF23" i="1"/>
  <c r="I23" i="1" s="1"/>
  <c r="H23" i="1" s="1"/>
  <c r="AE23" i="1"/>
  <c r="J23" i="1" s="1"/>
  <c r="N23" i="1"/>
  <c r="AT27" i="1"/>
  <c r="K27" i="1"/>
  <c r="AF27" i="1"/>
  <c r="I27" i="1" s="1"/>
  <c r="H27" i="1" s="1"/>
  <c r="AE27" i="1"/>
  <c r="J27" i="1" s="1"/>
  <c r="N27" i="1"/>
  <c r="T28" i="1"/>
  <c r="U28" i="1" s="1"/>
  <c r="Q28" i="1" s="1"/>
  <c r="O28" i="1" s="1"/>
  <c r="R28" i="1" s="1"/>
  <c r="L28" i="1" s="1"/>
  <c r="M28" i="1" s="1"/>
  <c r="AT28" i="1"/>
  <c r="AT24" i="1"/>
  <c r="S17" i="1"/>
  <c r="AW19" i="1"/>
  <c r="S21" i="1"/>
  <c r="AW23" i="1"/>
  <c r="S25" i="1"/>
  <c r="AW27" i="1"/>
  <c r="S29" i="1"/>
  <c r="N28" i="1"/>
  <c r="S18" i="1"/>
  <c r="AW20" i="1"/>
  <c r="S22" i="1"/>
  <c r="AE24" i="1"/>
  <c r="J24" i="1" s="1"/>
  <c r="AW24" i="1"/>
  <c r="S26" i="1"/>
  <c r="AE28" i="1"/>
  <c r="J28" i="1" s="1"/>
  <c r="AC19" i="1" l="1"/>
  <c r="AB19" i="1"/>
  <c r="V19" i="1"/>
  <c r="Z19" i="1" s="1"/>
  <c r="AA17" i="1"/>
  <c r="T26" i="1"/>
  <c r="U26" i="1" s="1"/>
  <c r="V28" i="1"/>
  <c r="Z28" i="1" s="1"/>
  <c r="AC28" i="1"/>
  <c r="T21" i="1"/>
  <c r="U21" i="1" s="1"/>
  <c r="AA25" i="1"/>
  <c r="AA23" i="1"/>
  <c r="Q23" i="1"/>
  <c r="O23" i="1" s="1"/>
  <c r="R23" i="1" s="1"/>
  <c r="L23" i="1" s="1"/>
  <c r="M23" i="1" s="1"/>
  <c r="AA27" i="1"/>
  <c r="V24" i="1"/>
  <c r="Z24" i="1" s="1"/>
  <c r="AC24" i="1"/>
  <c r="AD24" i="1" s="1"/>
  <c r="T23" i="1"/>
  <c r="U23" i="1" s="1"/>
  <c r="Q21" i="1"/>
  <c r="O21" i="1" s="1"/>
  <c r="R21" i="1" s="1"/>
  <c r="L21" i="1" s="1"/>
  <c r="M21" i="1" s="1"/>
  <c r="AA21" i="1"/>
  <c r="T17" i="1"/>
  <c r="U17" i="1" s="1"/>
  <c r="Q17" i="1" s="1"/>
  <c r="O17" i="1" s="1"/>
  <c r="R17" i="1" s="1"/>
  <c r="L17" i="1" s="1"/>
  <c r="M17" i="1" s="1"/>
  <c r="AA29" i="1"/>
  <c r="AA19" i="1"/>
  <c r="Q19" i="1"/>
  <c r="O19" i="1" s="1"/>
  <c r="R19" i="1" s="1"/>
  <c r="L19" i="1" s="1"/>
  <c r="M19" i="1" s="1"/>
  <c r="V20" i="1"/>
  <c r="Z20" i="1" s="1"/>
  <c r="AC20" i="1"/>
  <c r="AD20" i="1" s="1"/>
  <c r="T18" i="1"/>
  <c r="U18" i="1" s="1"/>
  <c r="AB20" i="1"/>
  <c r="AB28" i="1"/>
  <c r="T27" i="1"/>
  <c r="U27" i="1" s="1"/>
  <c r="T25" i="1"/>
  <c r="U25" i="1" s="1"/>
  <c r="AA26" i="1"/>
  <c r="Q26" i="1"/>
  <c r="O26" i="1" s="1"/>
  <c r="R26" i="1" s="1"/>
  <c r="L26" i="1" s="1"/>
  <c r="M26" i="1" s="1"/>
  <c r="T22" i="1"/>
  <c r="U22" i="1" s="1"/>
  <c r="AB24" i="1"/>
  <c r="T29" i="1"/>
  <c r="U29" i="1" s="1"/>
  <c r="Q24" i="1"/>
  <c r="O24" i="1" s="1"/>
  <c r="R24" i="1" s="1"/>
  <c r="L24" i="1" s="1"/>
  <c r="M24" i="1" s="1"/>
  <c r="Q20" i="1"/>
  <c r="O20" i="1" s="1"/>
  <c r="R20" i="1" s="1"/>
  <c r="L20" i="1" s="1"/>
  <c r="M20" i="1" s="1"/>
  <c r="AC18" i="1" l="1"/>
  <c r="V18" i="1"/>
  <c r="Z18" i="1" s="1"/>
  <c r="AB18" i="1"/>
  <c r="Q18" i="1"/>
  <c r="O18" i="1" s="1"/>
  <c r="R18" i="1" s="1"/>
  <c r="L18" i="1" s="1"/>
  <c r="M18" i="1" s="1"/>
  <c r="V26" i="1"/>
  <c r="Z26" i="1" s="1"/>
  <c r="AC26" i="1"/>
  <c r="AD26" i="1" s="1"/>
  <c r="AB26" i="1"/>
  <c r="V25" i="1"/>
  <c r="Z25" i="1" s="1"/>
  <c r="AC25" i="1"/>
  <c r="AB25" i="1"/>
  <c r="V29" i="1"/>
  <c r="Z29" i="1" s="1"/>
  <c r="AC29" i="1"/>
  <c r="AB29" i="1"/>
  <c r="AC23" i="1"/>
  <c r="AD23" i="1" s="1"/>
  <c r="AB23" i="1"/>
  <c r="V23" i="1"/>
  <c r="Z23" i="1" s="1"/>
  <c r="Q25" i="1"/>
  <c r="O25" i="1" s="1"/>
  <c r="R25" i="1" s="1"/>
  <c r="L25" i="1" s="1"/>
  <c r="M25" i="1" s="1"/>
  <c r="V21" i="1"/>
  <c r="Z21" i="1" s="1"/>
  <c r="AC21" i="1"/>
  <c r="AB21" i="1"/>
  <c r="V17" i="1"/>
  <c r="Z17" i="1" s="1"/>
  <c r="AC17" i="1"/>
  <c r="AD17" i="1" s="1"/>
  <c r="AB17" i="1"/>
  <c r="AC27" i="1"/>
  <c r="AD27" i="1" s="1"/>
  <c r="V27" i="1"/>
  <c r="Z27" i="1" s="1"/>
  <c r="AB27" i="1"/>
  <c r="V22" i="1"/>
  <c r="Z22" i="1" s="1"/>
  <c r="AC22" i="1"/>
  <c r="Q22" i="1"/>
  <c r="O22" i="1" s="1"/>
  <c r="R22" i="1" s="1"/>
  <c r="L22" i="1" s="1"/>
  <c r="M22" i="1" s="1"/>
  <c r="AB22" i="1"/>
  <c r="Q29" i="1"/>
  <c r="O29" i="1" s="1"/>
  <c r="R29" i="1" s="1"/>
  <c r="L29" i="1" s="1"/>
  <c r="M29" i="1" s="1"/>
  <c r="Q27" i="1"/>
  <c r="O27" i="1" s="1"/>
  <c r="R27" i="1" s="1"/>
  <c r="L27" i="1" s="1"/>
  <c r="M27" i="1" s="1"/>
  <c r="AD28" i="1"/>
  <c r="AD19" i="1"/>
  <c r="AD22" i="1" l="1"/>
  <c r="AD29" i="1"/>
  <c r="AD21" i="1"/>
  <c r="AD25" i="1"/>
  <c r="AD18" i="1"/>
</calcChain>
</file>

<file path=xl/sharedStrings.xml><?xml version="1.0" encoding="utf-8"?>
<sst xmlns="http://schemas.openxmlformats.org/spreadsheetml/2006/main" count="818" uniqueCount="369">
  <si>
    <t>File opened</t>
  </si>
  <si>
    <t>2025-07-08 15:26:02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</si>
  <si>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</si>
  <si>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</si>
  <si>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</si>
  <si>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</si>
  <si>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</si>
  <si>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</si>
  <si>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</si>
  <si>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</si>
  <si>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</si>
  <si>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</si>
  <si>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</si>
  <si>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</si>
  <si>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</si>
  <si>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</si>
  <si>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</si>
  <si>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</si>
  <si>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</si>
  <si>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</si>
  <si>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</si>
  <si>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</si>
  <si>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</si>
  <si>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</si>
  <si>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</si>
  <si>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</si>
  <si>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</si>
  <si>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</si>
  <si>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15:26:02</t>
  </si>
  <si>
    <t>Stability Definition:	F (FlrLS): Per=20	ΔH2O (Meas2): Slp&lt;0.1 Per=20	ΔCO2 (Meas2): Slp&lt;0.5 Per=20</t>
  </si>
  <si>
    <t>15:26:06</t>
  </si>
  <si>
    <t>Config file loaded: 18 topics from file /home/licor/configs/Tinko/configs aci curve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</si>
  <si>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</si>
  <si>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</si>
  <si>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</si>
  <si>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</si>
  <si>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</si>
  <si>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</si>
  <si>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</si>
  <si>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</si>
  <si>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</si>
  <si>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</si>
  <si>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</si>
  <si>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</si>
  <si>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</si>
  <si>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</si>
  <si>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</si>
  <si>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</si>
  <si>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</si>
  <si>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</si>
  <si>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</si>
  <si>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</si>
  <si>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</si>
  <si>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</si>
  <si>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</si>
  <si>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</si>
  <si>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</si>
  <si>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</si>
  <si>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</si>
  <si>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</si>
  <si>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</si>
  <si>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</si>
  <si>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</si>
  <si>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</si>
  <si>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</si>
  <si>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</si>
  <si>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</si>
  <si>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</si>
  <si>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</si>
  <si>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</si>
  <si>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</si>
  <si>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</si>
  <si>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</si>
  <si>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</si>
  <si>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</si>
  <si>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</si>
  <si>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</si>
  <si>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</si>
  <si>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</si>
  <si>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</si>
  <si>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</si>
  <si>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</si>
  <si>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3.6642 164.257 344.983 592.425 856.785 1061.32 1292.48 1500.65</t>
  </si>
  <si>
    <t>Fs_true</t>
  </si>
  <si>
    <t>0.313849 201.117 384.431 595.073 805.758 1001.25 1201.22 1400.68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</si>
  <si>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</si>
  <si>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</si>
  <si>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</si>
  <si>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</si>
  <si>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</si>
  <si>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</si>
  <si>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</si>
  <si>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</si>
  <si>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</si>
  <si>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</si>
  <si>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</si>
  <si>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</si>
  <si>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</si>
  <si>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</si>
  <si>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</si>
  <si>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</si>
  <si>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</si>
  <si>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</si>
  <si>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</si>
  <si>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</si>
  <si>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</si>
  <si>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</si>
  <si>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</si>
  <si>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</si>
  <si>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</si>
  <si>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</si>
  <si>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</si>
  <si>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</si>
  <si>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</si>
  <si>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</si>
  <si>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</si>
  <si>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</si>
  <si>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</si>
  <si>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</si>
  <si>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</si>
  <si>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</si>
  <si>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</si>
  <si>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</si>
  <si>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</si>
  <si>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</si>
  <si>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</si>
  <si>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</si>
  <si>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</si>
  <si>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</si>
  <si>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</si>
  <si>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</si>
  <si>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</si>
  <si>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</si>
  <si>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</si>
  <si>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</si>
  <si>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</si>
  <si>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</si>
  <si>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</si>
  <si>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</si>
  <si>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</si>
  <si>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</si>
  <si>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</si>
  <si>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</si>
  <si>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</si>
  <si>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</si>
  <si>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</si>
  <si>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</si>
  <si>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</si>
  <si>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</si>
  <si>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</si>
  <si>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</si>
  <si>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</si>
  <si>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</si>
  <si>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</si>
  <si>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</si>
  <si>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</si>
  <si>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</si>
  <si>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</si>
  <si>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</si>
  <si>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</si>
  <si>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</si>
  <si>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</si>
  <si>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</si>
  <si>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</si>
  <si>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</si>
  <si>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</si>
  <si>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</si>
  <si>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</si>
  <si>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</si>
  <si>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</si>
  <si>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</si>
  <si>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</si>
  <si>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</si>
  <si>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</si>
  <si>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</si>
  <si>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</si>
  <si>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</si>
  <si>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</si>
  <si>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</si>
  <si>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</si>
  <si>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</si>
  <si>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</si>
  <si>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</si>
  <si>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</si>
  <si>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</si>
  <si>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</si>
  <si>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</si>
  <si>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</si>
  <si>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</si>
  <si>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</si>
  <si>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</si>
  <si>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</si>
  <si>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</si>
  <si>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</si>
  <si>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</si>
  <si>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</si>
  <si>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</si>
  <si>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</si>
  <si>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</si>
  <si>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</si>
  <si>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</si>
  <si>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</si>
  <si>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</si>
  <si>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</si>
  <si>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</si>
  <si>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</si>
  <si>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</si>
  <si>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</si>
  <si>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</si>
  <si>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</si>
  <si>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</si>
  <si>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</si>
  <si>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</si>
  <si>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</si>
  <si>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</si>
  <si>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</si>
  <si>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</si>
  <si>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</si>
  <si>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</si>
  <si>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</si>
  <si>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</si>
  <si>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</si>
  <si>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</si>
  <si>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</si>
  <si>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</si>
  <si>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</si>
  <si>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</si>
  <si>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</si>
  <si>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</si>
  <si>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</si>
  <si>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</si>
  <si>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</si>
  <si>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</si>
  <si>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</si>
  <si>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</si>
  <si>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</si>
  <si>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</si>
  <si>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</si>
  <si>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</si>
  <si>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</si>
  <si>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</si>
  <si>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</si>
  <si>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</si>
  <si>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</si>
  <si>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</si>
  <si>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</si>
  <si>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</si>
  <si>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</si>
  <si>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</si>
  <si>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</si>
  <si>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</si>
  <si>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</si>
  <si>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</si>
  <si>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</si>
  <si>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</si>
  <si>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</si>
  <si>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</si>
  <si>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</si>
  <si>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</si>
  <si>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</si>
  <si>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</si>
  <si>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</si>
  <si>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</si>
  <si>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</si>
  <si>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</si>
  <si>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</si>
  <si>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</si>
  <si>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</si>
  <si>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</si>
  <si>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</si>
  <si>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</si>
  <si>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</si>
  <si>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</si>
  <si>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</si>
  <si>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</si>
  <si>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</si>
  <si>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</si>
  <si>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</si>
  <si>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</si>
  <si>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</si>
  <si>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</si>
  <si>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</si>
  <si>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</si>
  <si>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</si>
  <si>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</si>
  <si>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</si>
  <si>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</si>
  <si>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</si>
  <si>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</si>
  <si>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</si>
  <si>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</si>
  <si>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</si>
  <si>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</si>
  <si>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</si>
  <si>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</si>
  <si>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</si>
  <si>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</si>
  <si>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</si>
  <si>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</si>
  <si>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</si>
  <si>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</si>
  <si>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</si>
  <si>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</si>
  <si>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</si>
  <si>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</si>
  <si>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</si>
  <si>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</si>
  <si>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</si>
  <si>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</si>
  <si>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</si>
  <si>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</si>
  <si>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</si>
  <si>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</si>
  <si>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</si>
  <si>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</si>
  <si>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</si>
  <si>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</si>
  <si>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</si>
  <si>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</si>
  <si>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</si>
  <si>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</si>
  <si>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</si>
  <si>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</si>
  <si>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</si>
  <si>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</si>
  <si>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</si>
  <si>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</si>
  <si>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</si>
  <si>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</si>
  <si>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</si>
  <si>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</si>
  <si>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</si>
  <si>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</si>
  <si>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</si>
  <si>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</si>
  <si>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</si>
  <si>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20250708 16:16:33</t>
  </si>
  <si>
    <t>16:16:33</t>
  </si>
  <si>
    <t>0: Broadleaf</t>
  </si>
  <si>
    <t>16:12:11</t>
  </si>
  <si>
    <t>2/2</t>
  </si>
  <si>
    <t>11111111</t>
  </si>
  <si>
    <t>oooooooo</t>
  </si>
  <si>
    <t>on</t>
  </si>
  <si>
    <t>20250708 16:19:34</t>
  </si>
  <si>
    <t>16:19:34</t>
  </si>
  <si>
    <t>20250708 16:22:34</t>
  </si>
  <si>
    <t>16:22:34</t>
  </si>
  <si>
    <t>20250708 16:25:35</t>
  </si>
  <si>
    <t>16:25:35</t>
  </si>
  <si>
    <t>20250708 16:28:35</t>
  </si>
  <si>
    <t>16:28:35</t>
  </si>
  <si>
    <t>20250708 16:31:36</t>
  </si>
  <si>
    <t>16:31:36</t>
  </si>
  <si>
    <t>20250708 16:34:36</t>
  </si>
  <si>
    <t>16:34:36</t>
  </si>
  <si>
    <t>20250708 16:37:37</t>
  </si>
  <si>
    <t>16:37:37</t>
  </si>
  <si>
    <t>20250708 16:40:37</t>
  </si>
  <si>
    <t>16:40:37</t>
  </si>
  <si>
    <t>20250708 16:43:38</t>
  </si>
  <si>
    <t>16:43:38</t>
  </si>
  <si>
    <t>1/2</t>
  </si>
  <si>
    <t>20250708 16:46:38</t>
  </si>
  <si>
    <t>16:46:38</t>
  </si>
  <si>
    <t>20250708 16:49:39</t>
  </si>
  <si>
    <t>16:49:39</t>
  </si>
  <si>
    <t>20250708 16:52:39</t>
  </si>
  <si>
    <t>16:52:39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</si>
</sst>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N10" workbookViewId="0">
      <selection activeCell="BB18" sqref="BB18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1751984193.5</v>
      </c>
      <c r="C17">
        <v>0</v>
      </c>
      <c r="D17" t="s">
        <v>336</v>
      </c>
      <c r="E17" t="s">
        <v>337</v>
      </c>
      <c r="F17">
        <v>15</v>
      </c>
      <c r="G17">
        <v>1751984185.5</v>
      </c>
      <c r="H17">
        <f t="shared" ref="H17:H29" si="0">(I17)/1000</f>
        <v>2.3307554594884775E-3</v>
      </c>
      <c r="I17">
        <f t="shared" ref="I17:I29" si="1">IF(BD17, AL17, AF17)</f>
        <v>2.3307554594884774</v>
      </c>
      <c r="J17">
        <f t="shared" ref="J17:J29" si="2">IF(BD17, AG17, AE17)</f>
        <v>19.64144659272721</v>
      </c>
      <c r="K17">
        <f t="shared" ref="K17:K29" si="3">BF17 - IF(AS17&gt;1, J17*AZ17*100/(AU17), 0)</f>
        <v>403.68206451612912</v>
      </c>
      <c r="L17">
        <f t="shared" ref="L17:L29" si="4">((R17-H17/2)*K17-J17)/(R17+H17/2)</f>
        <v>268.35613554086962</v>
      </c>
      <c r="M17">
        <f t="shared" ref="M17:M29" si="5">L17*(BM17+BN17)/1000</f>
        <v>27.251544480039708</v>
      </c>
      <c r="N17">
        <f t="shared" ref="N17:N29" si="6">(BF17 - IF(AS17&gt;1, J17*AZ17*100/(AU17), 0))*(BM17+BN17)/1000</f>
        <v>40.99388193522465</v>
      </c>
      <c r="O17">
        <f t="shared" ref="O17:O29" si="7">2/((1/Q17-1/P17)+SIGN(Q17)*SQRT((1/Q17-1/P17)*(1/Q17-1/P17) + 4*BA17/((BA17+1)*(BA17+1))*(2*1/Q17*1/P17-1/P17*1/P17)))</f>
        <v>0.25328120142059135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2.4193461793131368</v>
      </c>
      <c r="Q17">
        <f t="shared" ref="Q17:Q29" si="9">H17*(1000-(1000*0.61365*EXP(17.502*U17/(240.97+U17))/(BM17+BN17)+BH17)/2)/(1000*0.61365*EXP(17.502*U17/(240.97+U17))/(BM17+BN17)-BH17)</f>
        <v>0.23962028369917623</v>
      </c>
      <c r="R17">
        <f t="shared" ref="R17:R29" si="10">1/((BA17+1)/(O17/1.6)+1/(P17/1.37)) + BA17/((BA17+1)/(O17/1.6) + BA17/(P17/1.37))</f>
        <v>0.15092913161043295</v>
      </c>
      <c r="S17">
        <f t="shared" ref="S17:S29" si="11">(AV17*AY17)</f>
        <v>181.7540612903226</v>
      </c>
      <c r="T17">
        <f t="shared" ref="T17:T29" si="12">(BO17+(S17+2*0.95*0.0000000567*(((BO17+$B$7)+273)^4-(BO17+273)^4)-44100*H17)/(1.84*29.3*P17+8*0.95*0.0000000567*(BO17+273)^3))</f>
        <v>27.739337423381787</v>
      </c>
      <c r="U17">
        <f t="shared" ref="U17:U29" si="13">($C$7*BP17+$D$7*BQ17+$E$7*T17)</f>
        <v>26.4225064516129</v>
      </c>
      <c r="V17">
        <f t="shared" ref="V17:V29" si="14">0.61365*EXP(17.502*U17/(240.97+U17))</f>
        <v>3.4595453266781053</v>
      </c>
      <c r="W17">
        <f t="shared" ref="W17:W29" si="15">(X17/Y17*100)</f>
        <v>69.121555249885034</v>
      </c>
      <c r="X17">
        <f t="shared" ref="X17:X29" si="16">BH17*(BM17+BN17)/1000</f>
        <v>2.5007700030927458</v>
      </c>
      <c r="Y17">
        <f t="shared" ref="Y17:Y29" si="17">0.61365*EXP(17.502*BO17/(240.97+BO17))</f>
        <v>3.6179307511992143</v>
      </c>
      <c r="Z17">
        <f t="shared" ref="Z17:Z29" si="18">(V17-BH17*(BM17+BN17)/1000)</f>
        <v>0.95877532358535955</v>
      </c>
      <c r="AA17">
        <f t="shared" ref="AA17:AA29" si="19">(-H17*44100)</f>
        <v>-102.78631576344186</v>
      </c>
      <c r="AB17">
        <f t="shared" ref="AB17:AB29" si="20">2*29.3*P17*0.92*(BO17-U17)</f>
        <v>99.26700807202954</v>
      </c>
      <c r="AC17">
        <f t="shared" ref="AC17:AC29" si="21">2*0.95*0.0000000567*(((BO17+$B$7)+273)^4-(U17+273)^4)</f>
        <v>8.837448906245692</v>
      </c>
      <c r="AD17">
        <f t="shared" ref="AD17:AD29" si="22">S17+AC17+AA17+AB17</f>
        <v>187.07220250515599</v>
      </c>
      <c r="AE17">
        <f t="shared" ref="AE17:AE29" si="23">BL17*AS17*(BG17-BF17*(1000-AS17*BI17)/(1000-AS17*BH17))/(100*AZ17)</f>
        <v>19.64144659272721</v>
      </c>
      <c r="AF17">
        <f t="shared" ref="AF17:AF29" si="24">1000*BL17*AS17*(BH17-BI17)/(100*AZ17*(1000-AS17*BH17))</f>
        <v>2.3307554594884774</v>
      </c>
      <c r="AG17">
        <f t="shared" ref="AG17:AG29" si="25">(AH17 - AI17 - BM17*1000/(8.314*(BO17+273.15)) * AK17/BL17 * AJ17) * BL17/(100*AZ17) * (1000 - BI17)/1000</f>
        <v>19.652848857837508</v>
      </c>
      <c r="AH17">
        <v>458.98778212028537</v>
      </c>
      <c r="AI17">
        <v>413.88401818181791</v>
      </c>
      <c r="AJ17">
        <v>4.5402591038709623E-5</v>
      </c>
      <c r="AK17">
        <v>84.08367483205916</v>
      </c>
      <c r="AL17">
        <f t="shared" ref="AL17:AL29" si="26">(AN17 - AM17 + BM17*1000/(8.314*(BO17+273.15)) * AP17/BL17 * AO17) * BL17/(100*AZ17) * 1000/(1000 - AN17)</f>
        <v>2.3296911916502632</v>
      </c>
      <c r="AM17">
        <v>19.510463749833679</v>
      </c>
      <c r="AN17">
        <v>24.62374300751879</v>
      </c>
      <c r="AO17">
        <v>-3.155752621212742E-6</v>
      </c>
      <c r="AP17">
        <v>90.517652559269479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53644.405353963535</v>
      </c>
      <c r="AV17">
        <f t="shared" ref="AV17:AV29" si="30">$B$11*BU17+$C$11*BV17</f>
        <v>956.60032258064518</v>
      </c>
      <c r="AW17">
        <f t="shared" ref="AW17:AW29" si="31">AV17*AX17</f>
        <v>765.28025806451615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1.88</v>
      </c>
      <c r="BB17" t="s">
        <v>338</v>
      </c>
      <c r="BC17">
        <v>2</v>
      </c>
      <c r="BD17" t="b">
        <v>0</v>
      </c>
      <c r="BE17">
        <v>1751984185.5</v>
      </c>
      <c r="BF17">
        <v>403.68206451612912</v>
      </c>
      <c r="BG17">
        <v>449.99700000000001</v>
      </c>
      <c r="BH17">
        <v>24.626016129032259</v>
      </c>
      <c r="BI17">
        <v>19.510441935483868</v>
      </c>
      <c r="BJ17">
        <v>402.0737096774194</v>
      </c>
      <c r="BK17">
        <v>24.365696774193552</v>
      </c>
      <c r="BL17">
        <v>399.95948387096769</v>
      </c>
      <c r="BM17">
        <v>101.4499677419355</v>
      </c>
      <c r="BN17">
        <v>9.9953690322580627E-2</v>
      </c>
      <c r="BO17">
        <v>27.183570967741929</v>
      </c>
      <c r="BP17">
        <v>26.4225064516129</v>
      </c>
      <c r="BQ17">
        <v>999.90000000000032</v>
      </c>
      <c r="BR17">
        <v>0</v>
      </c>
      <c r="BS17">
        <v>0</v>
      </c>
      <c r="BT17">
        <v>10006.483870967741</v>
      </c>
      <c r="BU17">
        <v>956.60032258064518</v>
      </c>
      <c r="BV17">
        <v>17.089241935483869</v>
      </c>
      <c r="BW17">
        <v>-46.31491290322581</v>
      </c>
      <c r="BX17">
        <v>413.87403225806452</v>
      </c>
      <c r="BY17">
        <v>458.95129032258058</v>
      </c>
      <c r="BZ17">
        <v>5.1155799999999996</v>
      </c>
      <c r="CA17">
        <v>449.99700000000001</v>
      </c>
      <c r="CB17">
        <v>19.510441935483868</v>
      </c>
      <c r="CC17">
        <v>2.4983080645161291</v>
      </c>
      <c r="CD17">
        <v>1.9793325806451609</v>
      </c>
      <c r="CE17">
        <v>21.015493548387099</v>
      </c>
      <c r="CF17">
        <v>17.279977419354839</v>
      </c>
      <c r="CG17">
        <v>1751983931</v>
      </c>
      <c r="CH17" t="s">
        <v>339</v>
      </c>
      <c r="CI17">
        <v>1751983930</v>
      </c>
      <c r="CJ17">
        <v>1751983931</v>
      </c>
      <c r="CK17">
        <v>5</v>
      </c>
      <c r="CL17">
        <v>-0.123</v>
      </c>
      <c r="CM17">
        <v>4.2000000000000003E-2</v>
      </c>
      <c r="CN17">
        <v>2.0179999999999998</v>
      </c>
      <c r="CO17">
        <v>0.26</v>
      </c>
      <c r="CP17">
        <v>450</v>
      </c>
      <c r="CQ17">
        <v>20</v>
      </c>
      <c r="CR17">
        <v>0.05</v>
      </c>
      <c r="CS17">
        <v>0.01</v>
      </c>
      <c r="CT17">
        <v>-46.303297499999999</v>
      </c>
      <c r="CU17">
        <v>-0.31431332082546731</v>
      </c>
      <c r="CV17">
        <v>4.1728128927020047E-2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5.1145307500000001</v>
      </c>
      <c r="DC17">
        <v>1.7991782363973838E-2</v>
      </c>
      <c r="DD17">
        <v>2.0793982152295522E-3</v>
      </c>
      <c r="DE17">
        <v>1</v>
      </c>
      <c r="DF17">
        <v>2</v>
      </c>
      <c r="DG17">
        <v>2</v>
      </c>
      <c r="DH17" t="s">
        <v>340</v>
      </c>
      <c r="DI17">
        <v>3.0246400000000002</v>
      </c>
      <c r="DJ17">
        <v>2.6914600000000002</v>
      </c>
      <c r="DK17">
        <v>9.3619400000000005E-2</v>
      </c>
      <c r="DL17">
        <v>0.10241599999999999</v>
      </c>
      <c r="DM17">
        <v>0.121604</v>
      </c>
      <c r="DN17">
        <v>0.104395</v>
      </c>
      <c r="DO17">
        <v>25210.9</v>
      </c>
      <c r="DP17">
        <v>16541.599999999999</v>
      </c>
      <c r="DQ17">
        <v>26395.8</v>
      </c>
      <c r="DR17">
        <v>16751.5</v>
      </c>
      <c r="DS17">
        <v>32986.1</v>
      </c>
      <c r="DT17">
        <v>19608.7</v>
      </c>
      <c r="DU17">
        <v>38458</v>
      </c>
      <c r="DV17">
        <v>22210.7</v>
      </c>
      <c r="DW17">
        <v>1.79782</v>
      </c>
      <c r="DX17">
        <v>2.1648399999999999</v>
      </c>
      <c r="DY17">
        <v>4.7165199999999997E-2</v>
      </c>
      <c r="DZ17">
        <v>0</v>
      </c>
      <c r="EA17">
        <v>25.657699999999998</v>
      </c>
      <c r="EB17">
        <v>999.9</v>
      </c>
      <c r="EC17">
        <v>56</v>
      </c>
      <c r="ED17">
        <v>33.9</v>
      </c>
      <c r="EE17">
        <v>29.328700000000001</v>
      </c>
      <c r="EF17">
        <v>62.593699999999998</v>
      </c>
      <c r="EG17">
        <v>35.108199999999997</v>
      </c>
      <c r="EH17">
        <v>1</v>
      </c>
      <c r="EI17">
        <v>0.107862</v>
      </c>
      <c r="EJ17">
        <v>0.29741600000000001</v>
      </c>
      <c r="EK17">
        <v>20.3263</v>
      </c>
      <c r="EL17">
        <v>5.2515499999999999</v>
      </c>
      <c r="EM17">
        <v>11.962</v>
      </c>
      <c r="EN17">
        <v>4.9897200000000002</v>
      </c>
      <c r="EO17">
        <v>3.29148</v>
      </c>
      <c r="EP17">
        <v>9999</v>
      </c>
      <c r="EQ17">
        <v>9999</v>
      </c>
      <c r="ER17">
        <v>9999</v>
      </c>
      <c r="ES17">
        <v>999.9</v>
      </c>
      <c r="ET17">
        <v>4.9727300000000003</v>
      </c>
      <c r="EU17">
        <v>1.8719399999999999</v>
      </c>
      <c r="EV17">
        <v>1.8722300000000001</v>
      </c>
      <c r="EW17">
        <v>1.87721</v>
      </c>
      <c r="EX17">
        <v>1.8713599999999999</v>
      </c>
      <c r="EY17">
        <v>1.8721000000000001</v>
      </c>
      <c r="EZ17">
        <v>1.8717999999999999</v>
      </c>
      <c r="FA17">
        <v>1.86879</v>
      </c>
      <c r="FB17">
        <v>0</v>
      </c>
      <c r="FC17">
        <v>0</v>
      </c>
      <c r="FD17">
        <v>0</v>
      </c>
      <c r="FE17">
        <v>0</v>
      </c>
      <c r="FF17" t="s">
        <v>341</v>
      </c>
      <c r="FG17" t="s">
        <v>342</v>
      </c>
      <c r="FH17" t="s">
        <v>343</v>
      </c>
      <c r="FI17" t="s">
        <v>343</v>
      </c>
      <c r="FJ17" t="s">
        <v>343</v>
      </c>
      <c r="FK17" t="s">
        <v>343</v>
      </c>
      <c r="FL17">
        <v>0</v>
      </c>
      <c r="FM17">
        <v>100</v>
      </c>
      <c r="FN17">
        <v>100</v>
      </c>
      <c r="FO17">
        <v>1.6080000000000001</v>
      </c>
      <c r="FP17">
        <v>0.26029999999999998</v>
      </c>
      <c r="FQ17">
        <v>-1.7211922109494671</v>
      </c>
      <c r="FR17">
        <v>7.6898218637449396E-3</v>
      </c>
      <c r="FS17">
        <v>1.5097418776848419E-6</v>
      </c>
      <c r="FT17">
        <v>-9.8458676114205118E-11</v>
      </c>
      <c r="FU17">
        <v>0.26031499999999502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4.4000000000000004</v>
      </c>
      <c r="GD17">
        <v>4.4000000000000004</v>
      </c>
      <c r="GE17">
        <v>1.1059600000000001</v>
      </c>
      <c r="GF17">
        <v>2.63428</v>
      </c>
      <c r="GG17">
        <v>1.7981</v>
      </c>
      <c r="GH17">
        <v>2.3791500000000001</v>
      </c>
      <c r="GI17">
        <v>1.5979000000000001</v>
      </c>
      <c r="GJ17">
        <v>2.5854499999999998</v>
      </c>
      <c r="GK17">
        <v>37.2181</v>
      </c>
      <c r="GL17">
        <v>24.157499999999999</v>
      </c>
      <c r="GM17">
        <v>18</v>
      </c>
      <c r="GN17">
        <v>370.32</v>
      </c>
      <c r="GO17">
        <v>661.00599999999997</v>
      </c>
      <c r="GP17">
        <v>25.83</v>
      </c>
      <c r="GQ17">
        <v>28.494800000000001</v>
      </c>
      <c r="GR17">
        <v>30.0001</v>
      </c>
      <c r="GS17">
        <v>28.430099999999999</v>
      </c>
      <c r="GT17">
        <v>28.461200000000002</v>
      </c>
      <c r="GU17">
        <v>22.099499999999999</v>
      </c>
      <c r="GV17">
        <v>40.295499999999997</v>
      </c>
      <c r="GW17">
        <v>0</v>
      </c>
      <c r="GX17">
        <v>25.83</v>
      </c>
      <c r="GY17">
        <v>450</v>
      </c>
      <c r="GZ17">
        <v>19.5</v>
      </c>
      <c r="HA17">
        <v>100.31</v>
      </c>
      <c r="HB17">
        <v>69.311599999999999</v>
      </c>
    </row>
    <row r="18" spans="1:210" x14ac:dyDescent="0.3">
      <c r="A18">
        <v>2</v>
      </c>
      <c r="B18">
        <v>1751984374</v>
      </c>
      <c r="C18">
        <v>180.5</v>
      </c>
      <c r="D18" t="s">
        <v>344</v>
      </c>
      <c r="E18" t="s">
        <v>345</v>
      </c>
      <c r="F18">
        <v>15</v>
      </c>
      <c r="G18">
        <v>1751984366.25</v>
      </c>
      <c r="H18">
        <f t="shared" si="0"/>
        <v>2.3394457718754215E-3</v>
      </c>
      <c r="I18">
        <f t="shared" si="1"/>
        <v>2.3394457718754214</v>
      </c>
      <c r="J18">
        <f t="shared" si="2"/>
        <v>12.429307840006132</v>
      </c>
      <c r="K18">
        <f t="shared" si="3"/>
        <v>270.59136666666672</v>
      </c>
      <c r="L18">
        <f t="shared" si="4"/>
        <v>184.84665474679781</v>
      </c>
      <c r="M18">
        <f t="shared" si="5"/>
        <v>18.771170383348021</v>
      </c>
      <c r="N18">
        <f t="shared" si="6"/>
        <v>27.478542443305916</v>
      </c>
      <c r="O18">
        <f t="shared" si="7"/>
        <v>0.25370729689226568</v>
      </c>
      <c r="P18">
        <f t="shared" si="8"/>
        <v>2.4189852727014465</v>
      </c>
      <c r="Q18">
        <f t="shared" si="9"/>
        <v>0.23999977422589755</v>
      </c>
      <c r="R18">
        <f t="shared" si="10"/>
        <v>0.15117018678531557</v>
      </c>
      <c r="S18">
        <f t="shared" si="11"/>
        <v>181.72446133333332</v>
      </c>
      <c r="T18">
        <f t="shared" si="12"/>
        <v>27.738005951315301</v>
      </c>
      <c r="U18">
        <f t="shared" si="13"/>
        <v>26.428503333333332</v>
      </c>
      <c r="V18">
        <f t="shared" si="14"/>
        <v>3.460769276952635</v>
      </c>
      <c r="W18">
        <f t="shared" si="15"/>
        <v>69.09260410359812</v>
      </c>
      <c r="X18">
        <f t="shared" si="16"/>
        <v>2.4999423581445432</v>
      </c>
      <c r="Y18">
        <f t="shared" si="17"/>
        <v>3.6182488568474067</v>
      </c>
      <c r="Z18">
        <f t="shared" si="18"/>
        <v>0.96082691880809179</v>
      </c>
      <c r="AA18">
        <f t="shared" si="19"/>
        <v>-103.16955853970609</v>
      </c>
      <c r="AB18">
        <f t="shared" si="20"/>
        <v>98.665624843152742</v>
      </c>
      <c r="AC18">
        <f t="shared" si="21"/>
        <v>8.7855493884661957</v>
      </c>
      <c r="AD18">
        <f t="shared" si="22"/>
        <v>186.00607702524616</v>
      </c>
      <c r="AE18">
        <f t="shared" si="23"/>
        <v>12.429307840006132</v>
      </c>
      <c r="AF18">
        <f t="shared" si="24"/>
        <v>2.3394457718754214</v>
      </c>
      <c r="AG18">
        <f t="shared" si="25"/>
        <v>12.4334106242154</v>
      </c>
      <c r="AH18">
        <v>305.94633872293241</v>
      </c>
      <c r="AI18">
        <v>277.41699999999997</v>
      </c>
      <c r="AJ18">
        <v>-9.5784163693512765E-6</v>
      </c>
      <c r="AK18">
        <v>84.08367483205916</v>
      </c>
      <c r="AL18">
        <f t="shared" si="26"/>
        <v>2.3400799991830055</v>
      </c>
      <c r="AM18">
        <v>19.48471481709182</v>
      </c>
      <c r="AN18">
        <v>24.619951428571412</v>
      </c>
      <c r="AO18">
        <v>1.9028589604372321E-6</v>
      </c>
      <c r="AP18">
        <v>90.517652559269479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53632.070030188668</v>
      </c>
      <c r="AV18">
        <f t="shared" si="30"/>
        <v>956.4445333333332</v>
      </c>
      <c r="AW18">
        <f t="shared" si="31"/>
        <v>765.15562666666665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338</v>
      </c>
      <c r="BC18">
        <v>2</v>
      </c>
      <c r="BD18" t="b">
        <v>0</v>
      </c>
      <c r="BE18">
        <v>1751984366.25</v>
      </c>
      <c r="BF18">
        <v>270.59136666666672</v>
      </c>
      <c r="BG18">
        <v>299.97993333333329</v>
      </c>
      <c r="BH18">
        <v>24.617856666666668</v>
      </c>
      <c r="BI18">
        <v>19.483983333333331</v>
      </c>
      <c r="BJ18">
        <v>270.12726666666669</v>
      </c>
      <c r="BK18">
        <v>24.357543333333339</v>
      </c>
      <c r="BL18">
        <v>400.02316666666673</v>
      </c>
      <c r="BM18">
        <v>101.45</v>
      </c>
      <c r="BN18">
        <v>9.9959933333333348E-2</v>
      </c>
      <c r="BO18">
        <v>27.185069999999989</v>
      </c>
      <c r="BP18">
        <v>26.428503333333332</v>
      </c>
      <c r="BQ18">
        <v>999.9000000000002</v>
      </c>
      <c r="BR18">
        <v>0</v>
      </c>
      <c r="BS18">
        <v>0</v>
      </c>
      <c r="BT18">
        <v>10004.13333333333</v>
      </c>
      <c r="BU18">
        <v>956.4445333333332</v>
      </c>
      <c r="BV18">
        <v>17.071603333333329</v>
      </c>
      <c r="BW18">
        <v>-29.388493333333329</v>
      </c>
      <c r="BX18">
        <v>277.42099999999999</v>
      </c>
      <c r="BY18">
        <v>305.94086666666658</v>
      </c>
      <c r="BZ18">
        <v>5.1338586666666668</v>
      </c>
      <c r="CA18">
        <v>299.97993333333329</v>
      </c>
      <c r="CB18">
        <v>19.483983333333331</v>
      </c>
      <c r="CC18">
        <v>2.4974813333333339</v>
      </c>
      <c r="CD18">
        <v>1.9766520000000001</v>
      </c>
      <c r="CE18">
        <v>21.010096666666669</v>
      </c>
      <c r="CF18">
        <v>17.25853</v>
      </c>
      <c r="CG18">
        <v>1751983931</v>
      </c>
      <c r="CH18" t="s">
        <v>339</v>
      </c>
      <c r="CI18">
        <v>1751983930</v>
      </c>
      <c r="CJ18">
        <v>1751983931</v>
      </c>
      <c r="CK18">
        <v>5</v>
      </c>
      <c r="CL18">
        <v>-0.123</v>
      </c>
      <c r="CM18">
        <v>4.2000000000000003E-2</v>
      </c>
      <c r="CN18">
        <v>2.0179999999999998</v>
      </c>
      <c r="CO18">
        <v>0.26</v>
      </c>
      <c r="CP18">
        <v>450</v>
      </c>
      <c r="CQ18">
        <v>20</v>
      </c>
      <c r="CR18">
        <v>0.05</v>
      </c>
      <c r="CS18">
        <v>0.01</v>
      </c>
      <c r="CT18">
        <v>-29.393965000000001</v>
      </c>
      <c r="CU18">
        <v>9.2899812382720159E-2</v>
      </c>
      <c r="CV18">
        <v>1.722931440887859E-2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5.1331950000000006</v>
      </c>
      <c r="DC18">
        <v>9.8744465290764652E-3</v>
      </c>
      <c r="DD18">
        <v>1.2798398337292151E-3</v>
      </c>
      <c r="DE18">
        <v>1</v>
      </c>
      <c r="DF18">
        <v>2</v>
      </c>
      <c r="DG18">
        <v>2</v>
      </c>
      <c r="DH18" t="s">
        <v>340</v>
      </c>
      <c r="DI18">
        <v>3.0246200000000001</v>
      </c>
      <c r="DJ18">
        <v>2.6912099999999999</v>
      </c>
      <c r="DK18">
        <v>6.8179900000000002E-2</v>
      </c>
      <c r="DL18">
        <v>7.4692999999999996E-2</v>
      </c>
      <c r="DM18">
        <v>0.121588</v>
      </c>
      <c r="DN18">
        <v>0.10430399999999999</v>
      </c>
      <c r="DO18">
        <v>25918.799999999999</v>
      </c>
      <c r="DP18">
        <v>17052.7</v>
      </c>
      <c r="DQ18">
        <v>26396.2</v>
      </c>
      <c r="DR18">
        <v>16751.7</v>
      </c>
      <c r="DS18">
        <v>32986.300000000003</v>
      </c>
      <c r="DT18">
        <v>19610.599999999999</v>
      </c>
      <c r="DU18">
        <v>38458.199999999997</v>
      </c>
      <c r="DV18">
        <v>22211</v>
      </c>
      <c r="DW18">
        <v>1.7977399999999999</v>
      </c>
      <c r="DX18">
        <v>2.16418</v>
      </c>
      <c r="DY18">
        <v>4.74662E-2</v>
      </c>
      <c r="DZ18">
        <v>0</v>
      </c>
      <c r="EA18">
        <v>25.649100000000001</v>
      </c>
      <c r="EB18">
        <v>999.9</v>
      </c>
      <c r="EC18">
        <v>55.9</v>
      </c>
      <c r="ED18">
        <v>33.9</v>
      </c>
      <c r="EE18">
        <v>29.275500000000001</v>
      </c>
      <c r="EF18">
        <v>62.403700000000001</v>
      </c>
      <c r="EG18">
        <v>35.108199999999997</v>
      </c>
      <c r="EH18">
        <v>1</v>
      </c>
      <c r="EI18">
        <v>0.10818899999999999</v>
      </c>
      <c r="EJ18">
        <v>0.29642000000000002</v>
      </c>
      <c r="EK18">
        <v>20.3263</v>
      </c>
      <c r="EL18">
        <v>5.2519099999999996</v>
      </c>
      <c r="EM18">
        <v>11.962</v>
      </c>
      <c r="EN18">
        <v>4.9897600000000004</v>
      </c>
      <c r="EO18">
        <v>3.2916799999999999</v>
      </c>
      <c r="EP18">
        <v>9999</v>
      </c>
      <c r="EQ18">
        <v>9999</v>
      </c>
      <c r="ER18">
        <v>9999</v>
      </c>
      <c r="ES18">
        <v>999.9</v>
      </c>
      <c r="ET18">
        <v>4.9727399999999999</v>
      </c>
      <c r="EU18">
        <v>1.8719399999999999</v>
      </c>
      <c r="EV18">
        <v>1.8722000000000001</v>
      </c>
      <c r="EW18">
        <v>1.8772</v>
      </c>
      <c r="EX18">
        <v>1.8713500000000001</v>
      </c>
      <c r="EY18">
        <v>1.8721000000000001</v>
      </c>
      <c r="EZ18">
        <v>1.8717999999999999</v>
      </c>
      <c r="FA18">
        <v>1.86877</v>
      </c>
      <c r="FB18">
        <v>0</v>
      </c>
      <c r="FC18">
        <v>0</v>
      </c>
      <c r="FD18">
        <v>0</v>
      </c>
      <c r="FE18">
        <v>0</v>
      </c>
      <c r="FF18" t="s">
        <v>341</v>
      </c>
      <c r="FG18" t="s">
        <v>342</v>
      </c>
      <c r="FH18" t="s">
        <v>343</v>
      </c>
      <c r="FI18" t="s">
        <v>343</v>
      </c>
      <c r="FJ18" t="s">
        <v>343</v>
      </c>
      <c r="FK18" t="s">
        <v>343</v>
      </c>
      <c r="FL18">
        <v>0</v>
      </c>
      <c r="FM18">
        <v>100</v>
      </c>
      <c r="FN18">
        <v>100</v>
      </c>
      <c r="FO18">
        <v>0.46400000000000002</v>
      </c>
      <c r="FP18">
        <v>0.26029999999999998</v>
      </c>
      <c r="FQ18">
        <v>-1.7211922109494671</v>
      </c>
      <c r="FR18">
        <v>7.6898218637449396E-3</v>
      </c>
      <c r="FS18">
        <v>1.5097418776848419E-6</v>
      </c>
      <c r="FT18">
        <v>-9.8458676114205118E-11</v>
      </c>
      <c r="FU18">
        <v>0.26031499999999502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7.4</v>
      </c>
      <c r="GD18">
        <v>7.4</v>
      </c>
      <c r="GE18">
        <v>0.80322300000000002</v>
      </c>
      <c r="GF18">
        <v>2.6355</v>
      </c>
      <c r="GG18">
        <v>1.7981</v>
      </c>
      <c r="GH18">
        <v>2.3791500000000001</v>
      </c>
      <c r="GI18">
        <v>1.5979000000000001</v>
      </c>
      <c r="GJ18">
        <v>2.5866699999999998</v>
      </c>
      <c r="GK18">
        <v>37.2181</v>
      </c>
      <c r="GL18">
        <v>24.157499999999999</v>
      </c>
      <c r="GM18">
        <v>18</v>
      </c>
      <c r="GN18">
        <v>370.34199999999998</v>
      </c>
      <c r="GO18">
        <v>660.54200000000003</v>
      </c>
      <c r="GP18">
        <v>25.83</v>
      </c>
      <c r="GQ18">
        <v>28.502099999999999</v>
      </c>
      <c r="GR18">
        <v>30.0001</v>
      </c>
      <c r="GS18">
        <v>28.439599999999999</v>
      </c>
      <c r="GT18">
        <v>28.469799999999999</v>
      </c>
      <c r="GU18">
        <v>16.027899999999999</v>
      </c>
      <c r="GV18">
        <v>40.295499999999997</v>
      </c>
      <c r="GW18">
        <v>0</v>
      </c>
      <c r="GX18">
        <v>25.83</v>
      </c>
      <c r="GY18">
        <v>300</v>
      </c>
      <c r="GZ18">
        <v>19.5</v>
      </c>
      <c r="HA18">
        <v>100.31100000000001</v>
      </c>
      <c r="HB18">
        <v>69.312399999999997</v>
      </c>
    </row>
    <row r="19" spans="1:210" x14ac:dyDescent="0.3">
      <c r="A19">
        <v>3</v>
      </c>
      <c r="B19">
        <v>1751984554.5</v>
      </c>
      <c r="C19">
        <v>361</v>
      </c>
      <c r="D19" t="s">
        <v>346</v>
      </c>
      <c r="E19" t="s">
        <v>347</v>
      </c>
      <c r="F19">
        <v>15</v>
      </c>
      <c r="G19">
        <v>1751984546.75</v>
      </c>
      <c r="H19">
        <f t="shared" si="0"/>
        <v>2.3766072443900678E-3</v>
      </c>
      <c r="I19">
        <f t="shared" si="1"/>
        <v>2.3766072443900677</v>
      </c>
      <c r="J19">
        <f t="shared" si="2"/>
        <v>7.4969619485595329</v>
      </c>
      <c r="K19">
        <f t="shared" si="3"/>
        <v>182.15459999999999</v>
      </c>
      <c r="L19">
        <f t="shared" si="4"/>
        <v>131.27289293120498</v>
      </c>
      <c r="M19">
        <f t="shared" si="5"/>
        <v>13.331153028870309</v>
      </c>
      <c r="N19">
        <f t="shared" si="6"/>
        <v>18.498341838061364</v>
      </c>
      <c r="O19">
        <f t="shared" si="7"/>
        <v>0.25985706927849256</v>
      </c>
      <c r="P19">
        <f t="shared" si="8"/>
        <v>2.4192070748901471</v>
      </c>
      <c r="Q19">
        <f t="shared" si="9"/>
        <v>0.24549822932150353</v>
      </c>
      <c r="R19">
        <f t="shared" si="10"/>
        <v>0.15466086786485567</v>
      </c>
      <c r="S19">
        <f t="shared" si="11"/>
        <v>181.71377066666665</v>
      </c>
      <c r="T19">
        <f t="shared" si="12"/>
        <v>27.721125385140791</v>
      </c>
      <c r="U19">
        <f t="shared" si="13"/>
        <v>26.41803333333333</v>
      </c>
      <c r="V19">
        <f t="shared" si="14"/>
        <v>3.458632619280809</v>
      </c>
      <c r="W19">
        <f t="shared" si="15"/>
        <v>69.236659535758889</v>
      </c>
      <c r="X19">
        <f t="shared" si="16"/>
        <v>2.5043867860094076</v>
      </c>
      <c r="Y19">
        <f t="shared" si="17"/>
        <v>3.6171398256381195</v>
      </c>
      <c r="Z19">
        <f t="shared" si="18"/>
        <v>0.95424583327140144</v>
      </c>
      <c r="AA19">
        <f t="shared" si="19"/>
        <v>-104.80837947760199</v>
      </c>
      <c r="AB19">
        <f t="shared" si="20"/>
        <v>99.358529752519942</v>
      </c>
      <c r="AC19">
        <f t="shared" si="21"/>
        <v>8.8457425047344422</v>
      </c>
      <c r="AD19">
        <f t="shared" si="22"/>
        <v>185.10966344631902</v>
      </c>
      <c r="AE19">
        <f t="shared" si="23"/>
        <v>7.4969619485595329</v>
      </c>
      <c r="AF19">
        <f t="shared" si="24"/>
        <v>2.3766072443900677</v>
      </c>
      <c r="AG19">
        <f t="shared" si="25"/>
        <v>7.5104423444566377</v>
      </c>
      <c r="AH19">
        <v>203.99974080331799</v>
      </c>
      <c r="AI19">
        <v>186.7667818181817</v>
      </c>
      <c r="AJ19">
        <v>-5.6107668317211261E-5</v>
      </c>
      <c r="AK19">
        <v>84.08367483205916</v>
      </c>
      <c r="AL19">
        <f t="shared" si="26"/>
        <v>2.3784558482361886</v>
      </c>
      <c r="AM19">
        <v>19.445400364053281</v>
      </c>
      <c r="AN19">
        <v>24.664858345864641</v>
      </c>
      <c r="AO19">
        <v>2.2687226402535698E-6</v>
      </c>
      <c r="AP19">
        <v>90.517652559269479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53640.484948258156</v>
      </c>
      <c r="AV19">
        <f t="shared" si="30"/>
        <v>956.3882666666666</v>
      </c>
      <c r="AW19">
        <f t="shared" si="31"/>
        <v>765.11061333333328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338</v>
      </c>
      <c r="BC19">
        <v>2</v>
      </c>
      <c r="BD19" t="b">
        <v>0</v>
      </c>
      <c r="BE19">
        <v>1751984546.75</v>
      </c>
      <c r="BF19">
        <v>182.15459999999999</v>
      </c>
      <c r="BG19">
        <v>199.99663333333331</v>
      </c>
      <c r="BH19">
        <v>24.660889999999998</v>
      </c>
      <c r="BI19">
        <v>19.445446666666669</v>
      </c>
      <c r="BJ19">
        <v>182.42330000000001</v>
      </c>
      <c r="BK19">
        <v>24.400576666666669</v>
      </c>
      <c r="BL19">
        <v>400.00400000000002</v>
      </c>
      <c r="BM19">
        <v>101.4529666666667</v>
      </c>
      <c r="BN19">
        <v>0.10000997</v>
      </c>
      <c r="BO19">
        <v>27.179843333333331</v>
      </c>
      <c r="BP19">
        <v>26.41803333333333</v>
      </c>
      <c r="BQ19">
        <v>999.9000000000002</v>
      </c>
      <c r="BR19">
        <v>0</v>
      </c>
      <c r="BS19">
        <v>0</v>
      </c>
      <c r="BT19">
        <v>10005.283333333329</v>
      </c>
      <c r="BU19">
        <v>956.3882666666666</v>
      </c>
      <c r="BV19">
        <v>17.059623333333331</v>
      </c>
      <c r="BW19">
        <v>-17.842073333333339</v>
      </c>
      <c r="BX19">
        <v>186.7602333333333</v>
      </c>
      <c r="BY19">
        <v>203.96289999999999</v>
      </c>
      <c r="BZ19">
        <v>5.2154470000000002</v>
      </c>
      <c r="CA19">
        <v>199.99663333333331</v>
      </c>
      <c r="CB19">
        <v>19.445446666666669</v>
      </c>
      <c r="CC19">
        <v>2.5019209999999998</v>
      </c>
      <c r="CD19">
        <v>1.9727963333333329</v>
      </c>
      <c r="CE19">
        <v>21.03898666666667</v>
      </c>
      <c r="CF19">
        <v>17.227683333333339</v>
      </c>
      <c r="CG19">
        <v>1751983931</v>
      </c>
      <c r="CH19" t="s">
        <v>339</v>
      </c>
      <c r="CI19">
        <v>1751983930</v>
      </c>
      <c r="CJ19">
        <v>1751983931</v>
      </c>
      <c r="CK19">
        <v>5</v>
      </c>
      <c r="CL19">
        <v>-0.123</v>
      </c>
      <c r="CM19">
        <v>4.2000000000000003E-2</v>
      </c>
      <c r="CN19">
        <v>2.0179999999999998</v>
      </c>
      <c r="CO19">
        <v>0.26</v>
      </c>
      <c r="CP19">
        <v>450</v>
      </c>
      <c r="CQ19">
        <v>20</v>
      </c>
      <c r="CR19">
        <v>0.05</v>
      </c>
      <c r="CS19">
        <v>0.01</v>
      </c>
      <c r="CT19">
        <v>-17.837495121951221</v>
      </c>
      <c r="CU19">
        <v>-0.17897979094079641</v>
      </c>
      <c r="CV19">
        <v>2.6545891705658239E-2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5.2135982926829278</v>
      </c>
      <c r="DC19">
        <v>4.1612195121958247E-2</v>
      </c>
      <c r="DD19">
        <v>4.1813936890263579E-3</v>
      </c>
      <c r="DE19">
        <v>1</v>
      </c>
      <c r="DF19">
        <v>2</v>
      </c>
      <c r="DG19">
        <v>2</v>
      </c>
      <c r="DH19" t="s">
        <v>340</v>
      </c>
      <c r="DI19">
        <v>3.0247099999999998</v>
      </c>
      <c r="DJ19">
        <v>2.69137</v>
      </c>
      <c r="DK19">
        <v>4.8502299999999998E-2</v>
      </c>
      <c r="DL19">
        <v>5.2886900000000001E-2</v>
      </c>
      <c r="DM19">
        <v>0.121744</v>
      </c>
      <c r="DN19">
        <v>0.104159</v>
      </c>
      <c r="DO19">
        <v>26465.9</v>
      </c>
      <c r="DP19">
        <v>17453.900000000001</v>
      </c>
      <c r="DQ19">
        <v>26396.1</v>
      </c>
      <c r="DR19">
        <v>16751.2</v>
      </c>
      <c r="DS19">
        <v>32979.5</v>
      </c>
      <c r="DT19">
        <v>19612.8</v>
      </c>
      <c r="DU19">
        <v>38457.800000000003</v>
      </c>
      <c r="DV19">
        <v>22210.3</v>
      </c>
      <c r="DW19">
        <v>1.79756</v>
      </c>
      <c r="DX19">
        <v>2.1638199999999999</v>
      </c>
      <c r="DY19">
        <v>4.8279799999999998E-2</v>
      </c>
      <c r="DZ19">
        <v>0</v>
      </c>
      <c r="EA19">
        <v>25.627500000000001</v>
      </c>
      <c r="EB19">
        <v>999.9</v>
      </c>
      <c r="EC19">
        <v>55.8</v>
      </c>
      <c r="ED19">
        <v>33.9</v>
      </c>
      <c r="EE19">
        <v>29.221900000000002</v>
      </c>
      <c r="EF19">
        <v>62.523800000000001</v>
      </c>
      <c r="EG19">
        <v>35.1402</v>
      </c>
      <c r="EH19">
        <v>1</v>
      </c>
      <c r="EI19">
        <v>0.108502</v>
      </c>
      <c r="EJ19">
        <v>0.28887600000000002</v>
      </c>
      <c r="EK19">
        <v>20.3261</v>
      </c>
      <c r="EL19">
        <v>5.2516699999999998</v>
      </c>
      <c r="EM19">
        <v>11.962</v>
      </c>
      <c r="EN19">
        <v>4.9896799999999999</v>
      </c>
      <c r="EO19">
        <v>3.2913600000000001</v>
      </c>
      <c r="EP19">
        <v>9999</v>
      </c>
      <c r="EQ19">
        <v>9999</v>
      </c>
      <c r="ER19">
        <v>9999</v>
      </c>
      <c r="ES19">
        <v>999.9</v>
      </c>
      <c r="ET19">
        <v>4.9727499999999996</v>
      </c>
      <c r="EU19">
        <v>1.8719300000000001</v>
      </c>
      <c r="EV19">
        <v>1.87215</v>
      </c>
      <c r="EW19">
        <v>1.87724</v>
      </c>
      <c r="EX19">
        <v>1.8713500000000001</v>
      </c>
      <c r="EY19">
        <v>1.8721000000000001</v>
      </c>
      <c r="EZ19">
        <v>1.8717999999999999</v>
      </c>
      <c r="FA19">
        <v>1.8687800000000001</v>
      </c>
      <c r="FB19">
        <v>0</v>
      </c>
      <c r="FC19">
        <v>0</v>
      </c>
      <c r="FD19">
        <v>0</v>
      </c>
      <c r="FE19">
        <v>0</v>
      </c>
      <c r="FF19" t="s">
        <v>341</v>
      </c>
      <c r="FG19" t="s">
        <v>342</v>
      </c>
      <c r="FH19" t="s">
        <v>343</v>
      </c>
      <c r="FI19" t="s">
        <v>343</v>
      </c>
      <c r="FJ19" t="s">
        <v>343</v>
      </c>
      <c r="FK19" t="s">
        <v>343</v>
      </c>
      <c r="FL19">
        <v>0</v>
      </c>
      <c r="FM19">
        <v>100</v>
      </c>
      <c r="FN19">
        <v>100</v>
      </c>
      <c r="FO19">
        <v>-0.26800000000000002</v>
      </c>
      <c r="FP19">
        <v>0.26029999999999998</v>
      </c>
      <c r="FQ19">
        <v>-1.7211922109494671</v>
      </c>
      <c r="FR19">
        <v>7.6898218637449396E-3</v>
      </c>
      <c r="FS19">
        <v>1.5097418776848419E-6</v>
      </c>
      <c r="FT19">
        <v>-9.8458676114205118E-11</v>
      </c>
      <c r="FU19">
        <v>0.26031499999999502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10.4</v>
      </c>
      <c r="GD19">
        <v>10.4</v>
      </c>
      <c r="GE19">
        <v>0.58960000000000001</v>
      </c>
      <c r="GF19">
        <v>2.6440399999999999</v>
      </c>
      <c r="GG19">
        <v>1.7981</v>
      </c>
      <c r="GH19">
        <v>2.3791500000000001</v>
      </c>
      <c r="GI19">
        <v>1.5979000000000001</v>
      </c>
      <c r="GJ19">
        <v>2.5720200000000002</v>
      </c>
      <c r="GK19">
        <v>37.194099999999999</v>
      </c>
      <c r="GL19">
        <v>24.157499999999999</v>
      </c>
      <c r="GM19">
        <v>18</v>
      </c>
      <c r="GN19">
        <v>370.279</v>
      </c>
      <c r="GO19">
        <v>660.29100000000005</v>
      </c>
      <c r="GP19">
        <v>25.829899999999999</v>
      </c>
      <c r="GQ19">
        <v>28.5046</v>
      </c>
      <c r="GR19">
        <v>30.0001</v>
      </c>
      <c r="GS19">
        <v>28.444500000000001</v>
      </c>
      <c r="GT19">
        <v>28.474699999999999</v>
      </c>
      <c r="GU19">
        <v>11.7462</v>
      </c>
      <c r="GV19">
        <v>40.295499999999997</v>
      </c>
      <c r="GW19">
        <v>0</v>
      </c>
      <c r="GX19">
        <v>25.83</v>
      </c>
      <c r="GY19">
        <v>200</v>
      </c>
      <c r="GZ19">
        <v>19.5</v>
      </c>
      <c r="HA19">
        <v>100.31</v>
      </c>
      <c r="HB19">
        <v>69.310100000000006</v>
      </c>
    </row>
    <row r="20" spans="1:210" x14ac:dyDescent="0.3">
      <c r="A20">
        <v>4</v>
      </c>
      <c r="B20">
        <v>1751984735</v>
      </c>
      <c r="C20">
        <v>541.5</v>
      </c>
      <c r="D20" t="s">
        <v>348</v>
      </c>
      <c r="E20" t="s">
        <v>349</v>
      </c>
      <c r="F20">
        <v>15</v>
      </c>
      <c r="G20">
        <v>1751984727.25</v>
      </c>
      <c r="H20">
        <f t="shared" si="0"/>
        <v>2.4134700940636523E-3</v>
      </c>
      <c r="I20">
        <f t="shared" si="1"/>
        <v>2.4134700940636522</v>
      </c>
      <c r="J20">
        <f t="shared" si="2"/>
        <v>3.6881900685940234</v>
      </c>
      <c r="K20">
        <f t="shared" si="3"/>
        <v>116.0665</v>
      </c>
      <c r="L20">
        <f t="shared" si="4"/>
        <v>91.362108900576843</v>
      </c>
      <c r="M20">
        <f t="shared" si="5"/>
        <v>9.2785398462865363</v>
      </c>
      <c r="N20">
        <f t="shared" si="6"/>
        <v>11.787464825718541</v>
      </c>
      <c r="O20">
        <f t="shared" si="7"/>
        <v>0.26827478863516291</v>
      </c>
      <c r="P20">
        <f t="shared" si="8"/>
        <v>2.4191614335977967</v>
      </c>
      <c r="Q20">
        <f t="shared" si="9"/>
        <v>0.25299945386641365</v>
      </c>
      <c r="R20">
        <f t="shared" si="10"/>
        <v>0.15942515744916996</v>
      </c>
      <c r="S20">
        <f t="shared" si="11"/>
        <v>181.72682366666666</v>
      </c>
      <c r="T20">
        <f t="shared" si="12"/>
        <v>27.712730020441398</v>
      </c>
      <c r="U20">
        <f t="shared" si="13"/>
        <v>26.422513333333331</v>
      </c>
      <c r="V20">
        <f t="shared" si="14"/>
        <v>3.4595467310053465</v>
      </c>
      <c r="W20">
        <f t="shared" si="15"/>
        <v>69.635812405475846</v>
      </c>
      <c r="X20">
        <f t="shared" si="16"/>
        <v>2.5192600721965142</v>
      </c>
      <c r="Y20">
        <f t="shared" si="17"/>
        <v>3.6177650337836953</v>
      </c>
      <c r="Z20">
        <f t="shared" si="18"/>
        <v>0.94028665880883233</v>
      </c>
      <c r="AA20">
        <f t="shared" si="19"/>
        <v>-106.43403114820707</v>
      </c>
      <c r="AB20">
        <f t="shared" si="20"/>
        <v>99.156675091474483</v>
      </c>
      <c r="AC20">
        <f t="shared" si="21"/>
        <v>8.8282662105596525</v>
      </c>
      <c r="AD20">
        <f t="shared" si="22"/>
        <v>183.27773382049372</v>
      </c>
      <c r="AE20">
        <f t="shared" si="23"/>
        <v>3.6881900685940234</v>
      </c>
      <c r="AF20">
        <f t="shared" si="24"/>
        <v>2.4134700940636522</v>
      </c>
      <c r="AG20">
        <f t="shared" si="25"/>
        <v>3.6797725332607145</v>
      </c>
      <c r="AH20">
        <v>127.47001346120641</v>
      </c>
      <c r="AI20">
        <v>119.0251393939393</v>
      </c>
      <c r="AJ20">
        <v>7.4726937127100559E-5</v>
      </c>
      <c r="AK20">
        <v>84.08367483205916</v>
      </c>
      <c r="AL20">
        <f t="shared" si="26"/>
        <v>2.4159951783476834</v>
      </c>
      <c r="AM20">
        <v>19.509973233175479</v>
      </c>
      <c r="AN20">
        <v>24.81109067669173</v>
      </c>
      <c r="AO20">
        <v>-4.0919945196634331E-7</v>
      </c>
      <c r="AP20">
        <v>90.517652559269479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53638.539102344803</v>
      </c>
      <c r="AV20">
        <f t="shared" si="30"/>
        <v>956.45696666666663</v>
      </c>
      <c r="AW20">
        <f t="shared" si="31"/>
        <v>765.16557333333333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338</v>
      </c>
      <c r="BC20">
        <v>2</v>
      </c>
      <c r="BD20" t="b">
        <v>0</v>
      </c>
      <c r="BE20">
        <v>1751984727.25</v>
      </c>
      <c r="BF20">
        <v>116.0665</v>
      </c>
      <c r="BG20">
        <v>124.9952</v>
      </c>
      <c r="BH20">
        <v>24.806156666666659</v>
      </c>
      <c r="BI20">
        <v>19.51055666666667</v>
      </c>
      <c r="BJ20">
        <v>116.8685</v>
      </c>
      <c r="BK20">
        <v>24.545829999999992</v>
      </c>
      <c r="BL20">
        <v>400.00019999999989</v>
      </c>
      <c r="BM20">
        <v>101.4579</v>
      </c>
      <c r="BN20">
        <v>9.9955416666666658E-2</v>
      </c>
      <c r="BO20">
        <v>27.18278999999999</v>
      </c>
      <c r="BP20">
        <v>26.422513333333331</v>
      </c>
      <c r="BQ20">
        <v>999.9000000000002</v>
      </c>
      <c r="BR20">
        <v>0</v>
      </c>
      <c r="BS20">
        <v>0</v>
      </c>
      <c r="BT20">
        <v>10004.5</v>
      </c>
      <c r="BU20">
        <v>956.45696666666663</v>
      </c>
      <c r="BV20">
        <v>17.047199999999989</v>
      </c>
      <c r="BW20">
        <v>-8.9287823333333325</v>
      </c>
      <c r="BX20">
        <v>119.01893333333329</v>
      </c>
      <c r="BY20">
        <v>127.48253333333329</v>
      </c>
      <c r="BZ20">
        <v>5.2955960000000006</v>
      </c>
      <c r="CA20">
        <v>124.9952</v>
      </c>
      <c r="CB20">
        <v>19.51055666666667</v>
      </c>
      <c r="CC20">
        <v>2.516779666666666</v>
      </c>
      <c r="CD20">
        <v>1.9794996666666671</v>
      </c>
      <c r="CE20">
        <v>21.135423333333328</v>
      </c>
      <c r="CF20">
        <v>17.281306666666669</v>
      </c>
      <c r="CG20">
        <v>1751983931</v>
      </c>
      <c r="CH20" t="s">
        <v>339</v>
      </c>
      <c r="CI20">
        <v>1751983930</v>
      </c>
      <c r="CJ20">
        <v>1751983931</v>
      </c>
      <c r="CK20">
        <v>5</v>
      </c>
      <c r="CL20">
        <v>-0.123</v>
      </c>
      <c r="CM20">
        <v>4.2000000000000003E-2</v>
      </c>
      <c r="CN20">
        <v>2.0179999999999998</v>
      </c>
      <c r="CO20">
        <v>0.26</v>
      </c>
      <c r="CP20">
        <v>450</v>
      </c>
      <c r="CQ20">
        <v>20</v>
      </c>
      <c r="CR20">
        <v>0.05</v>
      </c>
      <c r="CS20">
        <v>0.01</v>
      </c>
      <c r="CT20">
        <v>-8.9257609999999996</v>
      </c>
      <c r="CU20">
        <v>4.1175984990783811E-3</v>
      </c>
      <c r="CV20">
        <v>1.5556378884560421E-2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5.293374</v>
      </c>
      <c r="DC20">
        <v>3.77245778611391E-2</v>
      </c>
      <c r="DD20">
        <v>3.6933750148068988E-3</v>
      </c>
      <c r="DE20">
        <v>1</v>
      </c>
      <c r="DF20">
        <v>2</v>
      </c>
      <c r="DG20">
        <v>2</v>
      </c>
      <c r="DH20" t="s">
        <v>340</v>
      </c>
      <c r="DI20">
        <v>3.0247000000000002</v>
      </c>
      <c r="DJ20">
        <v>2.6913100000000001</v>
      </c>
      <c r="DK20">
        <v>3.20808E-2</v>
      </c>
      <c r="DL20">
        <v>3.4336499999999999E-2</v>
      </c>
      <c r="DM20">
        <v>0.122263</v>
      </c>
      <c r="DN20">
        <v>0.104409</v>
      </c>
      <c r="DO20">
        <v>26922.5</v>
      </c>
      <c r="DP20">
        <v>17795.599999999999</v>
      </c>
      <c r="DQ20">
        <v>26396.1</v>
      </c>
      <c r="DR20">
        <v>16751.2</v>
      </c>
      <c r="DS20">
        <v>32959.9</v>
      </c>
      <c r="DT20">
        <v>19607.2</v>
      </c>
      <c r="DU20">
        <v>38458.6</v>
      </c>
      <c r="DV20">
        <v>22210.400000000001</v>
      </c>
      <c r="DW20">
        <v>1.7976399999999999</v>
      </c>
      <c r="DX20">
        <v>2.1639200000000001</v>
      </c>
      <c r="DY20">
        <v>4.8023499999999997E-2</v>
      </c>
      <c r="DZ20">
        <v>0</v>
      </c>
      <c r="EA20">
        <v>25.6404</v>
      </c>
      <c r="EB20">
        <v>999.9</v>
      </c>
      <c r="EC20">
        <v>55.8</v>
      </c>
      <c r="ED20">
        <v>33.9</v>
      </c>
      <c r="EE20">
        <v>29.222300000000001</v>
      </c>
      <c r="EF20">
        <v>62.573799999999999</v>
      </c>
      <c r="EG20">
        <v>35.056100000000001</v>
      </c>
      <c r="EH20">
        <v>1</v>
      </c>
      <c r="EI20">
        <v>0.108378</v>
      </c>
      <c r="EJ20">
        <v>0.29200199999999998</v>
      </c>
      <c r="EK20">
        <v>20.327000000000002</v>
      </c>
      <c r="EL20">
        <v>5.2526299999999999</v>
      </c>
      <c r="EM20">
        <v>11.962</v>
      </c>
      <c r="EN20">
        <v>4.9896399999999996</v>
      </c>
      <c r="EO20">
        <v>3.2917200000000002</v>
      </c>
      <c r="EP20">
        <v>9999</v>
      </c>
      <c r="EQ20">
        <v>9999</v>
      </c>
      <c r="ER20">
        <v>9999</v>
      </c>
      <c r="ES20">
        <v>999.9</v>
      </c>
      <c r="ET20">
        <v>4.9727399999999999</v>
      </c>
      <c r="EU20">
        <v>1.87192</v>
      </c>
      <c r="EV20">
        <v>1.8721699999999999</v>
      </c>
      <c r="EW20">
        <v>1.87721</v>
      </c>
      <c r="EX20">
        <v>1.8713500000000001</v>
      </c>
      <c r="EY20">
        <v>1.8721099999999999</v>
      </c>
      <c r="EZ20">
        <v>1.8717999999999999</v>
      </c>
      <c r="FA20">
        <v>1.8688</v>
      </c>
      <c r="FB20">
        <v>0</v>
      </c>
      <c r="FC20">
        <v>0</v>
      </c>
      <c r="FD20">
        <v>0</v>
      </c>
      <c r="FE20">
        <v>0</v>
      </c>
      <c r="FF20" t="s">
        <v>341</v>
      </c>
      <c r="FG20" t="s">
        <v>342</v>
      </c>
      <c r="FH20" t="s">
        <v>343</v>
      </c>
      <c r="FI20" t="s">
        <v>343</v>
      </c>
      <c r="FJ20" t="s">
        <v>343</v>
      </c>
      <c r="FK20" t="s">
        <v>343</v>
      </c>
      <c r="FL20">
        <v>0</v>
      </c>
      <c r="FM20">
        <v>100</v>
      </c>
      <c r="FN20">
        <v>100</v>
      </c>
      <c r="FO20">
        <v>-0.80200000000000005</v>
      </c>
      <c r="FP20">
        <v>0.26040000000000002</v>
      </c>
      <c r="FQ20">
        <v>-1.7211922109494671</v>
      </c>
      <c r="FR20">
        <v>7.6898218637449396E-3</v>
      </c>
      <c r="FS20">
        <v>1.5097418776848419E-6</v>
      </c>
      <c r="FT20">
        <v>-9.8458676114205118E-11</v>
      </c>
      <c r="FU20">
        <v>0.26031499999999502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13.4</v>
      </c>
      <c r="GD20">
        <v>13.4</v>
      </c>
      <c r="GE20">
        <v>0.42358400000000002</v>
      </c>
      <c r="GF20">
        <v>2.66113</v>
      </c>
      <c r="GG20">
        <v>1.7981</v>
      </c>
      <c r="GH20">
        <v>2.3779300000000001</v>
      </c>
      <c r="GI20">
        <v>1.5979000000000001</v>
      </c>
      <c r="GJ20">
        <v>2.5329600000000001</v>
      </c>
      <c r="GK20">
        <v>37.2181</v>
      </c>
      <c r="GL20">
        <v>24.148800000000001</v>
      </c>
      <c r="GM20">
        <v>18</v>
      </c>
      <c r="GN20">
        <v>370.32100000000003</v>
      </c>
      <c r="GO20">
        <v>660.40700000000004</v>
      </c>
      <c r="GP20">
        <v>25.830100000000002</v>
      </c>
      <c r="GQ20">
        <v>28.5046</v>
      </c>
      <c r="GR20">
        <v>30.0002</v>
      </c>
      <c r="GS20">
        <v>28.444500000000001</v>
      </c>
      <c r="GT20">
        <v>28.4771</v>
      </c>
      <c r="GU20">
        <v>8.4434500000000003</v>
      </c>
      <c r="GV20">
        <v>39.482199999999999</v>
      </c>
      <c r="GW20">
        <v>0</v>
      </c>
      <c r="GX20">
        <v>25.83</v>
      </c>
      <c r="GY20">
        <v>125</v>
      </c>
      <c r="GZ20">
        <v>19.5</v>
      </c>
      <c r="HA20">
        <v>100.312</v>
      </c>
      <c r="HB20">
        <v>69.310400000000001</v>
      </c>
    </row>
    <row r="21" spans="1:210" x14ac:dyDescent="0.3">
      <c r="A21">
        <v>5</v>
      </c>
      <c r="B21">
        <v>1751984915.5999999</v>
      </c>
      <c r="C21">
        <v>722.09999990463257</v>
      </c>
      <c r="D21" t="s">
        <v>350</v>
      </c>
      <c r="E21" t="s">
        <v>351</v>
      </c>
      <c r="F21">
        <v>15</v>
      </c>
      <c r="G21">
        <v>1751984907.849999</v>
      </c>
      <c r="H21">
        <f t="shared" si="0"/>
        <v>2.4770104776784315E-3</v>
      </c>
      <c r="I21">
        <f t="shared" si="1"/>
        <v>2.4770104776784314</v>
      </c>
      <c r="J21">
        <f t="shared" si="2"/>
        <v>1.1046162814117257</v>
      </c>
      <c r="K21">
        <f t="shared" si="3"/>
        <v>72.111230000000006</v>
      </c>
      <c r="L21">
        <f t="shared" si="4"/>
        <v>64.415164069589196</v>
      </c>
      <c r="M21">
        <f t="shared" si="5"/>
        <v>6.542270981955288</v>
      </c>
      <c r="N21">
        <f t="shared" si="6"/>
        <v>7.3239153282670886</v>
      </c>
      <c r="O21">
        <f t="shared" si="7"/>
        <v>0.2790549564566423</v>
      </c>
      <c r="P21">
        <f t="shared" si="8"/>
        <v>2.4178225091969021</v>
      </c>
      <c r="Q21">
        <f t="shared" si="9"/>
        <v>0.26255893448543893</v>
      </c>
      <c r="R21">
        <f t="shared" si="10"/>
        <v>0.16550078276665062</v>
      </c>
      <c r="S21">
        <f t="shared" si="11"/>
        <v>181.67619499999998</v>
      </c>
      <c r="T21">
        <f t="shared" si="12"/>
        <v>27.697438462555457</v>
      </c>
      <c r="U21">
        <f t="shared" si="13"/>
        <v>26.434920000000009</v>
      </c>
      <c r="V21">
        <f t="shared" si="14"/>
        <v>3.4620793231280382</v>
      </c>
      <c r="W21">
        <f t="shared" si="15"/>
        <v>69.974538462637369</v>
      </c>
      <c r="X21">
        <f t="shared" si="16"/>
        <v>2.5321870750619868</v>
      </c>
      <c r="Y21">
        <f t="shared" si="17"/>
        <v>3.6187263691836113</v>
      </c>
      <c r="Z21">
        <f t="shared" si="18"/>
        <v>0.92989224806605142</v>
      </c>
      <c r="AA21">
        <f t="shared" si="19"/>
        <v>-109.23616206561883</v>
      </c>
      <c r="AB21">
        <f t="shared" si="20"/>
        <v>98.075074489944328</v>
      </c>
      <c r="AC21">
        <f t="shared" si="21"/>
        <v>8.7375431247868409</v>
      </c>
      <c r="AD21">
        <f t="shared" si="22"/>
        <v>179.25265054911233</v>
      </c>
      <c r="AE21">
        <f t="shared" si="23"/>
        <v>1.1046162814117257</v>
      </c>
      <c r="AF21">
        <f t="shared" si="24"/>
        <v>2.4770104776784314</v>
      </c>
      <c r="AG21">
        <f t="shared" si="25"/>
        <v>1.111335094841911</v>
      </c>
      <c r="AH21">
        <v>76.496945499036144</v>
      </c>
      <c r="AI21">
        <v>73.946140606060609</v>
      </c>
      <c r="AJ21">
        <v>7.3346505813064284E-5</v>
      </c>
      <c r="AK21">
        <v>84.08367483205916</v>
      </c>
      <c r="AL21">
        <f t="shared" si="26"/>
        <v>2.4788599213897911</v>
      </c>
      <c r="AM21">
        <v>19.498729592058169</v>
      </c>
      <c r="AN21">
        <v>24.93698781954884</v>
      </c>
      <c r="AO21">
        <v>-1.361028947935146E-6</v>
      </c>
      <c r="AP21">
        <v>90.517652559269479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53593.094972479106</v>
      </c>
      <c r="AV21">
        <f t="shared" si="30"/>
        <v>956.19049999999993</v>
      </c>
      <c r="AW21">
        <f t="shared" si="31"/>
        <v>764.95240000000001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338</v>
      </c>
      <c r="BC21">
        <v>2</v>
      </c>
      <c r="BD21" t="b">
        <v>0</v>
      </c>
      <c r="BE21">
        <v>1751984907.849999</v>
      </c>
      <c r="BF21">
        <v>72.111230000000006</v>
      </c>
      <c r="BG21">
        <v>74.998456666666684</v>
      </c>
      <c r="BH21">
        <v>24.931899999999999</v>
      </c>
      <c r="BI21">
        <v>19.497683333333331</v>
      </c>
      <c r="BJ21">
        <v>73.260993333333332</v>
      </c>
      <c r="BK21">
        <v>24.671573333333338</v>
      </c>
      <c r="BL21">
        <v>400.00769999999989</v>
      </c>
      <c r="BM21">
        <v>101.4641</v>
      </c>
      <c r="BN21">
        <v>0.10004373</v>
      </c>
      <c r="BO21">
        <v>27.18732</v>
      </c>
      <c r="BP21">
        <v>26.434920000000009</v>
      </c>
      <c r="BQ21">
        <v>999.9000000000002</v>
      </c>
      <c r="BR21">
        <v>0</v>
      </c>
      <c r="BS21">
        <v>0</v>
      </c>
      <c r="BT21">
        <v>9995.1833333333325</v>
      </c>
      <c r="BU21">
        <v>956.19049999999993</v>
      </c>
      <c r="BV21">
        <v>17.047199999999989</v>
      </c>
      <c r="BW21">
        <v>-2.887236333333334</v>
      </c>
      <c r="BX21">
        <v>73.955066666666653</v>
      </c>
      <c r="BY21">
        <v>76.489839999999987</v>
      </c>
      <c r="BZ21">
        <v>5.4342196666666673</v>
      </c>
      <c r="CA21">
        <v>74.998456666666684</v>
      </c>
      <c r="CB21">
        <v>19.497683333333331</v>
      </c>
      <c r="CC21">
        <v>2.529691666666666</v>
      </c>
      <c r="CD21">
        <v>1.978313</v>
      </c>
      <c r="CE21">
        <v>21.218800000000002</v>
      </c>
      <c r="CF21">
        <v>17.271830000000001</v>
      </c>
      <c r="CG21">
        <v>1751983931</v>
      </c>
      <c r="CH21" t="s">
        <v>339</v>
      </c>
      <c r="CI21">
        <v>1751983930</v>
      </c>
      <c r="CJ21">
        <v>1751983931</v>
      </c>
      <c r="CK21">
        <v>5</v>
      </c>
      <c r="CL21">
        <v>-0.123</v>
      </c>
      <c r="CM21">
        <v>4.2000000000000003E-2</v>
      </c>
      <c r="CN21">
        <v>2.0179999999999998</v>
      </c>
      <c r="CO21">
        <v>0.26</v>
      </c>
      <c r="CP21">
        <v>450</v>
      </c>
      <c r="CQ21">
        <v>20</v>
      </c>
      <c r="CR21">
        <v>0.05</v>
      </c>
      <c r="CS21">
        <v>0.01</v>
      </c>
      <c r="CT21">
        <v>-2.89581175</v>
      </c>
      <c r="CU21">
        <v>8.3465178236397652E-2</v>
      </c>
      <c r="CV21">
        <v>2.5670280081010029E-2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5.4326997499999994</v>
      </c>
      <c r="DC21">
        <v>3.3872307692304628E-2</v>
      </c>
      <c r="DD21">
        <v>3.5493573273903999E-3</v>
      </c>
      <c r="DE21">
        <v>1</v>
      </c>
      <c r="DF21">
        <v>2</v>
      </c>
      <c r="DG21">
        <v>2</v>
      </c>
      <c r="DH21" t="s">
        <v>340</v>
      </c>
      <c r="DI21">
        <v>3.0245600000000001</v>
      </c>
      <c r="DJ21">
        <v>2.6910599999999998</v>
      </c>
      <c r="DK21">
        <v>2.0393999999999999E-2</v>
      </c>
      <c r="DL21">
        <v>2.0955499999999998E-2</v>
      </c>
      <c r="DM21">
        <v>0.12270499999999999</v>
      </c>
      <c r="DN21">
        <v>0.104363</v>
      </c>
      <c r="DO21">
        <v>27246.5</v>
      </c>
      <c r="DP21">
        <v>18042.099999999999</v>
      </c>
      <c r="DQ21">
        <v>26395.1</v>
      </c>
      <c r="DR21">
        <v>16751.2</v>
      </c>
      <c r="DS21">
        <v>32941.599999999999</v>
      </c>
      <c r="DT21">
        <v>19607.599999999999</v>
      </c>
      <c r="DU21">
        <v>38457.300000000003</v>
      </c>
      <c r="DV21">
        <v>22210</v>
      </c>
      <c r="DW21">
        <v>1.7976000000000001</v>
      </c>
      <c r="DX21">
        <v>2.16378</v>
      </c>
      <c r="DY21">
        <v>4.6646600000000003E-2</v>
      </c>
      <c r="DZ21">
        <v>0</v>
      </c>
      <c r="EA21">
        <v>25.666599999999999</v>
      </c>
      <c r="EB21">
        <v>999.9</v>
      </c>
      <c r="EC21">
        <v>55.7</v>
      </c>
      <c r="ED21">
        <v>33.9</v>
      </c>
      <c r="EE21">
        <v>29.169</v>
      </c>
      <c r="EF21">
        <v>62.914700000000003</v>
      </c>
      <c r="EG21">
        <v>35.336500000000001</v>
      </c>
      <c r="EH21">
        <v>1</v>
      </c>
      <c r="EI21">
        <v>0.10874399999999999</v>
      </c>
      <c r="EJ21">
        <v>0.30366500000000002</v>
      </c>
      <c r="EK21">
        <v>20.3263</v>
      </c>
      <c r="EL21">
        <v>5.25251</v>
      </c>
      <c r="EM21">
        <v>11.962</v>
      </c>
      <c r="EN21">
        <v>4.9896399999999996</v>
      </c>
      <c r="EO21">
        <v>3.29156</v>
      </c>
      <c r="EP21">
        <v>9999</v>
      </c>
      <c r="EQ21">
        <v>9999</v>
      </c>
      <c r="ER21">
        <v>9999</v>
      </c>
      <c r="ES21">
        <v>999.9</v>
      </c>
      <c r="ET21">
        <v>4.9727499999999996</v>
      </c>
      <c r="EU21">
        <v>1.8719399999999999</v>
      </c>
      <c r="EV21">
        <v>1.8721699999999999</v>
      </c>
      <c r="EW21">
        <v>1.8772200000000001</v>
      </c>
      <c r="EX21">
        <v>1.8713500000000001</v>
      </c>
      <c r="EY21">
        <v>1.8721000000000001</v>
      </c>
      <c r="EZ21">
        <v>1.8717999999999999</v>
      </c>
      <c r="FA21">
        <v>1.8688100000000001</v>
      </c>
      <c r="FB21">
        <v>0</v>
      </c>
      <c r="FC21">
        <v>0</v>
      </c>
      <c r="FD21">
        <v>0</v>
      </c>
      <c r="FE21">
        <v>0</v>
      </c>
      <c r="FF21" t="s">
        <v>341</v>
      </c>
      <c r="FG21" t="s">
        <v>342</v>
      </c>
      <c r="FH21" t="s">
        <v>343</v>
      </c>
      <c r="FI21" t="s">
        <v>343</v>
      </c>
      <c r="FJ21" t="s">
        <v>343</v>
      </c>
      <c r="FK21" t="s">
        <v>343</v>
      </c>
      <c r="FL21">
        <v>0</v>
      </c>
      <c r="FM21">
        <v>100</v>
      </c>
      <c r="FN21">
        <v>100</v>
      </c>
      <c r="FO21">
        <v>-1.1499999999999999</v>
      </c>
      <c r="FP21">
        <v>0.26029999999999998</v>
      </c>
      <c r="FQ21">
        <v>-1.7211922109494671</v>
      </c>
      <c r="FR21">
        <v>7.6898218637449396E-3</v>
      </c>
      <c r="FS21">
        <v>1.5097418776848419E-6</v>
      </c>
      <c r="FT21">
        <v>-9.8458676114205118E-11</v>
      </c>
      <c r="FU21">
        <v>0.26031499999999502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16.399999999999999</v>
      </c>
      <c r="GD21">
        <v>16.399999999999999</v>
      </c>
      <c r="GE21">
        <v>0.3125</v>
      </c>
      <c r="GF21">
        <v>2.6684600000000001</v>
      </c>
      <c r="GG21">
        <v>1.7981</v>
      </c>
      <c r="GH21">
        <v>2.3779300000000001</v>
      </c>
      <c r="GI21">
        <v>1.5979000000000001</v>
      </c>
      <c r="GJ21">
        <v>2.5683600000000002</v>
      </c>
      <c r="GK21">
        <v>37.2181</v>
      </c>
      <c r="GL21">
        <v>24.1663</v>
      </c>
      <c r="GM21">
        <v>18</v>
      </c>
      <c r="GN21">
        <v>370.33100000000002</v>
      </c>
      <c r="GO21">
        <v>660.31600000000003</v>
      </c>
      <c r="GP21">
        <v>25.83</v>
      </c>
      <c r="GQ21">
        <v>28.509399999999999</v>
      </c>
      <c r="GR21">
        <v>30.0002</v>
      </c>
      <c r="GS21">
        <v>28.449300000000001</v>
      </c>
      <c r="GT21">
        <v>28.479600000000001</v>
      </c>
      <c r="GU21">
        <v>6.2160500000000001</v>
      </c>
      <c r="GV21">
        <v>39.482199999999999</v>
      </c>
      <c r="GW21">
        <v>0</v>
      </c>
      <c r="GX21">
        <v>25.83</v>
      </c>
      <c r="GY21">
        <v>75</v>
      </c>
      <c r="GZ21">
        <v>19.5</v>
      </c>
      <c r="HA21">
        <v>100.30800000000001</v>
      </c>
      <c r="HB21">
        <v>69.309600000000003</v>
      </c>
    </row>
    <row r="22" spans="1:210" x14ac:dyDescent="0.3">
      <c r="A22">
        <v>6</v>
      </c>
      <c r="B22">
        <v>1751985096.0999999</v>
      </c>
      <c r="C22">
        <v>902.59999990463257</v>
      </c>
      <c r="D22" t="s">
        <v>352</v>
      </c>
      <c r="E22" t="s">
        <v>353</v>
      </c>
      <c r="F22">
        <v>15</v>
      </c>
      <c r="G22">
        <v>1751985088.349999</v>
      </c>
      <c r="H22">
        <f t="shared" si="0"/>
        <v>2.5200267021626009E-3</v>
      </c>
      <c r="I22">
        <f t="shared" si="1"/>
        <v>2.5200267021626011</v>
      </c>
      <c r="J22">
        <f t="shared" si="2"/>
        <v>20.466485134031949</v>
      </c>
      <c r="K22">
        <f t="shared" si="3"/>
        <v>401.66983333333337</v>
      </c>
      <c r="L22">
        <f t="shared" si="4"/>
        <v>276.84483167622608</v>
      </c>
      <c r="M22">
        <f t="shared" si="5"/>
        <v>28.118482157252298</v>
      </c>
      <c r="N22">
        <f t="shared" si="6"/>
        <v>40.796665674794816</v>
      </c>
      <c r="O22">
        <f t="shared" si="7"/>
        <v>0.28849970537981606</v>
      </c>
      <c r="P22">
        <f t="shared" si="8"/>
        <v>2.4184949311076078</v>
      </c>
      <c r="Q22">
        <f t="shared" si="9"/>
        <v>0.27091019741911743</v>
      </c>
      <c r="R22">
        <f t="shared" si="10"/>
        <v>0.17081051382172724</v>
      </c>
      <c r="S22">
        <f t="shared" si="11"/>
        <v>181.69701266666669</v>
      </c>
      <c r="T22">
        <f t="shared" si="12"/>
        <v>27.674190274242829</v>
      </c>
      <c r="U22">
        <f t="shared" si="13"/>
        <v>26.41717666666667</v>
      </c>
      <c r="V22">
        <f t="shared" si="14"/>
        <v>3.4584578466421334</v>
      </c>
      <c r="W22">
        <f t="shared" si="15"/>
        <v>70.274794667214692</v>
      </c>
      <c r="X22">
        <f t="shared" si="16"/>
        <v>2.5415743153392589</v>
      </c>
      <c r="Y22">
        <f t="shared" si="17"/>
        <v>3.6166228978324995</v>
      </c>
      <c r="Z22">
        <f t="shared" si="18"/>
        <v>0.91688353130287448</v>
      </c>
      <c r="AA22">
        <f t="shared" si="19"/>
        <v>-111.1331775653707</v>
      </c>
      <c r="AB22">
        <f t="shared" si="20"/>
        <v>99.123271788370715</v>
      </c>
      <c r="AC22">
        <f t="shared" si="21"/>
        <v>8.8272508510449423</v>
      </c>
      <c r="AD22">
        <f t="shared" si="22"/>
        <v>178.51435774071166</v>
      </c>
      <c r="AE22">
        <f t="shared" si="23"/>
        <v>20.466485134031949</v>
      </c>
      <c r="AF22">
        <f t="shared" si="24"/>
        <v>2.5200267021626011</v>
      </c>
      <c r="AG22">
        <f t="shared" si="25"/>
        <v>20.480775780083402</v>
      </c>
      <c r="AH22">
        <v>458.92883808466189</v>
      </c>
      <c r="AI22">
        <v>411.94163030303019</v>
      </c>
      <c r="AJ22">
        <v>-1.4671442676294139E-3</v>
      </c>
      <c r="AK22">
        <v>84.08367483205916</v>
      </c>
      <c r="AL22">
        <f t="shared" si="26"/>
        <v>2.5215577488377394</v>
      </c>
      <c r="AM22">
        <v>19.49503727066627</v>
      </c>
      <c r="AN22">
        <v>25.026757293233072</v>
      </c>
      <c r="AO22">
        <v>3.6774797992287111E-7</v>
      </c>
      <c r="AP22">
        <v>90.517652559269479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53617.425817004842</v>
      </c>
      <c r="AV22">
        <f t="shared" si="30"/>
        <v>956.30006666666679</v>
      </c>
      <c r="AW22">
        <f t="shared" si="31"/>
        <v>765.0400533333335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338</v>
      </c>
      <c r="BC22">
        <v>2</v>
      </c>
      <c r="BD22" t="b">
        <v>0</v>
      </c>
      <c r="BE22">
        <v>1751985088.349999</v>
      </c>
      <c r="BF22">
        <v>401.66983333333337</v>
      </c>
      <c r="BG22">
        <v>449.99873333333329</v>
      </c>
      <c r="BH22">
        <v>25.02346</v>
      </c>
      <c r="BI22">
        <v>19.495076666666659</v>
      </c>
      <c r="BJ22">
        <v>400.07909999999998</v>
      </c>
      <c r="BK22">
        <v>24.76315</v>
      </c>
      <c r="BL22">
        <v>399.98496666666682</v>
      </c>
      <c r="BM22">
        <v>101.46769999999999</v>
      </c>
      <c r="BN22">
        <v>9.9961519999999984E-2</v>
      </c>
      <c r="BO22">
        <v>27.17740666666667</v>
      </c>
      <c r="BP22">
        <v>26.41717666666667</v>
      </c>
      <c r="BQ22">
        <v>999.9000000000002</v>
      </c>
      <c r="BR22">
        <v>0</v>
      </c>
      <c r="BS22">
        <v>0</v>
      </c>
      <c r="BT22">
        <v>9999.2000000000007</v>
      </c>
      <c r="BU22">
        <v>956.30006666666679</v>
      </c>
      <c r="BV22">
        <v>17.047199999999989</v>
      </c>
      <c r="BW22">
        <v>-48.328890000000001</v>
      </c>
      <c r="BX22">
        <v>411.97910000000002</v>
      </c>
      <c r="BY22">
        <v>458.94586666666669</v>
      </c>
      <c r="BZ22">
        <v>5.5283686666666672</v>
      </c>
      <c r="CA22">
        <v>449.99873333333329</v>
      </c>
      <c r="CB22">
        <v>19.495076666666659</v>
      </c>
      <c r="CC22">
        <v>2.5390736666666669</v>
      </c>
      <c r="CD22">
        <v>1.9781230000000001</v>
      </c>
      <c r="CE22">
        <v>21.279160000000001</v>
      </c>
      <c r="CF22">
        <v>17.27029666666666</v>
      </c>
      <c r="CG22">
        <v>1751983931</v>
      </c>
      <c r="CH22" t="s">
        <v>339</v>
      </c>
      <c r="CI22">
        <v>1751983930</v>
      </c>
      <c r="CJ22">
        <v>1751983931</v>
      </c>
      <c r="CK22">
        <v>5</v>
      </c>
      <c r="CL22">
        <v>-0.123</v>
      </c>
      <c r="CM22">
        <v>4.2000000000000003E-2</v>
      </c>
      <c r="CN22">
        <v>2.0179999999999998</v>
      </c>
      <c r="CO22">
        <v>0.26</v>
      </c>
      <c r="CP22">
        <v>450</v>
      </c>
      <c r="CQ22">
        <v>20</v>
      </c>
      <c r="CR22">
        <v>0.05</v>
      </c>
      <c r="CS22">
        <v>0.01</v>
      </c>
      <c r="CT22">
        <v>-48.29629756097561</v>
      </c>
      <c r="CU22">
        <v>-0.38009477351933041</v>
      </c>
      <c r="CV22">
        <v>5.1700712302517722E-2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5.5260904878048773</v>
      </c>
      <c r="DC22">
        <v>3.2561811846690929E-2</v>
      </c>
      <c r="DD22">
        <v>3.5073796425776141E-3</v>
      </c>
      <c r="DE22">
        <v>1</v>
      </c>
      <c r="DF22">
        <v>2</v>
      </c>
      <c r="DG22">
        <v>2</v>
      </c>
      <c r="DH22" t="s">
        <v>340</v>
      </c>
      <c r="DI22">
        <v>3.0245799999999998</v>
      </c>
      <c r="DJ22">
        <v>2.6911700000000001</v>
      </c>
      <c r="DK22">
        <v>9.3274800000000005E-2</v>
      </c>
      <c r="DL22">
        <v>0.102423</v>
      </c>
      <c r="DM22">
        <v>0.123019</v>
      </c>
      <c r="DN22">
        <v>0.104369</v>
      </c>
      <c r="DO22">
        <v>25219.9</v>
      </c>
      <c r="DP22">
        <v>16541</v>
      </c>
      <c r="DQ22">
        <v>26395.3</v>
      </c>
      <c r="DR22">
        <v>16751</v>
      </c>
      <c r="DS22">
        <v>32931.5</v>
      </c>
      <c r="DT22">
        <v>19608.599999999999</v>
      </c>
      <c r="DU22">
        <v>38457.4</v>
      </c>
      <c r="DV22">
        <v>22209.9</v>
      </c>
      <c r="DW22">
        <v>1.7974600000000001</v>
      </c>
      <c r="DX22">
        <v>2.1646399999999999</v>
      </c>
      <c r="DY22">
        <v>4.6372400000000001E-2</v>
      </c>
      <c r="DZ22">
        <v>0</v>
      </c>
      <c r="EA22">
        <v>25.654699999999998</v>
      </c>
      <c r="EB22">
        <v>999.9</v>
      </c>
      <c r="EC22">
        <v>55.7</v>
      </c>
      <c r="ED22">
        <v>33.9</v>
      </c>
      <c r="EE22">
        <v>29.1676</v>
      </c>
      <c r="EF22">
        <v>62.874699999999997</v>
      </c>
      <c r="EG22">
        <v>35.024000000000001</v>
      </c>
      <c r="EH22">
        <v>1</v>
      </c>
      <c r="EI22">
        <v>0.10920299999999999</v>
      </c>
      <c r="EJ22">
        <v>0.29797800000000002</v>
      </c>
      <c r="EK22">
        <v>20.3264</v>
      </c>
      <c r="EL22">
        <v>5.2472399999999997</v>
      </c>
      <c r="EM22">
        <v>11.962</v>
      </c>
      <c r="EN22">
        <v>4.9897200000000002</v>
      </c>
      <c r="EO22">
        <v>3.2916599999999998</v>
      </c>
      <c r="EP22">
        <v>9999</v>
      </c>
      <c r="EQ22">
        <v>9999</v>
      </c>
      <c r="ER22">
        <v>9999</v>
      </c>
      <c r="ES22">
        <v>999.9</v>
      </c>
      <c r="ET22">
        <v>4.9727600000000001</v>
      </c>
      <c r="EU22">
        <v>1.87192</v>
      </c>
      <c r="EV22">
        <v>1.87218</v>
      </c>
      <c r="EW22">
        <v>1.87721</v>
      </c>
      <c r="EX22">
        <v>1.87134</v>
      </c>
      <c r="EY22">
        <v>1.8721000000000001</v>
      </c>
      <c r="EZ22">
        <v>1.8717999999999999</v>
      </c>
      <c r="FA22">
        <v>1.8687800000000001</v>
      </c>
      <c r="FB22">
        <v>0</v>
      </c>
      <c r="FC22">
        <v>0</v>
      </c>
      <c r="FD22">
        <v>0</v>
      </c>
      <c r="FE22">
        <v>0</v>
      </c>
      <c r="FF22" t="s">
        <v>341</v>
      </c>
      <c r="FG22" t="s">
        <v>342</v>
      </c>
      <c r="FH22" t="s">
        <v>343</v>
      </c>
      <c r="FI22" t="s">
        <v>343</v>
      </c>
      <c r="FJ22" t="s">
        <v>343</v>
      </c>
      <c r="FK22" t="s">
        <v>343</v>
      </c>
      <c r="FL22">
        <v>0</v>
      </c>
      <c r="FM22">
        <v>100</v>
      </c>
      <c r="FN22">
        <v>100</v>
      </c>
      <c r="FO22">
        <v>1.591</v>
      </c>
      <c r="FP22">
        <v>0.26040000000000002</v>
      </c>
      <c r="FQ22">
        <v>-1.7211922109494671</v>
      </c>
      <c r="FR22">
        <v>7.6898218637449396E-3</v>
      </c>
      <c r="FS22">
        <v>1.5097418776848419E-6</v>
      </c>
      <c r="FT22">
        <v>-9.8458676114205118E-11</v>
      </c>
      <c r="FU22">
        <v>0.26031499999999502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19.399999999999999</v>
      </c>
      <c r="GD22">
        <v>19.399999999999999</v>
      </c>
      <c r="GE22">
        <v>1.1071800000000001</v>
      </c>
      <c r="GF22">
        <v>2.65747</v>
      </c>
      <c r="GG22">
        <v>1.7981</v>
      </c>
      <c r="GH22">
        <v>2.3791500000000001</v>
      </c>
      <c r="GI22">
        <v>1.5979000000000001</v>
      </c>
      <c r="GJ22">
        <v>2.5317400000000001</v>
      </c>
      <c r="GK22">
        <v>37.241999999999997</v>
      </c>
      <c r="GL22">
        <v>24.157499999999999</v>
      </c>
      <c r="GM22">
        <v>18</v>
      </c>
      <c r="GN22">
        <v>370.29</v>
      </c>
      <c r="GO22">
        <v>661.11599999999999</v>
      </c>
      <c r="GP22">
        <v>25.829799999999999</v>
      </c>
      <c r="GQ22">
        <v>28.516200000000001</v>
      </c>
      <c r="GR22">
        <v>30.0002</v>
      </c>
      <c r="GS22">
        <v>28.4541</v>
      </c>
      <c r="GT22">
        <v>28.484400000000001</v>
      </c>
      <c r="GU22">
        <v>22.108499999999999</v>
      </c>
      <c r="GV22">
        <v>39.482199999999999</v>
      </c>
      <c r="GW22">
        <v>0</v>
      </c>
      <c r="GX22">
        <v>25.83</v>
      </c>
      <c r="GY22">
        <v>450</v>
      </c>
      <c r="GZ22">
        <v>19.5</v>
      </c>
      <c r="HA22">
        <v>100.309</v>
      </c>
      <c r="HB22">
        <v>69.309200000000004</v>
      </c>
    </row>
    <row r="23" spans="1:210" x14ac:dyDescent="0.3">
      <c r="A23">
        <v>7</v>
      </c>
      <c r="B23">
        <v>1751985276.5999999</v>
      </c>
      <c r="C23">
        <v>1083.099999904633</v>
      </c>
      <c r="D23" t="s">
        <v>354</v>
      </c>
      <c r="E23" t="s">
        <v>355</v>
      </c>
      <c r="F23">
        <v>15</v>
      </c>
      <c r="G23">
        <v>1751985268.849999</v>
      </c>
      <c r="H23">
        <f t="shared" si="0"/>
        <v>2.5476616500820092E-3</v>
      </c>
      <c r="I23">
        <f t="shared" si="1"/>
        <v>2.5476616500820093</v>
      </c>
      <c r="J23">
        <f t="shared" si="2"/>
        <v>20.620933571967715</v>
      </c>
      <c r="K23">
        <f t="shared" si="3"/>
        <v>401.28989999999999</v>
      </c>
      <c r="L23">
        <f t="shared" si="4"/>
        <v>277.41288435978959</v>
      </c>
      <c r="M23">
        <f t="shared" si="5"/>
        <v>28.175706470272058</v>
      </c>
      <c r="N23">
        <f t="shared" si="6"/>
        <v>40.757394733046141</v>
      </c>
      <c r="O23">
        <f t="shared" si="7"/>
        <v>0.29319464729335137</v>
      </c>
      <c r="P23">
        <f t="shared" si="8"/>
        <v>2.4185045468350745</v>
      </c>
      <c r="Q23">
        <f t="shared" si="9"/>
        <v>0.27504722006252197</v>
      </c>
      <c r="R23">
        <f t="shared" si="10"/>
        <v>0.17344207065924994</v>
      </c>
      <c r="S23">
        <f t="shared" si="11"/>
        <v>181.7214846666667</v>
      </c>
      <c r="T23">
        <f t="shared" si="12"/>
        <v>27.668313196494772</v>
      </c>
      <c r="U23">
        <f t="shared" si="13"/>
        <v>26.421463333333332</v>
      </c>
      <c r="V23">
        <f t="shared" si="14"/>
        <v>3.4593324671440966</v>
      </c>
      <c r="W23">
        <f t="shared" si="15"/>
        <v>70.397170147543932</v>
      </c>
      <c r="X23">
        <f t="shared" si="16"/>
        <v>2.5463785150915887</v>
      </c>
      <c r="Y23">
        <f t="shared" si="17"/>
        <v>3.6171603343638505</v>
      </c>
      <c r="Z23">
        <f t="shared" si="18"/>
        <v>0.91295395205250784</v>
      </c>
      <c r="AA23">
        <f t="shared" si="19"/>
        <v>-112.3518787686166</v>
      </c>
      <c r="AB23">
        <f t="shared" si="20"/>
        <v>98.895055042592659</v>
      </c>
      <c r="AC23">
        <f t="shared" si="21"/>
        <v>8.8071928455348019</v>
      </c>
      <c r="AD23">
        <f t="shared" si="22"/>
        <v>177.07185378617757</v>
      </c>
      <c r="AE23">
        <f t="shared" si="23"/>
        <v>20.620933571967715</v>
      </c>
      <c r="AF23">
        <f t="shared" si="24"/>
        <v>2.5476616500820093</v>
      </c>
      <c r="AG23">
        <f t="shared" si="25"/>
        <v>20.61138487256822</v>
      </c>
      <c r="AH23">
        <v>458.88267902160942</v>
      </c>
      <c r="AI23">
        <v>411.59047878787891</v>
      </c>
      <c r="AJ23">
        <v>-1.9659288766117521E-4</v>
      </c>
      <c r="AK23">
        <v>84.08367483205916</v>
      </c>
      <c r="AL23">
        <f t="shared" si="26"/>
        <v>2.5480903002025834</v>
      </c>
      <c r="AM23">
        <v>19.482562424407341</v>
      </c>
      <c r="AN23">
        <v>25.07164225563907</v>
      </c>
      <c r="AO23">
        <v>1.164164856394624E-7</v>
      </c>
      <c r="AP23">
        <v>90.517652559269479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53617.257424989533</v>
      </c>
      <c r="AV23">
        <f t="shared" si="30"/>
        <v>956.42886666666675</v>
      </c>
      <c r="AW23">
        <f t="shared" si="31"/>
        <v>765.14309333333347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338</v>
      </c>
      <c r="BC23">
        <v>2</v>
      </c>
      <c r="BD23" t="b">
        <v>0</v>
      </c>
      <c r="BE23">
        <v>1751985268.849999</v>
      </c>
      <c r="BF23">
        <v>401.28989999999999</v>
      </c>
      <c r="BG23">
        <v>449.98396666666667</v>
      </c>
      <c r="BH23">
        <v>25.071180000000009</v>
      </c>
      <c r="BI23">
        <v>19.483036666666671</v>
      </c>
      <c r="BJ23">
        <v>399.70246666666668</v>
      </c>
      <c r="BK23">
        <v>24.810866666666669</v>
      </c>
      <c r="BL23">
        <v>400.02730000000003</v>
      </c>
      <c r="BM23">
        <v>101.4659666666666</v>
      </c>
      <c r="BN23">
        <v>9.9995330000000007E-2</v>
      </c>
      <c r="BO23">
        <v>27.179939999999998</v>
      </c>
      <c r="BP23">
        <v>26.421463333333332</v>
      </c>
      <c r="BQ23">
        <v>999.9000000000002</v>
      </c>
      <c r="BR23">
        <v>0</v>
      </c>
      <c r="BS23">
        <v>0</v>
      </c>
      <c r="BT23">
        <v>9999.4333333333325</v>
      </c>
      <c r="BU23">
        <v>956.42886666666675</v>
      </c>
      <c r="BV23">
        <v>17.047199999999989</v>
      </c>
      <c r="BW23">
        <v>-48.694116666666673</v>
      </c>
      <c r="BX23">
        <v>411.60939999999999</v>
      </c>
      <c r="BY23">
        <v>458.92523333333332</v>
      </c>
      <c r="BZ23">
        <v>5.5881429999999988</v>
      </c>
      <c r="CA23">
        <v>449.98396666666667</v>
      </c>
      <c r="CB23">
        <v>19.483036666666671</v>
      </c>
      <c r="CC23">
        <v>2.5438736666666668</v>
      </c>
      <c r="CD23">
        <v>1.976866666666667</v>
      </c>
      <c r="CE23">
        <v>21.309956666666661</v>
      </c>
      <c r="CF23">
        <v>17.26026666666667</v>
      </c>
      <c r="CG23">
        <v>1751983931</v>
      </c>
      <c r="CH23" t="s">
        <v>339</v>
      </c>
      <c r="CI23">
        <v>1751983930</v>
      </c>
      <c r="CJ23">
        <v>1751983931</v>
      </c>
      <c r="CK23">
        <v>5</v>
      </c>
      <c r="CL23">
        <v>-0.123</v>
      </c>
      <c r="CM23">
        <v>4.2000000000000003E-2</v>
      </c>
      <c r="CN23">
        <v>2.0179999999999998</v>
      </c>
      <c r="CO23">
        <v>0.26</v>
      </c>
      <c r="CP23">
        <v>450</v>
      </c>
      <c r="CQ23">
        <v>20</v>
      </c>
      <c r="CR23">
        <v>0.05</v>
      </c>
      <c r="CS23">
        <v>0.01</v>
      </c>
      <c r="CT23">
        <v>-48.695644999999999</v>
      </c>
      <c r="CU23">
        <v>5.3268292683080719E-2</v>
      </c>
      <c r="CV23">
        <v>3.2497284117292378E-2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5.5886507500000011</v>
      </c>
      <c r="DC23">
        <v>-5.098424015008614E-3</v>
      </c>
      <c r="DD23">
        <v>1.0889131909844389E-3</v>
      </c>
      <c r="DE23">
        <v>1</v>
      </c>
      <c r="DF23">
        <v>2</v>
      </c>
      <c r="DG23">
        <v>2</v>
      </c>
      <c r="DH23" t="s">
        <v>340</v>
      </c>
      <c r="DI23">
        <v>3.0245700000000002</v>
      </c>
      <c r="DJ23">
        <v>2.6913999999999998</v>
      </c>
      <c r="DK23">
        <v>9.3211799999999997E-2</v>
      </c>
      <c r="DL23">
        <v>0.102419</v>
      </c>
      <c r="DM23">
        <v>0.12316299999999999</v>
      </c>
      <c r="DN23">
        <v>0.104312</v>
      </c>
      <c r="DO23">
        <v>25222.400000000001</v>
      </c>
      <c r="DP23">
        <v>16540.7</v>
      </c>
      <c r="DQ23">
        <v>26396</v>
      </c>
      <c r="DR23">
        <v>16750.7</v>
      </c>
      <c r="DS23">
        <v>32926.9</v>
      </c>
      <c r="DT23">
        <v>19609.599999999999</v>
      </c>
      <c r="DU23">
        <v>38458.400000000001</v>
      </c>
      <c r="DV23">
        <v>22209.599999999999</v>
      </c>
      <c r="DW23">
        <v>1.7976799999999999</v>
      </c>
      <c r="DX23">
        <v>2.1642199999999998</v>
      </c>
      <c r="DY23">
        <v>4.6032700000000003E-2</v>
      </c>
      <c r="DZ23">
        <v>0</v>
      </c>
      <c r="EA23">
        <v>25.664200000000001</v>
      </c>
      <c r="EB23">
        <v>999.9</v>
      </c>
      <c r="EC23">
        <v>55.6</v>
      </c>
      <c r="ED23">
        <v>33.9</v>
      </c>
      <c r="EE23">
        <v>29.116700000000002</v>
      </c>
      <c r="EF23">
        <v>62.274700000000003</v>
      </c>
      <c r="EG23">
        <v>35.3566</v>
      </c>
      <c r="EH23">
        <v>1</v>
      </c>
      <c r="EI23">
        <v>0.109583</v>
      </c>
      <c r="EJ23">
        <v>0.30074099999999998</v>
      </c>
      <c r="EK23">
        <v>20.3264</v>
      </c>
      <c r="EL23">
        <v>5.2485600000000003</v>
      </c>
      <c r="EM23">
        <v>11.962</v>
      </c>
      <c r="EN23">
        <v>4.9897600000000004</v>
      </c>
      <c r="EO23">
        <v>3.2915399999999999</v>
      </c>
      <c r="EP23">
        <v>9999</v>
      </c>
      <c r="EQ23">
        <v>9999</v>
      </c>
      <c r="ER23">
        <v>9999</v>
      </c>
      <c r="ES23">
        <v>999.9</v>
      </c>
      <c r="ET23">
        <v>4.9727399999999999</v>
      </c>
      <c r="EU23">
        <v>1.8719399999999999</v>
      </c>
      <c r="EV23">
        <v>1.87216</v>
      </c>
      <c r="EW23">
        <v>1.8772599999999999</v>
      </c>
      <c r="EX23">
        <v>1.8713500000000001</v>
      </c>
      <c r="EY23">
        <v>1.8721000000000001</v>
      </c>
      <c r="EZ23">
        <v>1.8717999999999999</v>
      </c>
      <c r="FA23">
        <v>1.8688100000000001</v>
      </c>
      <c r="FB23">
        <v>0</v>
      </c>
      <c r="FC23">
        <v>0</v>
      </c>
      <c r="FD23">
        <v>0</v>
      </c>
      <c r="FE23">
        <v>0</v>
      </c>
      <c r="FF23" t="s">
        <v>341</v>
      </c>
      <c r="FG23" t="s">
        <v>342</v>
      </c>
      <c r="FH23" t="s">
        <v>343</v>
      </c>
      <c r="FI23" t="s">
        <v>343</v>
      </c>
      <c r="FJ23" t="s">
        <v>343</v>
      </c>
      <c r="FK23" t="s">
        <v>343</v>
      </c>
      <c r="FL23">
        <v>0</v>
      </c>
      <c r="FM23">
        <v>100</v>
      </c>
      <c r="FN23">
        <v>100</v>
      </c>
      <c r="FO23">
        <v>1.5880000000000001</v>
      </c>
      <c r="FP23">
        <v>0.26029999999999998</v>
      </c>
      <c r="FQ23">
        <v>-1.7211922109494671</v>
      </c>
      <c r="FR23">
        <v>7.6898218637449396E-3</v>
      </c>
      <c r="FS23">
        <v>1.5097418776848419E-6</v>
      </c>
      <c r="FT23">
        <v>-9.8458676114205118E-11</v>
      </c>
      <c r="FU23">
        <v>0.26031499999999502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22.4</v>
      </c>
      <c r="GD23">
        <v>22.4</v>
      </c>
      <c r="GE23">
        <v>1.1059600000000001</v>
      </c>
      <c r="GF23">
        <v>2.66357</v>
      </c>
      <c r="GG23">
        <v>1.7981</v>
      </c>
      <c r="GH23">
        <v>2.3779300000000001</v>
      </c>
      <c r="GI23">
        <v>1.5979000000000001</v>
      </c>
      <c r="GJ23">
        <v>2.4121100000000002</v>
      </c>
      <c r="GK23">
        <v>37.241999999999997</v>
      </c>
      <c r="GL23">
        <v>24.148800000000001</v>
      </c>
      <c r="GM23">
        <v>18</v>
      </c>
      <c r="GN23">
        <v>370.43599999999998</v>
      </c>
      <c r="GO23">
        <v>660.84299999999996</v>
      </c>
      <c r="GP23">
        <v>25.829899999999999</v>
      </c>
      <c r="GQ23">
        <v>28.521599999999999</v>
      </c>
      <c r="GR23">
        <v>30</v>
      </c>
      <c r="GS23">
        <v>28.4589</v>
      </c>
      <c r="GT23">
        <v>28.491700000000002</v>
      </c>
      <c r="GU23">
        <v>22.105899999999998</v>
      </c>
      <c r="GV23">
        <v>39.482199999999999</v>
      </c>
      <c r="GW23">
        <v>0</v>
      </c>
      <c r="GX23">
        <v>25.83</v>
      </c>
      <c r="GY23">
        <v>450</v>
      </c>
      <c r="GZ23">
        <v>19.5</v>
      </c>
      <c r="HA23">
        <v>100.31100000000001</v>
      </c>
      <c r="HB23">
        <v>69.308099999999996</v>
      </c>
    </row>
    <row r="24" spans="1:210" x14ac:dyDescent="0.3">
      <c r="A24">
        <v>8</v>
      </c>
      <c r="B24">
        <v>1751985457.0999999</v>
      </c>
      <c r="C24">
        <v>1263.599999904633</v>
      </c>
      <c r="D24" t="s">
        <v>356</v>
      </c>
      <c r="E24" t="s">
        <v>357</v>
      </c>
      <c r="F24">
        <v>15</v>
      </c>
      <c r="G24">
        <v>1751985449.349999</v>
      </c>
      <c r="H24">
        <f t="shared" si="0"/>
        <v>2.5122943850449846E-3</v>
      </c>
      <c r="I24">
        <f t="shared" si="1"/>
        <v>2.5122943850449846</v>
      </c>
      <c r="J24">
        <f t="shared" si="2"/>
        <v>20.452751033220771</v>
      </c>
      <c r="K24">
        <f t="shared" si="3"/>
        <v>401.70423333333332</v>
      </c>
      <c r="L24">
        <f t="shared" si="4"/>
        <v>276.04037353672754</v>
      </c>
      <c r="M24">
        <f t="shared" si="5"/>
        <v>28.036713622222688</v>
      </c>
      <c r="N24">
        <f t="shared" si="6"/>
        <v>40.800069955356371</v>
      </c>
      <c r="O24">
        <f t="shared" si="7"/>
        <v>0.28622110114492638</v>
      </c>
      <c r="P24">
        <f t="shared" si="8"/>
        <v>2.4186810877538099</v>
      </c>
      <c r="Q24">
        <f t="shared" si="9"/>
        <v>0.26890071371218266</v>
      </c>
      <c r="R24">
        <f t="shared" si="10"/>
        <v>0.16953241809434921</v>
      </c>
      <c r="S24">
        <f t="shared" si="11"/>
        <v>181.71381499999998</v>
      </c>
      <c r="T24">
        <f t="shared" si="12"/>
        <v>27.674638131750278</v>
      </c>
      <c r="U24">
        <f t="shared" si="13"/>
        <v>26.41941000000001</v>
      </c>
      <c r="V24">
        <f t="shared" si="14"/>
        <v>3.4589134957462124</v>
      </c>
      <c r="W24">
        <f t="shared" si="15"/>
        <v>70.184347993628421</v>
      </c>
      <c r="X24">
        <f t="shared" si="16"/>
        <v>2.5379999897114947</v>
      </c>
      <c r="Y24">
        <f t="shared" si="17"/>
        <v>3.6161908776895713</v>
      </c>
      <c r="Z24">
        <f t="shared" si="18"/>
        <v>0.92091350603471778</v>
      </c>
      <c r="AA24">
        <f t="shared" si="19"/>
        <v>-110.79218238048382</v>
      </c>
      <c r="AB24">
        <f t="shared" si="20"/>
        <v>98.574110873662178</v>
      </c>
      <c r="AC24">
        <f t="shared" si="21"/>
        <v>8.7776791226996096</v>
      </c>
      <c r="AD24">
        <f t="shared" si="22"/>
        <v>178.27342261587793</v>
      </c>
      <c r="AE24">
        <f t="shared" si="23"/>
        <v>20.452751033220771</v>
      </c>
      <c r="AF24">
        <f t="shared" si="24"/>
        <v>2.5122943850449846</v>
      </c>
      <c r="AG24">
        <f t="shared" si="25"/>
        <v>20.435513037151651</v>
      </c>
      <c r="AH24">
        <v>458.92552327068972</v>
      </c>
      <c r="AI24">
        <v>412.01519999999982</v>
      </c>
      <c r="AJ24">
        <v>2.1304589870212881E-3</v>
      </c>
      <c r="AK24">
        <v>84.08367483205916</v>
      </c>
      <c r="AL24">
        <f t="shared" si="26"/>
        <v>2.5118761347435581</v>
      </c>
      <c r="AM24">
        <v>19.474985653403749</v>
      </c>
      <c r="AN24">
        <v>24.985364962405999</v>
      </c>
      <c r="AO24">
        <v>-1.2522858269736051E-8</v>
      </c>
      <c r="AP24">
        <v>90.517652559269479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53624.009389761886</v>
      </c>
      <c r="AV24">
        <f t="shared" si="30"/>
        <v>956.38849999999991</v>
      </c>
      <c r="AW24">
        <f t="shared" si="31"/>
        <v>765.11079999999993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338</v>
      </c>
      <c r="BC24">
        <v>2</v>
      </c>
      <c r="BD24" t="b">
        <v>0</v>
      </c>
      <c r="BE24">
        <v>1751985449.349999</v>
      </c>
      <c r="BF24">
        <v>401.70423333333332</v>
      </c>
      <c r="BG24">
        <v>449.99246666666681</v>
      </c>
      <c r="BH24">
        <v>24.98832333333333</v>
      </c>
      <c r="BI24">
        <v>19.477043333333331</v>
      </c>
      <c r="BJ24">
        <v>400.11313333333328</v>
      </c>
      <c r="BK24">
        <v>24.72800333333333</v>
      </c>
      <c r="BL24">
        <v>400.00956666666667</v>
      </c>
      <c r="BM24">
        <v>101.4674666666667</v>
      </c>
      <c r="BN24">
        <v>9.997168666666667E-2</v>
      </c>
      <c r="BO24">
        <v>27.175370000000001</v>
      </c>
      <c r="BP24">
        <v>26.41941000000001</v>
      </c>
      <c r="BQ24">
        <v>999.9000000000002</v>
      </c>
      <c r="BR24">
        <v>0</v>
      </c>
      <c r="BS24">
        <v>0</v>
      </c>
      <c r="BT24">
        <v>10000.433333333331</v>
      </c>
      <c r="BU24">
        <v>956.38849999999991</v>
      </c>
      <c r="BV24">
        <v>17.047199999999989</v>
      </c>
      <c r="BW24">
        <v>-48.288313333333328</v>
      </c>
      <c r="BX24">
        <v>411.99919999999997</v>
      </c>
      <c r="BY24">
        <v>458.93116666666663</v>
      </c>
      <c r="BZ24">
        <v>5.5112616666666669</v>
      </c>
      <c r="CA24">
        <v>449.99246666666681</v>
      </c>
      <c r="CB24">
        <v>19.477043333333331</v>
      </c>
      <c r="CC24">
        <v>2.5355013333333338</v>
      </c>
      <c r="CD24">
        <v>1.9762883333333341</v>
      </c>
      <c r="CE24">
        <v>21.256199999999989</v>
      </c>
      <c r="CF24">
        <v>17.255616666666661</v>
      </c>
      <c r="CG24">
        <v>1751983931</v>
      </c>
      <c r="CH24" t="s">
        <v>339</v>
      </c>
      <c r="CI24">
        <v>1751983930</v>
      </c>
      <c r="CJ24">
        <v>1751983931</v>
      </c>
      <c r="CK24">
        <v>5</v>
      </c>
      <c r="CL24">
        <v>-0.123</v>
      </c>
      <c r="CM24">
        <v>4.2000000000000003E-2</v>
      </c>
      <c r="CN24">
        <v>2.0179999999999998</v>
      </c>
      <c r="CO24">
        <v>0.26</v>
      </c>
      <c r="CP24">
        <v>450</v>
      </c>
      <c r="CQ24">
        <v>20</v>
      </c>
      <c r="CR24">
        <v>0.05</v>
      </c>
      <c r="CS24">
        <v>0.01</v>
      </c>
      <c r="CT24">
        <v>-48.296634146341461</v>
      </c>
      <c r="CU24">
        <v>0.1314898954703887</v>
      </c>
      <c r="CV24">
        <v>4.0753887199042119E-2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5.5121102439024394</v>
      </c>
      <c r="DC24">
        <v>-1.1208710801399629E-2</v>
      </c>
      <c r="DD24">
        <v>1.946096139561003E-3</v>
      </c>
      <c r="DE24">
        <v>1</v>
      </c>
      <c r="DF24">
        <v>2</v>
      </c>
      <c r="DG24">
        <v>2</v>
      </c>
      <c r="DH24" t="s">
        <v>340</v>
      </c>
      <c r="DI24">
        <v>3.0245099999999998</v>
      </c>
      <c r="DJ24">
        <v>2.6914600000000002</v>
      </c>
      <c r="DK24">
        <v>9.3289200000000003E-2</v>
      </c>
      <c r="DL24">
        <v>0.10243099999999999</v>
      </c>
      <c r="DM24">
        <v>0.12287099999999999</v>
      </c>
      <c r="DN24">
        <v>0.104283</v>
      </c>
      <c r="DO24">
        <v>25219.200000000001</v>
      </c>
      <c r="DP24">
        <v>16540.2</v>
      </c>
      <c r="DQ24">
        <v>26394.9</v>
      </c>
      <c r="DR24">
        <v>16750.400000000001</v>
      </c>
      <c r="DS24">
        <v>32936.6</v>
      </c>
      <c r="DT24">
        <v>19610</v>
      </c>
      <c r="DU24">
        <v>38456.699999999997</v>
      </c>
      <c r="DV24">
        <v>22209.3</v>
      </c>
      <c r="DW24">
        <v>1.7974600000000001</v>
      </c>
      <c r="DX24">
        <v>2.1643599999999998</v>
      </c>
      <c r="DY24">
        <v>4.62949E-2</v>
      </c>
      <c r="DZ24">
        <v>0</v>
      </c>
      <c r="EA24">
        <v>25.653400000000001</v>
      </c>
      <c r="EB24">
        <v>999.9</v>
      </c>
      <c r="EC24">
        <v>55.6</v>
      </c>
      <c r="ED24">
        <v>33.9</v>
      </c>
      <c r="EE24">
        <v>29.115200000000002</v>
      </c>
      <c r="EF24">
        <v>62.654800000000002</v>
      </c>
      <c r="EG24">
        <v>35.304499999999997</v>
      </c>
      <c r="EH24">
        <v>1</v>
      </c>
      <c r="EI24">
        <v>0.10986600000000001</v>
      </c>
      <c r="EJ24">
        <v>0.29318100000000002</v>
      </c>
      <c r="EK24">
        <v>20.326000000000001</v>
      </c>
      <c r="EL24">
        <v>5.2523900000000001</v>
      </c>
      <c r="EM24">
        <v>11.962</v>
      </c>
      <c r="EN24">
        <v>4.9898400000000001</v>
      </c>
      <c r="EO24">
        <v>3.2914599999999998</v>
      </c>
      <c r="EP24">
        <v>9999</v>
      </c>
      <c r="EQ24">
        <v>9999</v>
      </c>
      <c r="ER24">
        <v>9999</v>
      </c>
      <c r="ES24">
        <v>999.9</v>
      </c>
      <c r="ET24">
        <v>4.9727499999999996</v>
      </c>
      <c r="EU24">
        <v>1.8719399999999999</v>
      </c>
      <c r="EV24">
        <v>1.87218</v>
      </c>
      <c r="EW24">
        <v>1.87724</v>
      </c>
      <c r="EX24">
        <v>1.8713500000000001</v>
      </c>
      <c r="EY24">
        <v>1.8721000000000001</v>
      </c>
      <c r="EZ24">
        <v>1.8717999999999999</v>
      </c>
      <c r="FA24">
        <v>1.8688100000000001</v>
      </c>
      <c r="FB24">
        <v>0</v>
      </c>
      <c r="FC24">
        <v>0</v>
      </c>
      <c r="FD24">
        <v>0</v>
      </c>
      <c r="FE24">
        <v>0</v>
      </c>
      <c r="FF24" t="s">
        <v>341</v>
      </c>
      <c r="FG24" t="s">
        <v>342</v>
      </c>
      <c r="FH24" t="s">
        <v>343</v>
      </c>
      <c r="FI24" t="s">
        <v>343</v>
      </c>
      <c r="FJ24" t="s">
        <v>343</v>
      </c>
      <c r="FK24" t="s">
        <v>343</v>
      </c>
      <c r="FL24">
        <v>0</v>
      </c>
      <c r="FM24">
        <v>100</v>
      </c>
      <c r="FN24">
        <v>100</v>
      </c>
      <c r="FO24">
        <v>1.591</v>
      </c>
      <c r="FP24">
        <v>0.26029999999999998</v>
      </c>
      <c r="FQ24">
        <v>-1.7211922109494671</v>
      </c>
      <c r="FR24">
        <v>7.6898218637449396E-3</v>
      </c>
      <c r="FS24">
        <v>1.5097418776848419E-6</v>
      </c>
      <c r="FT24">
        <v>-9.8458676114205118E-11</v>
      </c>
      <c r="FU24">
        <v>0.26031499999999502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25.5</v>
      </c>
      <c r="GD24">
        <v>25.4</v>
      </c>
      <c r="GE24">
        <v>1.1059600000000001</v>
      </c>
      <c r="GF24">
        <v>2.66113</v>
      </c>
      <c r="GG24">
        <v>1.79932</v>
      </c>
      <c r="GH24">
        <v>2.3779300000000001</v>
      </c>
      <c r="GI24">
        <v>1.5979000000000001</v>
      </c>
      <c r="GJ24">
        <v>2.4706999999999999</v>
      </c>
      <c r="GK24">
        <v>37.241999999999997</v>
      </c>
      <c r="GL24">
        <v>24.157499999999999</v>
      </c>
      <c r="GM24">
        <v>18</v>
      </c>
      <c r="GN24">
        <v>370.35300000000001</v>
      </c>
      <c r="GO24">
        <v>661.02300000000002</v>
      </c>
      <c r="GP24">
        <v>25.830100000000002</v>
      </c>
      <c r="GQ24">
        <v>28.524100000000001</v>
      </c>
      <c r="GR24">
        <v>30</v>
      </c>
      <c r="GS24">
        <v>28.463699999999999</v>
      </c>
      <c r="GT24">
        <v>28.496600000000001</v>
      </c>
      <c r="GU24">
        <v>22.104399999999998</v>
      </c>
      <c r="GV24">
        <v>39.482199999999999</v>
      </c>
      <c r="GW24">
        <v>0</v>
      </c>
      <c r="GX24">
        <v>25.83</v>
      </c>
      <c r="GY24">
        <v>450</v>
      </c>
      <c r="GZ24">
        <v>19.5</v>
      </c>
      <c r="HA24">
        <v>100.307</v>
      </c>
      <c r="HB24">
        <v>69.307000000000002</v>
      </c>
    </row>
    <row r="25" spans="1:210" x14ac:dyDescent="0.3">
      <c r="A25">
        <v>9</v>
      </c>
      <c r="B25">
        <v>1751985637.5999999</v>
      </c>
      <c r="C25">
        <v>1444.099999904633</v>
      </c>
      <c r="D25" t="s">
        <v>358</v>
      </c>
      <c r="E25" t="s">
        <v>359</v>
      </c>
      <c r="F25">
        <v>15</v>
      </c>
      <c r="G25">
        <v>1751985629.849999</v>
      </c>
      <c r="H25">
        <f t="shared" si="0"/>
        <v>2.4573126320012692E-3</v>
      </c>
      <c r="I25">
        <f t="shared" si="1"/>
        <v>2.457312632001269</v>
      </c>
      <c r="J25">
        <f t="shared" si="2"/>
        <v>26.410384845342882</v>
      </c>
      <c r="K25">
        <f t="shared" si="3"/>
        <v>537.60479999999995</v>
      </c>
      <c r="L25">
        <f t="shared" si="4"/>
        <v>369.35621725396533</v>
      </c>
      <c r="M25">
        <f t="shared" si="5"/>
        <v>37.515307662043625</v>
      </c>
      <c r="N25">
        <f t="shared" si="6"/>
        <v>54.604223593517716</v>
      </c>
      <c r="O25">
        <f t="shared" si="7"/>
        <v>0.27566540187681599</v>
      </c>
      <c r="P25">
        <f t="shared" si="8"/>
        <v>2.418980041190157</v>
      </c>
      <c r="Q25">
        <f t="shared" si="9"/>
        <v>0.25956260129913084</v>
      </c>
      <c r="R25">
        <f t="shared" si="10"/>
        <v>0.1635956022827601</v>
      </c>
      <c r="S25">
        <f t="shared" si="11"/>
        <v>181.74301166666666</v>
      </c>
      <c r="T25">
        <f t="shared" si="12"/>
        <v>27.692460642933103</v>
      </c>
      <c r="U25">
        <f t="shared" si="13"/>
        <v>26.416213333333339</v>
      </c>
      <c r="V25">
        <f t="shared" si="14"/>
        <v>3.4582613216417379</v>
      </c>
      <c r="W25">
        <f t="shared" si="15"/>
        <v>69.822713685320323</v>
      </c>
      <c r="X25">
        <f t="shared" si="16"/>
        <v>2.5250124522063544</v>
      </c>
      <c r="Y25">
        <f t="shared" si="17"/>
        <v>3.6163195598300248</v>
      </c>
      <c r="Z25">
        <f t="shared" si="18"/>
        <v>0.93324886943538354</v>
      </c>
      <c r="AA25">
        <f t="shared" si="19"/>
        <v>-108.36748707125597</v>
      </c>
      <c r="AB25">
        <f t="shared" si="20"/>
        <v>99.082295319652275</v>
      </c>
      <c r="AC25">
        <f t="shared" si="21"/>
        <v>8.8217265929571287</v>
      </c>
      <c r="AD25">
        <f t="shared" si="22"/>
        <v>181.2795465080201</v>
      </c>
      <c r="AE25">
        <f t="shared" si="23"/>
        <v>26.410384845342882</v>
      </c>
      <c r="AF25">
        <f t="shared" si="24"/>
        <v>2.457312632001269</v>
      </c>
      <c r="AG25">
        <f t="shared" si="25"/>
        <v>26.386381240218867</v>
      </c>
      <c r="AH25">
        <v>611.88672030704151</v>
      </c>
      <c r="AI25">
        <v>551.3338303030306</v>
      </c>
      <c r="AJ25">
        <v>3.7845204598924132E-4</v>
      </c>
      <c r="AK25">
        <v>84.08367483205916</v>
      </c>
      <c r="AL25">
        <f t="shared" si="26"/>
        <v>2.4536968624489481</v>
      </c>
      <c r="AM25">
        <v>19.468390393647791</v>
      </c>
      <c r="AN25">
        <v>24.852144060150369</v>
      </c>
      <c r="AO25">
        <v>-4.2941924290390538E-7</v>
      </c>
      <c r="AP25">
        <v>90.517652559269479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53633.940447189525</v>
      </c>
      <c r="AV25">
        <f t="shared" si="30"/>
        <v>956.54216666666662</v>
      </c>
      <c r="AW25">
        <f t="shared" si="31"/>
        <v>765.23373333333336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338</v>
      </c>
      <c r="BC25">
        <v>2</v>
      </c>
      <c r="BD25" t="b">
        <v>0</v>
      </c>
      <c r="BE25">
        <v>1751985629.849999</v>
      </c>
      <c r="BF25">
        <v>537.60479999999995</v>
      </c>
      <c r="BG25">
        <v>600.00213333333329</v>
      </c>
      <c r="BH25">
        <v>24.859960000000001</v>
      </c>
      <c r="BI25">
        <v>19.468319999999999</v>
      </c>
      <c r="BJ25">
        <v>534.79669999999999</v>
      </c>
      <c r="BK25">
        <v>24.59965333333334</v>
      </c>
      <c r="BL25">
        <v>399.98989999999992</v>
      </c>
      <c r="BM25">
        <v>101.4694333333334</v>
      </c>
      <c r="BN25">
        <v>0.1000161833333333</v>
      </c>
      <c r="BO25">
        <v>27.17597666666666</v>
      </c>
      <c r="BP25">
        <v>26.416213333333339</v>
      </c>
      <c r="BQ25">
        <v>999.9000000000002</v>
      </c>
      <c r="BR25">
        <v>0</v>
      </c>
      <c r="BS25">
        <v>0</v>
      </c>
      <c r="BT25">
        <v>10002.183333333331</v>
      </c>
      <c r="BU25">
        <v>956.54216666666662</v>
      </c>
      <c r="BV25">
        <v>17.047199999999989</v>
      </c>
      <c r="BW25">
        <v>-62.397273333333331</v>
      </c>
      <c r="BX25">
        <v>551.31033333333335</v>
      </c>
      <c r="BY25">
        <v>611.91506666666669</v>
      </c>
      <c r="BZ25">
        <v>5.3916483333333334</v>
      </c>
      <c r="CA25">
        <v>600.00213333333329</v>
      </c>
      <c r="CB25">
        <v>19.468319999999999</v>
      </c>
      <c r="CC25">
        <v>2.5225256666666671</v>
      </c>
      <c r="CD25">
        <v>1.975438333333333</v>
      </c>
      <c r="CE25">
        <v>21.172576666666671</v>
      </c>
      <c r="CF25">
        <v>17.248823333333331</v>
      </c>
      <c r="CG25">
        <v>1751983931</v>
      </c>
      <c r="CH25" t="s">
        <v>339</v>
      </c>
      <c r="CI25">
        <v>1751983930</v>
      </c>
      <c r="CJ25">
        <v>1751983931</v>
      </c>
      <c r="CK25">
        <v>5</v>
      </c>
      <c r="CL25">
        <v>-0.123</v>
      </c>
      <c r="CM25">
        <v>4.2000000000000003E-2</v>
      </c>
      <c r="CN25">
        <v>2.0179999999999998</v>
      </c>
      <c r="CO25">
        <v>0.26</v>
      </c>
      <c r="CP25">
        <v>450</v>
      </c>
      <c r="CQ25">
        <v>20</v>
      </c>
      <c r="CR25">
        <v>0.05</v>
      </c>
      <c r="CS25">
        <v>0.01</v>
      </c>
      <c r="CT25">
        <v>-62.425475000000013</v>
      </c>
      <c r="CU25">
        <v>0.44393245778629348</v>
      </c>
      <c r="CV25">
        <v>5.6695347031303717E-2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5.3960167499999994</v>
      </c>
      <c r="DC25">
        <v>-7.1797260788012532E-2</v>
      </c>
      <c r="DD25">
        <v>7.0683563816136786E-3</v>
      </c>
      <c r="DE25">
        <v>1</v>
      </c>
      <c r="DF25">
        <v>2</v>
      </c>
      <c r="DG25">
        <v>2</v>
      </c>
      <c r="DH25" t="s">
        <v>340</v>
      </c>
      <c r="DI25">
        <v>3.0246300000000002</v>
      </c>
      <c r="DJ25">
        <v>2.69137</v>
      </c>
      <c r="DK25">
        <v>0.11554300000000001</v>
      </c>
      <c r="DL25">
        <v>0.12597800000000001</v>
      </c>
      <c r="DM25">
        <v>0.12241</v>
      </c>
      <c r="DN25">
        <v>0.104256</v>
      </c>
      <c r="DO25">
        <v>24600.799999999999</v>
      </c>
      <c r="DP25">
        <v>16106.1</v>
      </c>
      <c r="DQ25">
        <v>26395.5</v>
      </c>
      <c r="DR25">
        <v>16750.2</v>
      </c>
      <c r="DS25">
        <v>32955.800000000003</v>
      </c>
      <c r="DT25">
        <v>19610.7</v>
      </c>
      <c r="DU25">
        <v>38457.800000000003</v>
      </c>
      <c r="DV25">
        <v>22209</v>
      </c>
      <c r="DW25">
        <v>1.7979000000000001</v>
      </c>
      <c r="DX25">
        <v>2.1644999999999999</v>
      </c>
      <c r="DY25">
        <v>4.6342599999999998E-2</v>
      </c>
      <c r="DZ25">
        <v>0</v>
      </c>
      <c r="EA25">
        <v>25.661999999999999</v>
      </c>
      <c r="EB25">
        <v>999.9</v>
      </c>
      <c r="EC25">
        <v>55.5</v>
      </c>
      <c r="ED25">
        <v>33.9</v>
      </c>
      <c r="EE25">
        <v>29.062899999999999</v>
      </c>
      <c r="EF25">
        <v>62.474800000000002</v>
      </c>
      <c r="EG25">
        <v>35.156199999999998</v>
      </c>
      <c r="EH25">
        <v>1</v>
      </c>
      <c r="EI25">
        <v>0.109915</v>
      </c>
      <c r="EJ25">
        <v>0.30053999999999997</v>
      </c>
      <c r="EK25">
        <v>20.3263</v>
      </c>
      <c r="EL25">
        <v>5.2517899999999997</v>
      </c>
      <c r="EM25">
        <v>11.962</v>
      </c>
      <c r="EN25">
        <v>4.98956</v>
      </c>
      <c r="EO25">
        <v>3.2915800000000002</v>
      </c>
      <c r="EP25">
        <v>9999</v>
      </c>
      <c r="EQ25">
        <v>9999</v>
      </c>
      <c r="ER25">
        <v>9999</v>
      </c>
      <c r="ES25">
        <v>999.9</v>
      </c>
      <c r="ET25">
        <v>4.9727499999999996</v>
      </c>
      <c r="EU25">
        <v>1.87192</v>
      </c>
      <c r="EV25">
        <v>1.8721399999999999</v>
      </c>
      <c r="EW25">
        <v>1.87717</v>
      </c>
      <c r="EX25">
        <v>1.87134</v>
      </c>
      <c r="EY25">
        <v>1.8721000000000001</v>
      </c>
      <c r="EZ25">
        <v>1.8717900000000001</v>
      </c>
      <c r="FA25">
        <v>1.86876</v>
      </c>
      <c r="FB25">
        <v>0</v>
      </c>
      <c r="FC25">
        <v>0</v>
      </c>
      <c r="FD25">
        <v>0</v>
      </c>
      <c r="FE25">
        <v>0</v>
      </c>
      <c r="FF25" t="s">
        <v>341</v>
      </c>
      <c r="FG25" t="s">
        <v>342</v>
      </c>
      <c r="FH25" t="s">
        <v>343</v>
      </c>
      <c r="FI25" t="s">
        <v>343</v>
      </c>
      <c r="FJ25" t="s">
        <v>343</v>
      </c>
      <c r="FK25" t="s">
        <v>343</v>
      </c>
      <c r="FL25">
        <v>0</v>
      </c>
      <c r="FM25">
        <v>100</v>
      </c>
      <c r="FN25">
        <v>100</v>
      </c>
      <c r="FO25">
        <v>2.8079999999999998</v>
      </c>
      <c r="FP25">
        <v>0.26029999999999998</v>
      </c>
      <c r="FQ25">
        <v>-1.7211922109494671</v>
      </c>
      <c r="FR25">
        <v>7.6898218637449396E-3</v>
      </c>
      <c r="FS25">
        <v>1.5097418776848419E-6</v>
      </c>
      <c r="FT25">
        <v>-9.8458676114205118E-11</v>
      </c>
      <c r="FU25">
        <v>0.26031499999999502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28.5</v>
      </c>
      <c r="GD25">
        <v>28.4</v>
      </c>
      <c r="GE25">
        <v>1.3940399999999999</v>
      </c>
      <c r="GF25">
        <v>2.65625</v>
      </c>
      <c r="GG25">
        <v>1.7981</v>
      </c>
      <c r="GH25">
        <v>2.3779300000000001</v>
      </c>
      <c r="GI25">
        <v>1.5979000000000001</v>
      </c>
      <c r="GJ25">
        <v>2.4694799999999999</v>
      </c>
      <c r="GK25">
        <v>37.265900000000002</v>
      </c>
      <c r="GL25">
        <v>24.157499999999999</v>
      </c>
      <c r="GM25">
        <v>18</v>
      </c>
      <c r="GN25">
        <v>370.58199999999999</v>
      </c>
      <c r="GO25">
        <v>661.14300000000003</v>
      </c>
      <c r="GP25">
        <v>25.830300000000001</v>
      </c>
      <c r="GQ25">
        <v>28.524100000000001</v>
      </c>
      <c r="GR25">
        <v>30.0001</v>
      </c>
      <c r="GS25">
        <v>28.463699999999999</v>
      </c>
      <c r="GT25">
        <v>28.496600000000001</v>
      </c>
      <c r="GU25">
        <v>27.859400000000001</v>
      </c>
      <c r="GV25">
        <v>39.482199999999999</v>
      </c>
      <c r="GW25">
        <v>0</v>
      </c>
      <c r="GX25">
        <v>25.83</v>
      </c>
      <c r="GY25">
        <v>600</v>
      </c>
      <c r="GZ25">
        <v>19.5</v>
      </c>
      <c r="HA25">
        <v>100.31</v>
      </c>
      <c r="HB25">
        <v>69.306100000000001</v>
      </c>
    </row>
    <row r="26" spans="1:210" x14ac:dyDescent="0.3">
      <c r="A26">
        <v>10</v>
      </c>
      <c r="B26">
        <v>1751985818.0999999</v>
      </c>
      <c r="C26">
        <v>1624.599999904633</v>
      </c>
      <c r="D26" t="s">
        <v>360</v>
      </c>
      <c r="E26" t="s">
        <v>361</v>
      </c>
      <c r="F26">
        <v>15</v>
      </c>
      <c r="G26">
        <v>1751985810.349999</v>
      </c>
      <c r="H26">
        <f t="shared" si="0"/>
        <v>2.3126270984229228E-3</v>
      </c>
      <c r="I26">
        <f t="shared" si="1"/>
        <v>2.3126270984229227</v>
      </c>
      <c r="J26">
        <f t="shared" si="2"/>
        <v>32.905625810232586</v>
      </c>
      <c r="K26">
        <f t="shared" si="3"/>
        <v>821.69483333333335</v>
      </c>
      <c r="L26">
        <f t="shared" si="4"/>
        <v>589.2117893440776</v>
      </c>
      <c r="M26">
        <f t="shared" si="5"/>
        <v>59.845902733316784</v>
      </c>
      <c r="N26">
        <f t="shared" si="6"/>
        <v>83.459071867652682</v>
      </c>
      <c r="O26">
        <f t="shared" si="7"/>
        <v>0.24911584466863709</v>
      </c>
      <c r="P26">
        <f t="shared" si="8"/>
        <v>2.4182679093636485</v>
      </c>
      <c r="Q26">
        <f t="shared" si="9"/>
        <v>0.23588249462844924</v>
      </c>
      <c r="R26">
        <f t="shared" si="10"/>
        <v>0.14855739869055923</v>
      </c>
      <c r="S26">
        <f t="shared" si="11"/>
        <v>181.772392</v>
      </c>
      <c r="T26">
        <f t="shared" si="12"/>
        <v>27.740960487239473</v>
      </c>
      <c r="U26">
        <f t="shared" si="13"/>
        <v>26.42192</v>
      </c>
      <c r="V26">
        <f t="shared" si="14"/>
        <v>3.4594256534947254</v>
      </c>
      <c r="W26">
        <f t="shared" si="15"/>
        <v>68.918962516709072</v>
      </c>
      <c r="X26">
        <f t="shared" si="16"/>
        <v>2.4928021502666153</v>
      </c>
      <c r="Y26">
        <f t="shared" si="17"/>
        <v>3.6170047534628043</v>
      </c>
      <c r="Z26">
        <f t="shared" si="18"/>
        <v>0.96662350322811008</v>
      </c>
      <c r="AA26">
        <f t="shared" si="19"/>
        <v>-101.98685504045089</v>
      </c>
      <c r="AB26">
        <f t="shared" si="20"/>
        <v>98.730234046315871</v>
      </c>
      <c r="AC26">
        <f t="shared" si="21"/>
        <v>8.7933627229141731</v>
      </c>
      <c r="AD26">
        <f t="shared" si="22"/>
        <v>187.30913372877916</v>
      </c>
      <c r="AE26">
        <f t="shared" si="23"/>
        <v>32.905625810232586</v>
      </c>
      <c r="AF26">
        <f t="shared" si="24"/>
        <v>2.3126270984229227</v>
      </c>
      <c r="AG26">
        <f t="shared" si="25"/>
        <v>32.880223875821351</v>
      </c>
      <c r="AH26">
        <v>917.86129988643597</v>
      </c>
      <c r="AI26">
        <v>842.40483636363535</v>
      </c>
      <c r="AJ26">
        <v>7.3267374647220174E-4</v>
      </c>
      <c r="AK26">
        <v>84.08367483205916</v>
      </c>
      <c r="AL26">
        <f t="shared" si="26"/>
        <v>2.3042365830403759</v>
      </c>
      <c r="AM26">
        <v>19.467034749893521</v>
      </c>
      <c r="AN26">
        <v>24.524502406015031</v>
      </c>
      <c r="AO26">
        <v>-2.334205418361628E-6</v>
      </c>
      <c r="AP26">
        <v>90.517652559269479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53609.551408565967</v>
      </c>
      <c r="AV26">
        <f t="shared" si="30"/>
        <v>956.69679999999994</v>
      </c>
      <c r="AW26">
        <f t="shared" si="31"/>
        <v>765.35744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338</v>
      </c>
      <c r="BC26">
        <v>2</v>
      </c>
      <c r="BD26" t="b">
        <v>0</v>
      </c>
      <c r="BE26">
        <v>1751985810.349999</v>
      </c>
      <c r="BF26">
        <v>821.69483333333335</v>
      </c>
      <c r="BG26">
        <v>900.00906666666663</v>
      </c>
      <c r="BH26">
        <v>24.542840000000002</v>
      </c>
      <c r="BI26">
        <v>19.467073333333339</v>
      </c>
      <c r="BJ26">
        <v>816.18743333333327</v>
      </c>
      <c r="BK26">
        <v>24.282513333333331</v>
      </c>
      <c r="BL26">
        <v>399.99509999999998</v>
      </c>
      <c r="BM26">
        <v>101.46946666666661</v>
      </c>
      <c r="BN26">
        <v>9.9958480000000002E-2</v>
      </c>
      <c r="BO26">
        <v>27.179206666666669</v>
      </c>
      <c r="BP26">
        <v>26.42192</v>
      </c>
      <c r="BQ26">
        <v>999.9000000000002</v>
      </c>
      <c r="BR26">
        <v>0</v>
      </c>
      <c r="BS26">
        <v>0</v>
      </c>
      <c r="BT26">
        <v>9997.5499999999993</v>
      </c>
      <c r="BU26">
        <v>956.69679999999994</v>
      </c>
      <c r="BV26">
        <v>17.047199999999989</v>
      </c>
      <c r="BW26">
        <v>-78.314190000000011</v>
      </c>
      <c r="BX26">
        <v>842.36886666666658</v>
      </c>
      <c r="BY26">
        <v>917.87746666666658</v>
      </c>
      <c r="BZ26">
        <v>5.0757560000000002</v>
      </c>
      <c r="CA26">
        <v>900.00906666666663</v>
      </c>
      <c r="CB26">
        <v>19.467073333333339</v>
      </c>
      <c r="CC26">
        <v>2.4903476666666671</v>
      </c>
      <c r="CD26">
        <v>1.975314</v>
      </c>
      <c r="CE26">
        <v>20.963546666666669</v>
      </c>
      <c r="CF26">
        <v>17.24783333333334</v>
      </c>
      <c r="CG26">
        <v>1751983931</v>
      </c>
      <c r="CH26" t="s">
        <v>339</v>
      </c>
      <c r="CI26">
        <v>1751983930</v>
      </c>
      <c r="CJ26">
        <v>1751983931</v>
      </c>
      <c r="CK26">
        <v>5</v>
      </c>
      <c r="CL26">
        <v>-0.123</v>
      </c>
      <c r="CM26">
        <v>4.2000000000000003E-2</v>
      </c>
      <c r="CN26">
        <v>2.0179999999999998</v>
      </c>
      <c r="CO26">
        <v>0.26</v>
      </c>
      <c r="CP26">
        <v>450</v>
      </c>
      <c r="CQ26">
        <v>20</v>
      </c>
      <c r="CR26">
        <v>0.05</v>
      </c>
      <c r="CS26">
        <v>0.01</v>
      </c>
      <c r="CT26">
        <v>-78.308092682926826</v>
      </c>
      <c r="CU26">
        <v>-4.398606271777945E-3</v>
      </c>
      <c r="CV26">
        <v>6.075371870679544E-2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5.0816575609756098</v>
      </c>
      <c r="DC26">
        <v>-0.13626627177699929</v>
      </c>
      <c r="DD26">
        <v>1.352046773265253E-2</v>
      </c>
      <c r="DE26">
        <v>0</v>
      </c>
      <c r="DF26">
        <v>1</v>
      </c>
      <c r="DG26">
        <v>2</v>
      </c>
      <c r="DH26" t="s">
        <v>362</v>
      </c>
      <c r="DI26">
        <v>3.0244599999999999</v>
      </c>
      <c r="DJ26">
        <v>2.6911499999999999</v>
      </c>
      <c r="DK26">
        <v>0.154278</v>
      </c>
      <c r="DL26">
        <v>0.165354</v>
      </c>
      <c r="DM26">
        <v>0.12127300000000001</v>
      </c>
      <c r="DN26">
        <v>0.104259</v>
      </c>
      <c r="DO26">
        <v>23523.599999999999</v>
      </c>
      <c r="DP26">
        <v>15381.1</v>
      </c>
      <c r="DQ26">
        <v>26395.8</v>
      </c>
      <c r="DR26">
        <v>16750.900000000001</v>
      </c>
      <c r="DS26">
        <v>33000</v>
      </c>
      <c r="DT26">
        <v>19612.099999999999</v>
      </c>
      <c r="DU26">
        <v>38457.5</v>
      </c>
      <c r="DV26">
        <v>22210</v>
      </c>
      <c r="DW26">
        <v>1.79718</v>
      </c>
      <c r="DX26">
        <v>2.1656599999999999</v>
      </c>
      <c r="DY26">
        <v>4.6384300000000003E-2</v>
      </c>
      <c r="DZ26">
        <v>0</v>
      </c>
      <c r="EA26">
        <v>25.661999999999999</v>
      </c>
      <c r="EB26">
        <v>999.9</v>
      </c>
      <c r="EC26">
        <v>55.5</v>
      </c>
      <c r="ED26">
        <v>33.9</v>
      </c>
      <c r="EE26">
        <v>29.0624</v>
      </c>
      <c r="EF26">
        <v>62.824800000000003</v>
      </c>
      <c r="EG26">
        <v>35.248399999999997</v>
      </c>
      <c r="EH26">
        <v>1</v>
      </c>
      <c r="EI26">
        <v>0.109791</v>
      </c>
      <c r="EJ26">
        <v>0.29842299999999999</v>
      </c>
      <c r="EK26">
        <v>20.3262</v>
      </c>
      <c r="EL26">
        <v>5.2515499999999999</v>
      </c>
      <c r="EM26">
        <v>11.962</v>
      </c>
      <c r="EN26">
        <v>4.9896399999999996</v>
      </c>
      <c r="EO26">
        <v>3.2915000000000001</v>
      </c>
      <c r="EP26">
        <v>9999</v>
      </c>
      <c r="EQ26">
        <v>9999</v>
      </c>
      <c r="ER26">
        <v>9999</v>
      </c>
      <c r="ES26">
        <v>999.9</v>
      </c>
      <c r="ET26">
        <v>4.9727300000000003</v>
      </c>
      <c r="EU26">
        <v>1.87192</v>
      </c>
      <c r="EV26">
        <v>1.87219</v>
      </c>
      <c r="EW26">
        <v>1.8771800000000001</v>
      </c>
      <c r="EX26">
        <v>1.87134</v>
      </c>
      <c r="EY26">
        <v>1.8721000000000001</v>
      </c>
      <c r="EZ26">
        <v>1.8717999999999999</v>
      </c>
      <c r="FA26">
        <v>1.8687800000000001</v>
      </c>
      <c r="FB26">
        <v>0</v>
      </c>
      <c r="FC26">
        <v>0</v>
      </c>
      <c r="FD26">
        <v>0</v>
      </c>
      <c r="FE26">
        <v>0</v>
      </c>
      <c r="FF26" t="s">
        <v>341</v>
      </c>
      <c r="FG26" t="s">
        <v>342</v>
      </c>
      <c r="FH26" t="s">
        <v>343</v>
      </c>
      <c r="FI26" t="s">
        <v>343</v>
      </c>
      <c r="FJ26" t="s">
        <v>343</v>
      </c>
      <c r="FK26" t="s">
        <v>343</v>
      </c>
      <c r="FL26">
        <v>0</v>
      </c>
      <c r="FM26">
        <v>100</v>
      </c>
      <c r="FN26">
        <v>100</v>
      </c>
      <c r="FO26">
        <v>5.508</v>
      </c>
      <c r="FP26">
        <v>0.26040000000000002</v>
      </c>
      <c r="FQ26">
        <v>-1.7211922109494671</v>
      </c>
      <c r="FR26">
        <v>7.6898218637449396E-3</v>
      </c>
      <c r="FS26">
        <v>1.5097418776848419E-6</v>
      </c>
      <c r="FT26">
        <v>-9.8458676114205118E-11</v>
      </c>
      <c r="FU26">
        <v>0.26031499999999502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31.5</v>
      </c>
      <c r="GD26">
        <v>31.5</v>
      </c>
      <c r="GE26">
        <v>1.93726</v>
      </c>
      <c r="GF26">
        <v>2.6440399999999999</v>
      </c>
      <c r="GG26">
        <v>1.79932</v>
      </c>
      <c r="GH26">
        <v>2.3779300000000001</v>
      </c>
      <c r="GI26">
        <v>1.5979000000000001</v>
      </c>
      <c r="GJ26">
        <v>2.47559</v>
      </c>
      <c r="GK26">
        <v>37.265900000000002</v>
      </c>
      <c r="GL26">
        <v>24.157499999999999</v>
      </c>
      <c r="GM26">
        <v>18</v>
      </c>
      <c r="GN26">
        <v>370.20699999999999</v>
      </c>
      <c r="GO26">
        <v>662.14499999999998</v>
      </c>
      <c r="GP26">
        <v>25.829899999999999</v>
      </c>
      <c r="GQ26">
        <v>28.524100000000001</v>
      </c>
      <c r="GR26">
        <v>30.0001</v>
      </c>
      <c r="GS26">
        <v>28.463699999999999</v>
      </c>
      <c r="GT26">
        <v>28.496600000000001</v>
      </c>
      <c r="GU26">
        <v>38.742600000000003</v>
      </c>
      <c r="GV26">
        <v>39.482199999999999</v>
      </c>
      <c r="GW26">
        <v>0</v>
      </c>
      <c r="GX26">
        <v>25.83</v>
      </c>
      <c r="GY26">
        <v>900</v>
      </c>
      <c r="GZ26">
        <v>19.5</v>
      </c>
      <c r="HA26">
        <v>100.309</v>
      </c>
      <c r="HB26">
        <v>69.309200000000004</v>
      </c>
    </row>
    <row r="27" spans="1:210" x14ac:dyDescent="0.3">
      <c r="A27">
        <v>11</v>
      </c>
      <c r="B27">
        <v>1751985998.5999999</v>
      </c>
      <c r="C27">
        <v>1805.099999904633</v>
      </c>
      <c r="D27" t="s">
        <v>363</v>
      </c>
      <c r="E27" t="s">
        <v>364</v>
      </c>
      <c r="F27">
        <v>15</v>
      </c>
      <c r="G27">
        <v>1751985990.849999</v>
      </c>
      <c r="H27">
        <f t="shared" si="0"/>
        <v>2.1126168196833489E-3</v>
      </c>
      <c r="I27">
        <f t="shared" si="1"/>
        <v>2.1126168196833488</v>
      </c>
      <c r="J27">
        <f t="shared" si="2"/>
        <v>35.468968594969148</v>
      </c>
      <c r="K27">
        <f t="shared" si="3"/>
        <v>1114.952</v>
      </c>
      <c r="L27">
        <f t="shared" si="4"/>
        <v>825.0737011593443</v>
      </c>
      <c r="M27">
        <f t="shared" si="5"/>
        <v>83.807539741372693</v>
      </c>
      <c r="N27">
        <f t="shared" si="6"/>
        <v>113.25216634395777</v>
      </c>
      <c r="O27">
        <f t="shared" si="7"/>
        <v>0.21570288740107491</v>
      </c>
      <c r="P27">
        <f t="shared" si="8"/>
        <v>2.4190642442395922</v>
      </c>
      <c r="Q27">
        <f t="shared" si="9"/>
        <v>0.20570858169122327</v>
      </c>
      <c r="R27">
        <f t="shared" si="10"/>
        <v>0.12942753634357523</v>
      </c>
      <c r="S27">
        <f t="shared" si="11"/>
        <v>181.75121966666669</v>
      </c>
      <c r="T27">
        <f t="shared" si="12"/>
        <v>27.806564006069763</v>
      </c>
      <c r="U27">
        <f t="shared" si="13"/>
        <v>26.423043333333339</v>
      </c>
      <c r="V27">
        <f t="shared" si="14"/>
        <v>3.4596548876409146</v>
      </c>
      <c r="W27">
        <f t="shared" si="15"/>
        <v>67.632058885199811</v>
      </c>
      <c r="X27">
        <f t="shared" si="16"/>
        <v>2.4468058121822422</v>
      </c>
      <c r="Y27">
        <f t="shared" si="17"/>
        <v>3.6178194964247741</v>
      </c>
      <c r="Z27">
        <f t="shared" si="18"/>
        <v>1.0128490754586723</v>
      </c>
      <c r="AA27">
        <f t="shared" si="19"/>
        <v>-93.166401748035682</v>
      </c>
      <c r="AB27">
        <f t="shared" si="20"/>
        <v>99.117044288909469</v>
      </c>
      <c r="AC27">
        <f t="shared" si="21"/>
        <v>8.8251270124676306</v>
      </c>
      <c r="AD27">
        <f t="shared" si="22"/>
        <v>196.52698922000809</v>
      </c>
      <c r="AE27">
        <f t="shared" si="23"/>
        <v>35.468968594969148</v>
      </c>
      <c r="AF27">
        <f t="shared" si="24"/>
        <v>2.1126168196833488</v>
      </c>
      <c r="AG27">
        <f t="shared" si="25"/>
        <v>35.435271906947825</v>
      </c>
      <c r="AH27">
        <v>1223.8384505436161</v>
      </c>
      <c r="AI27">
        <v>1142.515757575758</v>
      </c>
      <c r="AJ27">
        <v>1.6468312413664629E-3</v>
      </c>
      <c r="AK27">
        <v>84.08367483205916</v>
      </c>
      <c r="AL27">
        <f t="shared" si="26"/>
        <v>2.1039690720162358</v>
      </c>
      <c r="AM27">
        <v>19.449132531972939</v>
      </c>
      <c r="AN27">
        <v>24.069038345864641</v>
      </c>
      <c r="AO27">
        <v>-4.5736846594395333E-6</v>
      </c>
      <c r="AP27">
        <v>90.517652559269479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53635.631446479507</v>
      </c>
      <c r="AV27">
        <f t="shared" si="30"/>
        <v>956.58536666666669</v>
      </c>
      <c r="AW27">
        <f t="shared" si="31"/>
        <v>765.26829333333342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338</v>
      </c>
      <c r="BC27">
        <v>2</v>
      </c>
      <c r="BD27" t="b">
        <v>0</v>
      </c>
      <c r="BE27">
        <v>1751985990.849999</v>
      </c>
      <c r="BF27">
        <v>1114.952</v>
      </c>
      <c r="BG27">
        <v>1200.0546666666669</v>
      </c>
      <c r="BH27">
        <v>24.088466666666669</v>
      </c>
      <c r="BI27">
        <v>19.44970666666666</v>
      </c>
      <c r="BJ27">
        <v>1106.448333333333</v>
      </c>
      <c r="BK27">
        <v>23.82815333333334</v>
      </c>
      <c r="BL27">
        <v>400.01086666666669</v>
      </c>
      <c r="BM27">
        <v>101.4758333333333</v>
      </c>
      <c r="BN27">
        <v>9.9989073333333317E-2</v>
      </c>
      <c r="BO27">
        <v>27.183046666666669</v>
      </c>
      <c r="BP27">
        <v>26.423043333333339</v>
      </c>
      <c r="BQ27">
        <v>999.9000000000002</v>
      </c>
      <c r="BR27">
        <v>0</v>
      </c>
      <c r="BS27">
        <v>0</v>
      </c>
      <c r="BT27">
        <v>10002.1</v>
      </c>
      <c r="BU27">
        <v>956.58536666666669</v>
      </c>
      <c r="BV27">
        <v>17.047199999999989</v>
      </c>
      <c r="BW27">
        <v>-85.10378333333334</v>
      </c>
      <c r="BX27">
        <v>1142.471666666667</v>
      </c>
      <c r="BY27">
        <v>1223.8589999999999</v>
      </c>
      <c r="BZ27">
        <v>4.638755333333334</v>
      </c>
      <c r="CA27">
        <v>1200.0546666666669</v>
      </c>
      <c r="CB27">
        <v>19.44970666666666</v>
      </c>
      <c r="CC27">
        <v>2.444396666666667</v>
      </c>
      <c r="CD27">
        <v>1.9736750000000001</v>
      </c>
      <c r="CE27">
        <v>20.660920000000001</v>
      </c>
      <c r="CF27">
        <v>17.234713333333339</v>
      </c>
      <c r="CG27">
        <v>1751983931</v>
      </c>
      <c r="CH27" t="s">
        <v>339</v>
      </c>
      <c r="CI27">
        <v>1751983930</v>
      </c>
      <c r="CJ27">
        <v>1751983931</v>
      </c>
      <c r="CK27">
        <v>5</v>
      </c>
      <c r="CL27">
        <v>-0.123</v>
      </c>
      <c r="CM27">
        <v>4.2000000000000003E-2</v>
      </c>
      <c r="CN27">
        <v>2.0179999999999998</v>
      </c>
      <c r="CO27">
        <v>0.26</v>
      </c>
      <c r="CP27">
        <v>450</v>
      </c>
      <c r="CQ27">
        <v>20</v>
      </c>
      <c r="CR27">
        <v>0.05</v>
      </c>
      <c r="CS27">
        <v>0.01</v>
      </c>
      <c r="CT27">
        <v>-85.097962499999994</v>
      </c>
      <c r="CU27">
        <v>9.2772607880261274E-2</v>
      </c>
      <c r="CV27">
        <v>7.5198220349619052E-2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4.6480342500000003</v>
      </c>
      <c r="DC27">
        <v>-0.1616678048780692</v>
      </c>
      <c r="DD27">
        <v>1.558192685252688E-2</v>
      </c>
      <c r="DE27">
        <v>0</v>
      </c>
      <c r="DF27">
        <v>1</v>
      </c>
      <c r="DG27">
        <v>2</v>
      </c>
      <c r="DH27" t="s">
        <v>362</v>
      </c>
      <c r="DI27">
        <v>3.02468</v>
      </c>
      <c r="DJ27">
        <v>2.6912500000000001</v>
      </c>
      <c r="DK27">
        <v>0.18745200000000001</v>
      </c>
      <c r="DL27">
        <v>0.19831499999999999</v>
      </c>
      <c r="DM27">
        <v>0.119685</v>
      </c>
      <c r="DN27">
        <v>0.104197</v>
      </c>
      <c r="DO27">
        <v>22599.7</v>
      </c>
      <c r="DP27">
        <v>14772.9</v>
      </c>
      <c r="DQ27">
        <v>26394.7</v>
      </c>
      <c r="DR27">
        <v>16750.2</v>
      </c>
      <c r="DS27">
        <v>33060.400000000001</v>
      </c>
      <c r="DT27">
        <v>19612.5</v>
      </c>
      <c r="DU27">
        <v>38455.9</v>
      </c>
      <c r="DV27">
        <v>22208.400000000001</v>
      </c>
      <c r="DW27">
        <v>1.79762</v>
      </c>
      <c r="DX27">
        <v>2.1657799999999998</v>
      </c>
      <c r="DY27">
        <v>4.6503500000000003E-2</v>
      </c>
      <c r="DZ27">
        <v>0</v>
      </c>
      <c r="EA27">
        <v>25.653400000000001</v>
      </c>
      <c r="EB27">
        <v>999.9</v>
      </c>
      <c r="EC27">
        <v>55.5</v>
      </c>
      <c r="ED27">
        <v>33.9</v>
      </c>
      <c r="EE27">
        <v>29.058499999999999</v>
      </c>
      <c r="EF27">
        <v>62.584800000000001</v>
      </c>
      <c r="EG27">
        <v>35.192300000000003</v>
      </c>
      <c r="EH27">
        <v>1</v>
      </c>
      <c r="EI27">
        <v>0.109628</v>
      </c>
      <c r="EJ27">
        <v>0.29453600000000002</v>
      </c>
      <c r="EK27">
        <v>20.326699999999999</v>
      </c>
      <c r="EL27">
        <v>5.2520300000000004</v>
      </c>
      <c r="EM27">
        <v>11.962</v>
      </c>
      <c r="EN27">
        <v>4.9896399999999996</v>
      </c>
      <c r="EO27">
        <v>3.2915800000000002</v>
      </c>
      <c r="EP27">
        <v>9999</v>
      </c>
      <c r="EQ27">
        <v>9999</v>
      </c>
      <c r="ER27">
        <v>9999</v>
      </c>
      <c r="ES27">
        <v>999.9</v>
      </c>
      <c r="ET27">
        <v>4.9727499999999996</v>
      </c>
      <c r="EU27">
        <v>1.87195</v>
      </c>
      <c r="EV27">
        <v>1.8722099999999999</v>
      </c>
      <c r="EW27">
        <v>1.87723</v>
      </c>
      <c r="EX27">
        <v>1.87134</v>
      </c>
      <c r="EY27">
        <v>1.8721000000000001</v>
      </c>
      <c r="EZ27">
        <v>1.8717999999999999</v>
      </c>
      <c r="FA27">
        <v>1.86876</v>
      </c>
      <c r="FB27">
        <v>0</v>
      </c>
      <c r="FC27">
        <v>0</v>
      </c>
      <c r="FD27">
        <v>0</v>
      </c>
      <c r="FE27">
        <v>0</v>
      </c>
      <c r="FF27" t="s">
        <v>341</v>
      </c>
      <c r="FG27" t="s">
        <v>342</v>
      </c>
      <c r="FH27" t="s">
        <v>343</v>
      </c>
      <c r="FI27" t="s">
        <v>343</v>
      </c>
      <c r="FJ27" t="s">
        <v>343</v>
      </c>
      <c r="FK27" t="s">
        <v>343</v>
      </c>
      <c r="FL27">
        <v>0</v>
      </c>
      <c r="FM27">
        <v>100</v>
      </c>
      <c r="FN27">
        <v>100</v>
      </c>
      <c r="FO27">
        <v>8.5</v>
      </c>
      <c r="FP27">
        <v>0.26029999999999998</v>
      </c>
      <c r="FQ27">
        <v>-1.7211922109494671</v>
      </c>
      <c r="FR27">
        <v>7.6898218637449396E-3</v>
      </c>
      <c r="FS27">
        <v>1.5097418776848419E-6</v>
      </c>
      <c r="FT27">
        <v>-9.8458676114205118E-11</v>
      </c>
      <c r="FU27">
        <v>0.26031499999999502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34.5</v>
      </c>
      <c r="GD27">
        <v>34.5</v>
      </c>
      <c r="GE27">
        <v>2.4523899999999998</v>
      </c>
      <c r="GF27">
        <v>2.63672</v>
      </c>
      <c r="GG27">
        <v>1.79932</v>
      </c>
      <c r="GH27">
        <v>2.3779300000000001</v>
      </c>
      <c r="GI27">
        <v>1.5979000000000001</v>
      </c>
      <c r="GJ27">
        <v>2.4340799999999998</v>
      </c>
      <c r="GK27">
        <v>37.289900000000003</v>
      </c>
      <c r="GL27">
        <v>24.148800000000001</v>
      </c>
      <c r="GM27">
        <v>18</v>
      </c>
      <c r="GN27">
        <v>370.42899999999997</v>
      </c>
      <c r="GO27">
        <v>662.21799999999996</v>
      </c>
      <c r="GP27">
        <v>25.829799999999999</v>
      </c>
      <c r="GQ27">
        <v>28.521599999999999</v>
      </c>
      <c r="GR27">
        <v>30</v>
      </c>
      <c r="GS27">
        <v>28.462499999999999</v>
      </c>
      <c r="GT27">
        <v>28.494199999999999</v>
      </c>
      <c r="GU27">
        <v>49.030999999999999</v>
      </c>
      <c r="GV27">
        <v>39.482199999999999</v>
      </c>
      <c r="GW27">
        <v>0</v>
      </c>
      <c r="GX27">
        <v>25.83</v>
      </c>
      <c r="GY27">
        <v>1200</v>
      </c>
      <c r="GZ27">
        <v>19.5</v>
      </c>
      <c r="HA27">
        <v>100.30500000000001</v>
      </c>
      <c r="HB27">
        <v>69.305099999999996</v>
      </c>
    </row>
    <row r="28" spans="1:210" x14ac:dyDescent="0.3">
      <c r="A28">
        <v>12</v>
      </c>
      <c r="B28">
        <v>1751986179.0999999</v>
      </c>
      <c r="C28">
        <v>1985.599999904633</v>
      </c>
      <c r="D28" t="s">
        <v>365</v>
      </c>
      <c r="E28" t="s">
        <v>366</v>
      </c>
      <c r="F28">
        <v>15</v>
      </c>
      <c r="G28">
        <v>1751986171.349999</v>
      </c>
      <c r="H28">
        <f t="shared" si="0"/>
        <v>1.897612320671223E-3</v>
      </c>
      <c r="I28">
        <f t="shared" si="1"/>
        <v>1.897612320671223</v>
      </c>
      <c r="J28">
        <f t="shared" si="2"/>
        <v>36.270190500834424</v>
      </c>
      <c r="K28">
        <f t="shared" si="3"/>
        <v>1511.9406666666659</v>
      </c>
      <c r="L28">
        <f t="shared" si="4"/>
        <v>1161.0448478370733</v>
      </c>
      <c r="M28">
        <f t="shared" si="5"/>
        <v>117.93554159184735</v>
      </c>
      <c r="N28">
        <f t="shared" si="6"/>
        <v>153.5785131041674</v>
      </c>
      <c r="O28">
        <f t="shared" si="7"/>
        <v>0.18320191674918268</v>
      </c>
      <c r="P28">
        <f t="shared" si="8"/>
        <v>2.4202658932669063</v>
      </c>
      <c r="Q28">
        <f t="shared" si="9"/>
        <v>0.17594187789692017</v>
      </c>
      <c r="R28">
        <f t="shared" si="10"/>
        <v>0.11059218588845354</v>
      </c>
      <c r="S28">
        <f t="shared" si="11"/>
        <v>181.74091533333336</v>
      </c>
      <c r="T28">
        <f t="shared" si="12"/>
        <v>27.882120035369258</v>
      </c>
      <c r="U28">
        <f t="shared" si="13"/>
        <v>26.439906666666669</v>
      </c>
      <c r="V28">
        <f t="shared" si="14"/>
        <v>3.4630977151572746</v>
      </c>
      <c r="W28">
        <f t="shared" si="15"/>
        <v>66.279181818506743</v>
      </c>
      <c r="X28">
        <f t="shared" si="16"/>
        <v>2.3991567627830204</v>
      </c>
      <c r="Y28">
        <f t="shared" si="17"/>
        <v>3.6197742593634707</v>
      </c>
      <c r="Z28">
        <f t="shared" si="18"/>
        <v>1.0639409523742542</v>
      </c>
      <c r="AA28">
        <f t="shared" si="19"/>
        <v>-83.684703341600937</v>
      </c>
      <c r="AB28">
        <f t="shared" si="20"/>
        <v>98.167662359222902</v>
      </c>
      <c r="AC28">
        <f t="shared" si="21"/>
        <v>8.7373962569286405</v>
      </c>
      <c r="AD28">
        <f t="shared" si="22"/>
        <v>204.96127060788396</v>
      </c>
      <c r="AE28">
        <f t="shared" si="23"/>
        <v>36.270190500834424</v>
      </c>
      <c r="AF28">
        <f t="shared" si="24"/>
        <v>1.897612320671223</v>
      </c>
      <c r="AG28">
        <f t="shared" si="25"/>
        <v>36.276751950064536</v>
      </c>
      <c r="AH28">
        <v>1631.8293943977089</v>
      </c>
      <c r="AI28">
        <v>1548.517272727272</v>
      </c>
      <c r="AJ28">
        <v>6.7674906351341824E-3</v>
      </c>
      <c r="AK28">
        <v>84.08367483205916</v>
      </c>
      <c r="AL28">
        <f t="shared" si="26"/>
        <v>1.8876503149398907</v>
      </c>
      <c r="AM28">
        <v>19.45007246072106</v>
      </c>
      <c r="AN28">
        <v>23.59770481203007</v>
      </c>
      <c r="AO28">
        <v>-1.8096875752406791E-6</v>
      </c>
      <c r="AP28">
        <v>90.517652559269479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53674.200777999751</v>
      </c>
      <c r="AV28">
        <f t="shared" si="30"/>
        <v>956.5311333333334</v>
      </c>
      <c r="AW28">
        <f t="shared" si="31"/>
        <v>765.22490666666681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338</v>
      </c>
      <c r="BC28">
        <v>2</v>
      </c>
      <c r="BD28" t="b">
        <v>0</v>
      </c>
      <c r="BE28">
        <v>1751986171.349999</v>
      </c>
      <c r="BF28">
        <v>1511.9406666666659</v>
      </c>
      <c r="BG28">
        <v>1600.017333333333</v>
      </c>
      <c r="BH28">
        <v>23.619076666666661</v>
      </c>
      <c r="BI28">
        <v>19.44966333333333</v>
      </c>
      <c r="BJ28">
        <v>1499.0736666666669</v>
      </c>
      <c r="BK28">
        <v>23.358773333333339</v>
      </c>
      <c r="BL28">
        <v>399.93953333333332</v>
      </c>
      <c r="BM28">
        <v>101.47716666666661</v>
      </c>
      <c r="BN28">
        <v>9.9910060000000023E-2</v>
      </c>
      <c r="BO28">
        <v>27.192256666666669</v>
      </c>
      <c r="BP28">
        <v>26.439906666666669</v>
      </c>
      <c r="BQ28">
        <v>999.9000000000002</v>
      </c>
      <c r="BR28">
        <v>0</v>
      </c>
      <c r="BS28">
        <v>0</v>
      </c>
      <c r="BT28">
        <v>10009.783333333329</v>
      </c>
      <c r="BU28">
        <v>956.5311333333334</v>
      </c>
      <c r="BV28">
        <v>17.047199999999989</v>
      </c>
      <c r="BW28">
        <v>-88.076620000000005</v>
      </c>
      <c r="BX28">
        <v>1548.5150000000001</v>
      </c>
      <c r="BY28">
        <v>1631.7539999999999</v>
      </c>
      <c r="BZ28">
        <v>4.1694190000000004</v>
      </c>
      <c r="CA28">
        <v>1600.017333333333</v>
      </c>
      <c r="CB28">
        <v>19.44966333333333</v>
      </c>
      <c r="CC28">
        <v>2.3967969999999998</v>
      </c>
      <c r="CD28">
        <v>1.9736963333333331</v>
      </c>
      <c r="CE28">
        <v>20.342153333333329</v>
      </c>
      <c r="CF28">
        <v>17.23489</v>
      </c>
      <c r="CG28">
        <v>1751983931</v>
      </c>
      <c r="CH28" t="s">
        <v>339</v>
      </c>
      <c r="CI28">
        <v>1751983930</v>
      </c>
      <c r="CJ28">
        <v>1751983931</v>
      </c>
      <c r="CK28">
        <v>5</v>
      </c>
      <c r="CL28">
        <v>-0.123</v>
      </c>
      <c r="CM28">
        <v>4.2000000000000003E-2</v>
      </c>
      <c r="CN28">
        <v>2.0179999999999998</v>
      </c>
      <c r="CO28">
        <v>0.26</v>
      </c>
      <c r="CP28">
        <v>450</v>
      </c>
      <c r="CQ28">
        <v>20</v>
      </c>
      <c r="CR28">
        <v>0.05</v>
      </c>
      <c r="CS28">
        <v>0.01</v>
      </c>
      <c r="CT28">
        <v>-88.089039999999997</v>
      </c>
      <c r="CU28">
        <v>0.14238348968102421</v>
      </c>
      <c r="CV28">
        <v>8.6041838078924335E-2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4.17684225</v>
      </c>
      <c r="DC28">
        <v>-0.15349519699812891</v>
      </c>
      <c r="DD28">
        <v>1.47943745199822E-2</v>
      </c>
      <c r="DE28">
        <v>0</v>
      </c>
      <c r="DF28">
        <v>1</v>
      </c>
      <c r="DG28">
        <v>2</v>
      </c>
      <c r="DH28" t="s">
        <v>362</v>
      </c>
      <c r="DI28">
        <v>3.0245600000000001</v>
      </c>
      <c r="DJ28">
        <v>2.6912500000000001</v>
      </c>
      <c r="DK28">
        <v>0.225522</v>
      </c>
      <c r="DL28">
        <v>0.23583399999999999</v>
      </c>
      <c r="DM28">
        <v>0.11802700000000001</v>
      </c>
      <c r="DN28">
        <v>0.10419200000000001</v>
      </c>
      <c r="DO28">
        <v>21540.3</v>
      </c>
      <c r="DP28">
        <v>14081.4</v>
      </c>
      <c r="DQ28">
        <v>26394.5</v>
      </c>
      <c r="DR28">
        <v>16750.400000000001</v>
      </c>
      <c r="DS28">
        <v>33124.699999999997</v>
      </c>
      <c r="DT28">
        <v>19613.900000000001</v>
      </c>
      <c r="DU28">
        <v>38455.699999999997</v>
      </c>
      <c r="DV28">
        <v>22209.200000000001</v>
      </c>
      <c r="DW28">
        <v>1.7976399999999999</v>
      </c>
      <c r="DX28">
        <v>2.1671200000000002</v>
      </c>
      <c r="DY28">
        <v>4.8780400000000002E-2</v>
      </c>
      <c r="DZ28">
        <v>0</v>
      </c>
      <c r="EA28">
        <v>25.648700000000002</v>
      </c>
      <c r="EB28">
        <v>999.9</v>
      </c>
      <c r="EC28">
        <v>55.4</v>
      </c>
      <c r="ED28">
        <v>33.9</v>
      </c>
      <c r="EE28">
        <v>29.007100000000001</v>
      </c>
      <c r="EF28">
        <v>62.4848</v>
      </c>
      <c r="EG28">
        <v>35.196300000000001</v>
      </c>
      <c r="EH28">
        <v>1</v>
      </c>
      <c r="EI28">
        <v>0.10922800000000001</v>
      </c>
      <c r="EJ28">
        <v>0.29392200000000002</v>
      </c>
      <c r="EK28">
        <v>20.326499999999999</v>
      </c>
      <c r="EL28">
        <v>5.2516699999999998</v>
      </c>
      <c r="EM28">
        <v>11.962</v>
      </c>
      <c r="EN28">
        <v>4.9897600000000004</v>
      </c>
      <c r="EO28">
        <v>3.29128</v>
      </c>
      <c r="EP28">
        <v>9999</v>
      </c>
      <c r="EQ28">
        <v>9999</v>
      </c>
      <c r="ER28">
        <v>9999</v>
      </c>
      <c r="ES28">
        <v>999.9</v>
      </c>
      <c r="ET28">
        <v>4.9727600000000001</v>
      </c>
      <c r="EU28">
        <v>1.8719399999999999</v>
      </c>
      <c r="EV28">
        <v>1.8722000000000001</v>
      </c>
      <c r="EW28">
        <v>1.8771899999999999</v>
      </c>
      <c r="EX28">
        <v>1.87134</v>
      </c>
      <c r="EY28">
        <v>1.8721000000000001</v>
      </c>
      <c r="EZ28">
        <v>1.8717900000000001</v>
      </c>
      <c r="FA28">
        <v>1.8687800000000001</v>
      </c>
      <c r="FB28">
        <v>0</v>
      </c>
      <c r="FC28">
        <v>0</v>
      </c>
      <c r="FD28">
        <v>0</v>
      </c>
      <c r="FE28">
        <v>0</v>
      </c>
      <c r="FF28" t="s">
        <v>341</v>
      </c>
      <c r="FG28" t="s">
        <v>342</v>
      </c>
      <c r="FH28" t="s">
        <v>343</v>
      </c>
      <c r="FI28" t="s">
        <v>343</v>
      </c>
      <c r="FJ28" t="s">
        <v>343</v>
      </c>
      <c r="FK28" t="s">
        <v>343</v>
      </c>
      <c r="FL28">
        <v>0</v>
      </c>
      <c r="FM28">
        <v>100</v>
      </c>
      <c r="FN28">
        <v>100</v>
      </c>
      <c r="FO28">
        <v>12.86</v>
      </c>
      <c r="FP28">
        <v>0.26029999999999998</v>
      </c>
      <c r="FQ28">
        <v>-1.7211922109494671</v>
      </c>
      <c r="FR28">
        <v>7.6898218637449396E-3</v>
      </c>
      <c r="FS28">
        <v>1.5097418776848419E-6</v>
      </c>
      <c r="FT28">
        <v>-9.8458676114205118E-11</v>
      </c>
      <c r="FU28">
        <v>0.26031499999999502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37.5</v>
      </c>
      <c r="GD28">
        <v>37.5</v>
      </c>
      <c r="GE28">
        <v>3.10181</v>
      </c>
      <c r="GF28">
        <v>2.6245099999999999</v>
      </c>
      <c r="GG28">
        <v>1.7981</v>
      </c>
      <c r="GH28">
        <v>2.3779300000000001</v>
      </c>
      <c r="GI28">
        <v>1.5979000000000001</v>
      </c>
      <c r="GJ28">
        <v>2.4194300000000002</v>
      </c>
      <c r="GK28">
        <v>37.289900000000003</v>
      </c>
      <c r="GL28">
        <v>24.148800000000001</v>
      </c>
      <c r="GM28">
        <v>18</v>
      </c>
      <c r="GN28">
        <v>370.416</v>
      </c>
      <c r="GO28">
        <v>663.34699999999998</v>
      </c>
      <c r="GP28">
        <v>25.83</v>
      </c>
      <c r="GQ28">
        <v>28.5167</v>
      </c>
      <c r="GR28">
        <v>30</v>
      </c>
      <c r="GS28">
        <v>28.4589</v>
      </c>
      <c r="GT28">
        <v>28.491700000000002</v>
      </c>
      <c r="GU28">
        <v>62.017099999999999</v>
      </c>
      <c r="GV28">
        <v>39.205800000000004</v>
      </c>
      <c r="GW28">
        <v>0</v>
      </c>
      <c r="GX28">
        <v>25.83</v>
      </c>
      <c r="GY28">
        <v>1600</v>
      </c>
      <c r="GZ28">
        <v>19.5</v>
      </c>
      <c r="HA28">
        <v>100.30500000000001</v>
      </c>
      <c r="HB28">
        <v>69.306899999999999</v>
      </c>
    </row>
    <row r="29" spans="1:210" x14ac:dyDescent="0.3">
      <c r="A29">
        <v>13</v>
      </c>
      <c r="B29">
        <v>1751986359.5999999</v>
      </c>
      <c r="C29">
        <v>2166.099999904633</v>
      </c>
      <c r="D29" t="s">
        <v>367</v>
      </c>
      <c r="E29" t="s">
        <v>368</v>
      </c>
      <c r="F29">
        <v>15</v>
      </c>
      <c r="G29">
        <v>1751986351.849999</v>
      </c>
      <c r="H29">
        <f t="shared" si="0"/>
        <v>1.7236353380412485E-3</v>
      </c>
      <c r="I29">
        <f t="shared" si="1"/>
        <v>1.7236353380412486</v>
      </c>
      <c r="J29">
        <f t="shared" si="2"/>
        <v>15.647764457840534</v>
      </c>
      <c r="K29">
        <f t="shared" si="3"/>
        <v>413.17956666666657</v>
      </c>
      <c r="L29">
        <f t="shared" si="4"/>
        <v>247.02307420005397</v>
      </c>
      <c r="M29">
        <f t="shared" si="5"/>
        <v>25.093271554261911</v>
      </c>
      <c r="N29">
        <f t="shared" si="6"/>
        <v>41.971897162296187</v>
      </c>
      <c r="O29">
        <f t="shared" si="7"/>
        <v>0.16101292604639106</v>
      </c>
      <c r="P29">
        <f t="shared" si="8"/>
        <v>2.4193995302893772</v>
      </c>
      <c r="Q29">
        <f t="shared" si="9"/>
        <v>0.15537421867648898</v>
      </c>
      <c r="R29">
        <f t="shared" si="10"/>
        <v>9.7599188079467492E-2</v>
      </c>
      <c r="S29">
        <f t="shared" si="11"/>
        <v>181.78023266666668</v>
      </c>
      <c r="T29">
        <f t="shared" si="12"/>
        <v>27.949328349335556</v>
      </c>
      <c r="U29">
        <f t="shared" si="13"/>
        <v>26.445646666666669</v>
      </c>
      <c r="V29">
        <f t="shared" si="14"/>
        <v>3.464270279009269</v>
      </c>
      <c r="W29">
        <f t="shared" si="15"/>
        <v>65.417369460560408</v>
      </c>
      <c r="X29">
        <f t="shared" si="16"/>
        <v>2.3697277266668619</v>
      </c>
      <c r="Y29">
        <f t="shared" si="17"/>
        <v>3.6224748047925575</v>
      </c>
      <c r="Z29">
        <f t="shared" si="18"/>
        <v>1.094542552342407</v>
      </c>
      <c r="AA29">
        <f t="shared" si="19"/>
        <v>-76.012318407619063</v>
      </c>
      <c r="AB29">
        <f t="shared" si="20"/>
        <v>99.042521273055314</v>
      </c>
      <c r="AC29">
        <f t="shared" si="21"/>
        <v>8.8192341606994908</v>
      </c>
      <c r="AD29">
        <f t="shared" si="22"/>
        <v>213.62966969280242</v>
      </c>
      <c r="AE29">
        <f t="shared" si="23"/>
        <v>15.647764457840534</v>
      </c>
      <c r="AF29">
        <f t="shared" si="24"/>
        <v>1.7236353380412486</v>
      </c>
      <c r="AG29">
        <f t="shared" si="25"/>
        <v>15.666768417840798</v>
      </c>
      <c r="AH29">
        <v>458.98230689527969</v>
      </c>
      <c r="AI29">
        <v>423.03027272727257</v>
      </c>
      <c r="AJ29">
        <v>5.8086593435597293E-5</v>
      </c>
      <c r="AK29">
        <v>84.08367483205916</v>
      </c>
      <c r="AL29">
        <f t="shared" si="26"/>
        <v>1.7195628367574964</v>
      </c>
      <c r="AM29">
        <v>19.540197125632751</v>
      </c>
      <c r="AN29">
        <v>23.318873082706741</v>
      </c>
      <c r="AO29">
        <v>-1.0293337772889751E-6</v>
      </c>
      <c r="AP29">
        <v>90.517652559269479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53643.074997411997</v>
      </c>
      <c r="AV29">
        <f t="shared" si="30"/>
        <v>956.73806666666667</v>
      </c>
      <c r="AW29">
        <f t="shared" si="31"/>
        <v>765.39045333333343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338</v>
      </c>
      <c r="BC29">
        <v>2</v>
      </c>
      <c r="BD29" t="b">
        <v>0</v>
      </c>
      <c r="BE29">
        <v>1751986351.849999</v>
      </c>
      <c r="BF29">
        <v>413.17956666666657</v>
      </c>
      <c r="BG29">
        <v>449.9881666666667</v>
      </c>
      <c r="BH29">
        <v>23.328063333333329</v>
      </c>
      <c r="BI29">
        <v>19.540483333333331</v>
      </c>
      <c r="BJ29">
        <v>411.48770000000002</v>
      </c>
      <c r="BK29">
        <v>23.067756666666661</v>
      </c>
      <c r="BL29">
        <v>400.0136333333333</v>
      </c>
      <c r="BM29">
        <v>101.4827333333333</v>
      </c>
      <c r="BN29">
        <v>9.9969559999999985E-2</v>
      </c>
      <c r="BO29">
        <v>27.204973333333331</v>
      </c>
      <c r="BP29">
        <v>26.445646666666669</v>
      </c>
      <c r="BQ29">
        <v>999.9000000000002</v>
      </c>
      <c r="BR29">
        <v>0</v>
      </c>
      <c r="BS29">
        <v>0</v>
      </c>
      <c r="BT29">
        <v>10003.6</v>
      </c>
      <c r="BU29">
        <v>956.73806666666667</v>
      </c>
      <c r="BV29">
        <v>17.047199999999989</v>
      </c>
      <c r="BW29">
        <v>-36.808616666666673</v>
      </c>
      <c r="BX29">
        <v>423.04849999999999</v>
      </c>
      <c r="BY29">
        <v>458.95643333333328</v>
      </c>
      <c r="BZ29">
        <v>3.7875833333333331</v>
      </c>
      <c r="CA29">
        <v>449.9881666666667</v>
      </c>
      <c r="CB29">
        <v>19.540483333333331</v>
      </c>
      <c r="CC29">
        <v>2.3673956666666669</v>
      </c>
      <c r="CD29">
        <v>1.9830220000000001</v>
      </c>
      <c r="CE29">
        <v>20.142473333333331</v>
      </c>
      <c r="CF29">
        <v>17.309419999999999</v>
      </c>
      <c r="CG29">
        <v>1751983931</v>
      </c>
      <c r="CH29" t="s">
        <v>339</v>
      </c>
      <c r="CI29">
        <v>1751983930</v>
      </c>
      <c r="CJ29">
        <v>1751983931</v>
      </c>
      <c r="CK29">
        <v>5</v>
      </c>
      <c r="CL29">
        <v>-0.123</v>
      </c>
      <c r="CM29">
        <v>4.2000000000000003E-2</v>
      </c>
      <c r="CN29">
        <v>2.0179999999999998</v>
      </c>
      <c r="CO29">
        <v>0.26</v>
      </c>
      <c r="CP29">
        <v>450</v>
      </c>
      <c r="CQ29">
        <v>20</v>
      </c>
      <c r="CR29">
        <v>0.05</v>
      </c>
      <c r="CS29">
        <v>0.01</v>
      </c>
      <c r="CT29">
        <v>-36.798627500000002</v>
      </c>
      <c r="CU29">
        <v>-0.28968742964344613</v>
      </c>
      <c r="CV29">
        <v>4.2625010190614633E-2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3.7919167499999999</v>
      </c>
      <c r="DC29">
        <v>-7.1472157598510583E-2</v>
      </c>
      <c r="DD29">
        <v>6.9702530038371121E-3</v>
      </c>
      <c r="DE29">
        <v>1</v>
      </c>
      <c r="DF29">
        <v>2</v>
      </c>
      <c r="DG29">
        <v>2</v>
      </c>
      <c r="DH29" t="s">
        <v>340</v>
      </c>
      <c r="DI29">
        <v>3.0246</v>
      </c>
      <c r="DJ29">
        <v>2.6911900000000002</v>
      </c>
      <c r="DK29">
        <v>9.5287200000000002E-2</v>
      </c>
      <c r="DL29">
        <v>0.10242900000000001</v>
      </c>
      <c r="DM29">
        <v>0.117049</v>
      </c>
      <c r="DN29">
        <v>0.104536</v>
      </c>
      <c r="DO29">
        <v>25163.599999999999</v>
      </c>
      <c r="DP29">
        <v>16540.400000000001</v>
      </c>
      <c r="DQ29">
        <v>26395</v>
      </c>
      <c r="DR29">
        <v>16750.599999999999</v>
      </c>
      <c r="DS29">
        <v>33160.199999999997</v>
      </c>
      <c r="DT29">
        <v>19604.599999999999</v>
      </c>
      <c r="DU29">
        <v>38457.199999999997</v>
      </c>
      <c r="DV29">
        <v>22209.5</v>
      </c>
      <c r="DW29">
        <v>1.7966800000000001</v>
      </c>
      <c r="DX29">
        <v>2.1646999999999998</v>
      </c>
      <c r="DY29">
        <v>4.8923500000000002E-2</v>
      </c>
      <c r="DZ29">
        <v>0</v>
      </c>
      <c r="EA29">
        <v>25.6447</v>
      </c>
      <c r="EB29">
        <v>999.9</v>
      </c>
      <c r="EC29">
        <v>55.4</v>
      </c>
      <c r="ED29">
        <v>34</v>
      </c>
      <c r="EE29">
        <v>29.1677</v>
      </c>
      <c r="EF29">
        <v>62.694800000000001</v>
      </c>
      <c r="EG29">
        <v>35.132199999999997</v>
      </c>
      <c r="EH29">
        <v>1</v>
      </c>
      <c r="EI29">
        <v>0.10832700000000001</v>
      </c>
      <c r="EJ29">
        <v>0.285549</v>
      </c>
      <c r="EK29">
        <v>20.326699999999999</v>
      </c>
      <c r="EL29">
        <v>5.2520300000000004</v>
      </c>
      <c r="EM29">
        <v>11.962</v>
      </c>
      <c r="EN29">
        <v>4.9896799999999999</v>
      </c>
      <c r="EO29">
        <v>3.2912599999999999</v>
      </c>
      <c r="EP29">
        <v>9999</v>
      </c>
      <c r="EQ29">
        <v>9999</v>
      </c>
      <c r="ER29">
        <v>9999</v>
      </c>
      <c r="ES29">
        <v>999.9</v>
      </c>
      <c r="ET29">
        <v>4.9727600000000001</v>
      </c>
      <c r="EU29">
        <v>1.87195</v>
      </c>
      <c r="EV29">
        <v>1.8722399999999999</v>
      </c>
      <c r="EW29">
        <v>1.87727</v>
      </c>
      <c r="EX29">
        <v>1.8713500000000001</v>
      </c>
      <c r="EY29">
        <v>1.8721000000000001</v>
      </c>
      <c r="EZ29">
        <v>1.8717999999999999</v>
      </c>
      <c r="FA29">
        <v>1.8688199999999999</v>
      </c>
      <c r="FB29">
        <v>0</v>
      </c>
      <c r="FC29">
        <v>0</v>
      </c>
      <c r="FD29">
        <v>0</v>
      </c>
      <c r="FE29">
        <v>0</v>
      </c>
      <c r="FF29" t="s">
        <v>341</v>
      </c>
      <c r="FG29" t="s">
        <v>342</v>
      </c>
      <c r="FH29" t="s">
        <v>343</v>
      </c>
      <c r="FI29" t="s">
        <v>343</v>
      </c>
      <c r="FJ29" t="s">
        <v>343</v>
      </c>
      <c r="FK29" t="s">
        <v>343</v>
      </c>
      <c r="FL29">
        <v>0</v>
      </c>
      <c r="FM29">
        <v>100</v>
      </c>
      <c r="FN29">
        <v>100</v>
      </c>
      <c r="FO29">
        <v>1.6910000000000001</v>
      </c>
      <c r="FP29">
        <v>0.26040000000000002</v>
      </c>
      <c r="FQ29">
        <v>-1.7211922109494671</v>
      </c>
      <c r="FR29">
        <v>7.6898218637449396E-3</v>
      </c>
      <c r="FS29">
        <v>1.5097418776848419E-6</v>
      </c>
      <c r="FT29">
        <v>-9.8458676114205118E-11</v>
      </c>
      <c r="FU29">
        <v>0.26031499999999502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40.5</v>
      </c>
      <c r="GD29">
        <v>40.5</v>
      </c>
      <c r="GE29">
        <v>1.1059600000000001</v>
      </c>
      <c r="GF29">
        <v>2.6257299999999999</v>
      </c>
      <c r="GG29">
        <v>1.7981</v>
      </c>
      <c r="GH29">
        <v>2.3779300000000001</v>
      </c>
      <c r="GI29">
        <v>1.5979000000000001</v>
      </c>
      <c r="GJ29">
        <v>2.5390600000000001</v>
      </c>
      <c r="GK29">
        <v>37.313800000000001</v>
      </c>
      <c r="GL29">
        <v>24.157499999999999</v>
      </c>
      <c r="GM29">
        <v>18</v>
      </c>
      <c r="GN29">
        <v>369.85199999999998</v>
      </c>
      <c r="GO29">
        <v>661.13800000000003</v>
      </c>
      <c r="GP29">
        <v>25.829899999999999</v>
      </c>
      <c r="GQ29">
        <v>28.507000000000001</v>
      </c>
      <c r="GR29">
        <v>30.0001</v>
      </c>
      <c r="GS29">
        <v>28.449300000000001</v>
      </c>
      <c r="GT29">
        <v>28.481999999999999</v>
      </c>
      <c r="GU29">
        <v>22.097100000000001</v>
      </c>
      <c r="GV29">
        <v>39.205399999999997</v>
      </c>
      <c r="GW29">
        <v>0</v>
      </c>
      <c r="GX29">
        <v>25.83</v>
      </c>
      <c r="GY29">
        <v>450</v>
      </c>
      <c r="GZ29">
        <v>19.5</v>
      </c>
      <c r="HA29">
        <v>100.30800000000001</v>
      </c>
      <c r="HB29">
        <v>69.307699999999997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2025-07-08T14:52:59Z</dcterms:created>
  <dcterms:modified xsi:type="dcterms:W3CDTF">2025-12-01T11:35:30Z</dcterms:modified>
</cp:coreProperties>
</file>