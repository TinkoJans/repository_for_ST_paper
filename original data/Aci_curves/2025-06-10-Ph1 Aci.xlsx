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Aci_curves/"/>
    </mc:Choice>
  </mc:AlternateContent>
  <xr:revisionPtr revIDLastSave="3" documentId="11_ACE0710098BB1D97778E7C923DF350D70638F0F0" xr6:coauthVersionLast="47" xr6:coauthVersionMax="47" xr10:uidLastSave="{A9E924AA-DFEA-4285-8F9C-3A922D4EF1ED}"/>
  <bookViews>
    <workbookView xWindow="1884" yWindow="1884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9" i="1" l="1"/>
  <c r="AX29" i="1"/>
  <c r="AV29" i="1"/>
  <c r="AW29" i="1" s="1"/>
  <c r="AU29" i="1"/>
  <c r="AS29" i="1" s="1"/>
  <c r="AL29" i="1"/>
  <c r="AG29" i="1"/>
  <c r="Y29" i="1"/>
  <c r="X29" i="1"/>
  <c r="W29" i="1" s="1"/>
  <c r="S29" i="1"/>
  <c r="P29" i="1"/>
  <c r="AY28" i="1"/>
  <c r="AX28" i="1"/>
  <c r="AW28" i="1"/>
  <c r="AV28" i="1"/>
  <c r="AU28" i="1"/>
  <c r="AS28" i="1" s="1"/>
  <c r="AL28" i="1"/>
  <c r="AG28" i="1"/>
  <c r="Y28" i="1"/>
  <c r="X28" i="1"/>
  <c r="W28" i="1"/>
  <c r="S28" i="1"/>
  <c r="P28" i="1"/>
  <c r="AY27" i="1"/>
  <c r="AX27" i="1"/>
  <c r="AV27" i="1"/>
  <c r="S27" i="1" s="1"/>
  <c r="AU27" i="1"/>
  <c r="AS27" i="1" s="1"/>
  <c r="AL27" i="1"/>
  <c r="AG27" i="1"/>
  <c r="Y27" i="1"/>
  <c r="W27" i="1" s="1"/>
  <c r="X27" i="1"/>
  <c r="P27" i="1"/>
  <c r="AY26" i="1"/>
  <c r="AX26" i="1"/>
  <c r="AV26" i="1"/>
  <c r="AW26" i="1" s="1"/>
  <c r="AU26" i="1"/>
  <c r="AT26" i="1"/>
  <c r="AS26" i="1"/>
  <c r="AE26" i="1" s="1"/>
  <c r="J26" i="1" s="1"/>
  <c r="AL26" i="1"/>
  <c r="AG26" i="1"/>
  <c r="AF26" i="1"/>
  <c r="I26" i="1" s="1"/>
  <c r="H26" i="1" s="1"/>
  <c r="Y26" i="1"/>
  <c r="X26" i="1"/>
  <c r="W26" i="1" s="1"/>
  <c r="P26" i="1"/>
  <c r="N26" i="1"/>
  <c r="K26" i="1"/>
  <c r="AY25" i="1"/>
  <c r="AX25" i="1"/>
  <c r="AV25" i="1"/>
  <c r="AW25" i="1" s="1"/>
  <c r="AU25" i="1"/>
  <c r="AT25" i="1"/>
  <c r="AS25" i="1"/>
  <c r="AE25" i="1" s="1"/>
  <c r="J25" i="1" s="1"/>
  <c r="AL25" i="1"/>
  <c r="AG25" i="1"/>
  <c r="AF25" i="1"/>
  <c r="I25" i="1" s="1"/>
  <c r="H25" i="1" s="1"/>
  <c r="Y25" i="1"/>
  <c r="X25" i="1"/>
  <c r="W25" i="1" s="1"/>
  <c r="P25" i="1"/>
  <c r="N25" i="1"/>
  <c r="K25" i="1"/>
  <c r="AY24" i="1"/>
  <c r="AX24" i="1"/>
  <c r="AV24" i="1"/>
  <c r="S24" i="1" s="1"/>
  <c r="AU24" i="1"/>
  <c r="AS24" i="1" s="1"/>
  <c r="AL24" i="1"/>
  <c r="AG24" i="1"/>
  <c r="Y24" i="1"/>
  <c r="X24" i="1"/>
  <c r="W24" i="1" s="1"/>
  <c r="P24" i="1"/>
  <c r="AY23" i="1"/>
  <c r="AX23" i="1"/>
  <c r="AV23" i="1"/>
  <c r="S23" i="1" s="1"/>
  <c r="AU23" i="1"/>
  <c r="AT23" i="1"/>
  <c r="AS23" i="1"/>
  <c r="AL23" i="1"/>
  <c r="AG23" i="1"/>
  <c r="AF23" i="1"/>
  <c r="I23" i="1" s="1"/>
  <c r="H23" i="1" s="1"/>
  <c r="AE23" i="1"/>
  <c r="Y23" i="1"/>
  <c r="X23" i="1"/>
  <c r="W23" i="1"/>
  <c r="P23" i="1"/>
  <c r="N23" i="1"/>
  <c r="K23" i="1"/>
  <c r="J23" i="1"/>
  <c r="AY22" i="1"/>
  <c r="AX22" i="1"/>
  <c r="AV22" i="1"/>
  <c r="AW22" i="1" s="1"/>
  <c r="AU22" i="1"/>
  <c r="AT22" i="1"/>
  <c r="AS22" i="1"/>
  <c r="AE22" i="1" s="1"/>
  <c r="J22" i="1" s="1"/>
  <c r="AL22" i="1"/>
  <c r="AG22" i="1"/>
  <c r="AF22" i="1"/>
  <c r="I22" i="1" s="1"/>
  <c r="H22" i="1" s="1"/>
  <c r="Y22" i="1"/>
  <c r="X22" i="1"/>
  <c r="W22" i="1" s="1"/>
  <c r="P22" i="1"/>
  <c r="N22" i="1"/>
  <c r="K22" i="1"/>
  <c r="AY21" i="1"/>
  <c r="AX21" i="1"/>
  <c r="AV21" i="1"/>
  <c r="AW21" i="1" s="1"/>
  <c r="AU21" i="1"/>
  <c r="AS21" i="1"/>
  <c r="AF21" i="1" s="1"/>
  <c r="I21" i="1" s="1"/>
  <c r="H21" i="1" s="1"/>
  <c r="AL21" i="1"/>
  <c r="AG21" i="1"/>
  <c r="Y21" i="1"/>
  <c r="X21" i="1"/>
  <c r="W21" i="1" s="1"/>
  <c r="P21" i="1"/>
  <c r="N21" i="1"/>
  <c r="AY20" i="1"/>
  <c r="AX20" i="1"/>
  <c r="AV20" i="1"/>
  <c r="S20" i="1" s="1"/>
  <c r="AU20" i="1"/>
  <c r="AS20" i="1" s="1"/>
  <c r="AL20" i="1"/>
  <c r="AG20" i="1"/>
  <c r="Y20" i="1"/>
  <c r="X20" i="1"/>
  <c r="W20" i="1" s="1"/>
  <c r="P20" i="1"/>
  <c r="AY19" i="1"/>
  <c r="AX19" i="1"/>
  <c r="AV19" i="1"/>
  <c r="S19" i="1" s="1"/>
  <c r="AU19" i="1"/>
  <c r="AT19" i="1"/>
  <c r="AS19" i="1"/>
  <c r="AL19" i="1"/>
  <c r="AG19" i="1"/>
  <c r="AF19" i="1"/>
  <c r="I19" i="1" s="1"/>
  <c r="H19" i="1" s="1"/>
  <c r="AE19" i="1"/>
  <c r="Y19" i="1"/>
  <c r="X19" i="1"/>
  <c r="W19" i="1"/>
  <c r="P19" i="1"/>
  <c r="N19" i="1"/>
  <c r="K19" i="1"/>
  <c r="J19" i="1"/>
  <c r="AY18" i="1"/>
  <c r="AX18" i="1"/>
  <c r="AV18" i="1"/>
  <c r="AW18" i="1" s="1"/>
  <c r="AU18" i="1"/>
  <c r="AT18" i="1"/>
  <c r="AS18" i="1"/>
  <c r="AE18" i="1" s="1"/>
  <c r="J18" i="1" s="1"/>
  <c r="AL18" i="1"/>
  <c r="AG18" i="1"/>
  <c r="AF18" i="1"/>
  <c r="I18" i="1" s="1"/>
  <c r="H18" i="1" s="1"/>
  <c r="Y18" i="1"/>
  <c r="X18" i="1"/>
  <c r="W18" i="1" s="1"/>
  <c r="P18" i="1"/>
  <c r="N18" i="1"/>
  <c r="K18" i="1"/>
  <c r="AY17" i="1"/>
  <c r="AX17" i="1"/>
  <c r="AV17" i="1"/>
  <c r="AW17" i="1" s="1"/>
  <c r="AU17" i="1"/>
  <c r="AS17" i="1"/>
  <c r="AF17" i="1" s="1"/>
  <c r="I17" i="1" s="1"/>
  <c r="H17" i="1" s="1"/>
  <c r="AL17" i="1"/>
  <c r="AG17" i="1"/>
  <c r="Y17" i="1"/>
  <c r="X17" i="1"/>
  <c r="W17" i="1" s="1"/>
  <c r="P17" i="1"/>
  <c r="N17" i="1"/>
  <c r="K28" i="1" l="1"/>
  <c r="AF28" i="1"/>
  <c r="I28" i="1" s="1"/>
  <c r="H28" i="1" s="1"/>
  <c r="AE28" i="1"/>
  <c r="J28" i="1" s="1"/>
  <c r="AT28" i="1"/>
  <c r="N28" i="1"/>
  <c r="AA26" i="1"/>
  <c r="AA23" i="1"/>
  <c r="K24" i="1"/>
  <c r="AF24" i="1"/>
  <c r="I24" i="1" s="1"/>
  <c r="H24" i="1" s="1"/>
  <c r="AE24" i="1"/>
  <c r="J24" i="1" s="1"/>
  <c r="AT24" i="1"/>
  <c r="N24" i="1"/>
  <c r="AA22" i="1"/>
  <c r="AF29" i="1"/>
  <c r="I29" i="1" s="1"/>
  <c r="H29" i="1" s="1"/>
  <c r="AE29" i="1"/>
  <c r="J29" i="1" s="1"/>
  <c r="N29" i="1"/>
  <c r="AT29" i="1"/>
  <c r="K29" i="1"/>
  <c r="AA19" i="1"/>
  <c r="AA17" i="1"/>
  <c r="AA21" i="1"/>
  <c r="T23" i="1"/>
  <c r="U23" i="1" s="1"/>
  <c r="Q23" i="1" s="1"/>
  <c r="O23" i="1" s="1"/>
  <c r="R23" i="1" s="1"/>
  <c r="L23" i="1" s="1"/>
  <c r="M23" i="1" s="1"/>
  <c r="T24" i="1"/>
  <c r="U24" i="1" s="1"/>
  <c r="T19" i="1"/>
  <c r="U19" i="1" s="1"/>
  <c r="K20" i="1"/>
  <c r="AF20" i="1"/>
  <c r="I20" i="1" s="1"/>
  <c r="H20" i="1" s="1"/>
  <c r="AE20" i="1"/>
  <c r="J20" i="1" s="1"/>
  <c r="N20" i="1"/>
  <c r="AT20" i="1"/>
  <c r="AB23" i="1"/>
  <c r="N27" i="1"/>
  <c r="AT27" i="1"/>
  <c r="K27" i="1"/>
  <c r="AF27" i="1"/>
  <c r="I27" i="1" s="1"/>
  <c r="H27" i="1" s="1"/>
  <c r="AE27" i="1"/>
  <c r="J27" i="1" s="1"/>
  <c r="AA25" i="1"/>
  <c r="AA18" i="1"/>
  <c r="T20" i="1"/>
  <c r="U20" i="1" s="1"/>
  <c r="AW23" i="1"/>
  <c r="S25" i="1"/>
  <c r="AW27" i="1"/>
  <c r="K17" i="1"/>
  <c r="S17" i="1"/>
  <c r="K21" i="1"/>
  <c r="AT17" i="1"/>
  <c r="T29" i="1"/>
  <c r="U29" i="1" s="1"/>
  <c r="AW19" i="1"/>
  <c r="S21" i="1"/>
  <c r="AT21" i="1"/>
  <c r="S18" i="1"/>
  <c r="AW20" i="1"/>
  <c r="S22" i="1"/>
  <c r="AW24" i="1"/>
  <c r="S26" i="1"/>
  <c r="AE17" i="1"/>
  <c r="J17" i="1" s="1"/>
  <c r="AE21" i="1"/>
  <c r="J21" i="1" s="1"/>
  <c r="T21" i="1" l="1"/>
  <c r="U21" i="1" s="1"/>
  <c r="AA27" i="1"/>
  <c r="AA20" i="1"/>
  <c r="Q20" i="1"/>
  <c r="O20" i="1" s="1"/>
  <c r="R20" i="1" s="1"/>
  <c r="L20" i="1" s="1"/>
  <c r="M20" i="1" s="1"/>
  <c r="T25" i="1"/>
  <c r="U25" i="1" s="1"/>
  <c r="T26" i="1"/>
  <c r="U26" i="1" s="1"/>
  <c r="T27" i="1"/>
  <c r="U27" i="1" s="1"/>
  <c r="Q27" i="1" s="1"/>
  <c r="O27" i="1" s="1"/>
  <c r="R27" i="1" s="1"/>
  <c r="L27" i="1" s="1"/>
  <c r="M27" i="1" s="1"/>
  <c r="Q29" i="1"/>
  <c r="O29" i="1" s="1"/>
  <c r="R29" i="1" s="1"/>
  <c r="L29" i="1" s="1"/>
  <c r="M29" i="1" s="1"/>
  <c r="AA29" i="1"/>
  <c r="AA24" i="1"/>
  <c r="Q24" i="1"/>
  <c r="O24" i="1" s="1"/>
  <c r="R24" i="1" s="1"/>
  <c r="L24" i="1" s="1"/>
  <c r="M24" i="1" s="1"/>
  <c r="AC19" i="1"/>
  <c r="AD19" i="1" s="1"/>
  <c r="V19" i="1"/>
  <c r="Z19" i="1" s="1"/>
  <c r="V29" i="1"/>
  <c r="Z29" i="1" s="1"/>
  <c r="AC29" i="1"/>
  <c r="T22" i="1"/>
  <c r="U22" i="1" s="1"/>
  <c r="T17" i="1"/>
  <c r="U17" i="1" s="1"/>
  <c r="AB24" i="1"/>
  <c r="V24" i="1"/>
  <c r="Z24" i="1" s="1"/>
  <c r="AC24" i="1"/>
  <c r="Q19" i="1"/>
  <c r="O19" i="1" s="1"/>
  <c r="R19" i="1" s="1"/>
  <c r="L19" i="1" s="1"/>
  <c r="M19" i="1" s="1"/>
  <c r="T18" i="1"/>
  <c r="U18" i="1" s="1"/>
  <c r="AB29" i="1"/>
  <c r="AA28" i="1"/>
  <c r="Q28" i="1"/>
  <c r="O28" i="1" s="1"/>
  <c r="R28" i="1" s="1"/>
  <c r="L28" i="1" s="1"/>
  <c r="M28" i="1" s="1"/>
  <c r="T28" i="1"/>
  <c r="U28" i="1" s="1"/>
  <c r="AB20" i="1"/>
  <c r="V20" i="1"/>
  <c r="Z20" i="1" s="1"/>
  <c r="AC20" i="1"/>
  <c r="AD20" i="1" s="1"/>
  <c r="AB19" i="1"/>
  <c r="AC23" i="1"/>
  <c r="AD23" i="1" s="1"/>
  <c r="V23" i="1"/>
  <c r="Z23" i="1" s="1"/>
  <c r="V25" i="1" l="1"/>
  <c r="Z25" i="1" s="1"/>
  <c r="AC25" i="1"/>
  <c r="Q25" i="1"/>
  <c r="O25" i="1" s="1"/>
  <c r="R25" i="1" s="1"/>
  <c r="L25" i="1" s="1"/>
  <c r="M25" i="1" s="1"/>
  <c r="AB25" i="1"/>
  <c r="V22" i="1"/>
  <c r="Z22" i="1" s="1"/>
  <c r="AC22" i="1"/>
  <c r="AD22" i="1" s="1"/>
  <c r="Q22" i="1"/>
  <c r="O22" i="1" s="1"/>
  <c r="R22" i="1" s="1"/>
  <c r="L22" i="1" s="1"/>
  <c r="M22" i="1" s="1"/>
  <c r="AB22" i="1"/>
  <c r="V17" i="1"/>
  <c r="Z17" i="1" s="1"/>
  <c r="AC17" i="1"/>
  <c r="AB17" i="1"/>
  <c r="Q17" i="1"/>
  <c r="O17" i="1" s="1"/>
  <c r="R17" i="1" s="1"/>
  <c r="L17" i="1" s="1"/>
  <c r="M17" i="1" s="1"/>
  <c r="V18" i="1"/>
  <c r="Z18" i="1" s="1"/>
  <c r="AC18" i="1"/>
  <c r="AB18" i="1"/>
  <c r="Q18" i="1"/>
  <c r="O18" i="1" s="1"/>
  <c r="R18" i="1" s="1"/>
  <c r="L18" i="1" s="1"/>
  <c r="M18" i="1" s="1"/>
  <c r="AC27" i="1"/>
  <c r="AD27" i="1" s="1"/>
  <c r="AB27" i="1"/>
  <c r="V27" i="1"/>
  <c r="Z27" i="1" s="1"/>
  <c r="AD29" i="1"/>
  <c r="AD24" i="1"/>
  <c r="V26" i="1"/>
  <c r="Z26" i="1" s="1"/>
  <c r="AC26" i="1"/>
  <c r="AD26" i="1" s="1"/>
  <c r="AB26" i="1"/>
  <c r="Q26" i="1"/>
  <c r="O26" i="1" s="1"/>
  <c r="R26" i="1" s="1"/>
  <c r="L26" i="1" s="1"/>
  <c r="M26" i="1" s="1"/>
  <c r="V21" i="1"/>
  <c r="Z21" i="1" s="1"/>
  <c r="AC21" i="1"/>
  <c r="AB21" i="1"/>
  <c r="Q21" i="1"/>
  <c r="O21" i="1" s="1"/>
  <c r="R21" i="1" s="1"/>
  <c r="L21" i="1" s="1"/>
  <c r="M21" i="1" s="1"/>
  <c r="AB28" i="1"/>
  <c r="V28" i="1"/>
  <c r="Z28" i="1" s="1"/>
  <c r="AC28" i="1"/>
  <c r="AD28" i="1" s="1"/>
  <c r="AD18" i="1" l="1"/>
  <c r="AD21" i="1"/>
  <c r="AD17" i="1"/>
  <c r="AD25" i="1"/>
</calcChain>
</file>

<file path=xl/sharedStrings.xml><?xml version="1.0" encoding="utf-8"?>
<sst xmlns="http://schemas.openxmlformats.org/spreadsheetml/2006/main" count="814" uniqueCount="367">
  <si>
    <t>File opened</t>
  </si>
  <si>
    <t>2025-06-10 15:34:12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</si>
  <si>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</si>
  <si>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</si>
  <si>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</si>
  <si>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</si>
  <si>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</si>
  <si>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</si>
  <si>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</si>
  <si>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</si>
  <si>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</si>
  <si>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</si>
  <si>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</si>
  <si>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</si>
  <si>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</si>
  <si>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</si>
  <si>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</si>
  <si>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</si>
  <si>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</si>
  <si>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</si>
  <si>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</si>
  <si>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</si>
  <si>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</si>
  <si>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</si>
  <si>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</si>
  <si>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</si>
  <si>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</si>
  <si>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</si>
  <si>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15:34:12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</si>
  <si>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</si>
  <si>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</si>
  <si>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</si>
  <si>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</si>
  <si>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</si>
  <si>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</si>
  <si>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</si>
  <si>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</si>
  <si>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</si>
  <si>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</si>
  <si>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</si>
  <si>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</si>
  <si>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</si>
  <si>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</si>
  <si>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</si>
  <si>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</si>
  <si>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</si>
  <si>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</si>
  <si>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</si>
  <si>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</si>
  <si>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</si>
  <si>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</si>
  <si>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</si>
  <si>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</si>
  <si>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</si>
  <si>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</si>
  <si>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</si>
  <si>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</si>
  <si>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</si>
  <si>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</si>
  <si>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</si>
  <si>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</si>
  <si>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</si>
  <si>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</si>
  <si>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</si>
  <si>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</si>
  <si>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</si>
  <si>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</si>
  <si>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</si>
  <si>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</si>
  <si>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</si>
  <si>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</si>
  <si>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</si>
  <si>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</si>
  <si>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</si>
  <si>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</si>
  <si>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</si>
  <si>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</si>
  <si>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</si>
  <si>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</si>
  <si>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</si>
  <si>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3.87353 164.811 341.529 589.053 854.757 1059.13 1300.15 1489.11</t>
  </si>
  <si>
    <t>Fs_true</t>
  </si>
  <si>
    <t>0.254297 200.828 383.492 595.075 806.506 1001.54 1201.33 1400.86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</si>
  <si>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</si>
  <si>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</si>
  <si>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</si>
  <si>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</si>
  <si>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</si>
  <si>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</si>
  <si>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</si>
  <si>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</si>
  <si>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</si>
  <si>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</si>
  <si>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</si>
  <si>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</si>
  <si>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</si>
  <si>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</si>
  <si>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</si>
  <si>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</si>
  <si>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</si>
  <si>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</si>
  <si>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</si>
  <si>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</si>
  <si>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</si>
  <si>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</si>
  <si>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</si>
  <si>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</si>
  <si>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</si>
  <si>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</si>
  <si>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</si>
  <si>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</si>
  <si>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</si>
  <si>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</si>
  <si>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</si>
  <si>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</si>
  <si>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</si>
  <si>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</si>
  <si>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</si>
  <si>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</si>
  <si>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</si>
  <si>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</si>
  <si>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</si>
  <si>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</si>
  <si>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</si>
  <si>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</si>
  <si>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</si>
  <si>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</si>
  <si>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</si>
  <si>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</si>
  <si>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</si>
  <si>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</si>
  <si>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</si>
  <si>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</si>
  <si>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</si>
  <si>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</si>
  <si>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</si>
  <si>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</si>
  <si>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</si>
  <si>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</si>
  <si>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</si>
  <si>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</si>
  <si>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</si>
  <si>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</si>
  <si>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</si>
  <si>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</si>
  <si>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</si>
  <si>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</si>
  <si>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</si>
  <si>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</si>
  <si>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</si>
  <si>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</si>
  <si>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</si>
  <si>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</si>
  <si>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</si>
  <si>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</si>
  <si>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</si>
  <si>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</si>
  <si>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</si>
  <si>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</si>
  <si>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</si>
  <si>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</si>
  <si>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</si>
  <si>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</si>
  <si>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</si>
  <si>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</si>
  <si>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</si>
  <si>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</si>
  <si>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</si>
  <si>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</si>
  <si>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</si>
  <si>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</si>
  <si>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</si>
  <si>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</si>
  <si>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</si>
  <si>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</si>
  <si>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</si>
  <si>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</si>
  <si>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</si>
  <si>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</si>
  <si>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</si>
  <si>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</si>
  <si>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</si>
  <si>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</si>
  <si>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</si>
  <si>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</si>
  <si>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</si>
  <si>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</si>
  <si>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</si>
  <si>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</si>
  <si>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</si>
  <si>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</si>
  <si>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</si>
  <si>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</si>
  <si>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</si>
  <si>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</si>
  <si>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</si>
  <si>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</si>
  <si>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</si>
  <si>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</si>
  <si>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</si>
  <si>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</si>
  <si>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</si>
  <si>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</si>
  <si>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</si>
  <si>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</si>
  <si>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</si>
  <si>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</si>
  <si>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</si>
  <si>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</si>
  <si>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</si>
  <si>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</si>
  <si>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</si>
  <si>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</si>
  <si>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</si>
  <si>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</si>
  <si>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</si>
  <si>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</si>
  <si>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</si>
  <si>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</si>
  <si>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</si>
  <si>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</si>
  <si>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</si>
  <si>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</si>
  <si>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</si>
  <si>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</si>
  <si>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</si>
  <si>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</si>
  <si>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</si>
  <si>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</si>
  <si>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</si>
  <si>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</si>
  <si>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</si>
  <si>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</si>
  <si>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</si>
  <si>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</si>
  <si>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</si>
  <si>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</si>
  <si>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</si>
  <si>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</si>
  <si>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</si>
  <si>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</si>
  <si>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</si>
  <si>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</si>
  <si>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</si>
  <si>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</si>
  <si>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</si>
  <si>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</si>
  <si>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</si>
  <si>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</si>
  <si>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</si>
  <si>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</si>
  <si>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</si>
  <si>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</si>
  <si>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</si>
  <si>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</si>
  <si>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</si>
  <si>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</si>
  <si>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</si>
  <si>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</si>
  <si>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</si>
  <si>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</si>
  <si>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</si>
  <si>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</si>
  <si>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</si>
  <si>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</si>
  <si>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</si>
  <si>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</si>
  <si>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</si>
  <si>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</si>
  <si>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</si>
  <si>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</si>
  <si>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</si>
  <si>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</si>
  <si>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</si>
  <si>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</si>
  <si>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</si>
  <si>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</si>
  <si>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</si>
  <si>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</si>
  <si>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</si>
  <si>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</si>
  <si>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</si>
  <si>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</si>
  <si>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</si>
  <si>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</si>
  <si>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</si>
  <si>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</si>
  <si>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</si>
  <si>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</si>
  <si>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</si>
  <si>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</si>
  <si>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</si>
  <si>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</si>
  <si>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</si>
  <si>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</si>
  <si>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</si>
  <si>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</si>
  <si>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</si>
  <si>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</si>
  <si>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</si>
  <si>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</si>
  <si>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</si>
  <si>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</si>
  <si>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</si>
  <si>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</si>
  <si>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</si>
  <si>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</si>
  <si>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</si>
  <si>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</si>
  <si>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</si>
  <si>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</si>
  <si>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</si>
  <si>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</si>
  <si>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</si>
  <si>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</si>
  <si>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</si>
  <si>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</si>
  <si>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</si>
  <si>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</si>
  <si>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</si>
  <si>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</si>
  <si>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</si>
  <si>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</si>
  <si>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</si>
  <si>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</si>
  <si>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</si>
  <si>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</si>
  <si>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</si>
  <si>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</si>
  <si>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</si>
  <si>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</si>
  <si>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</si>
  <si>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</si>
  <si>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</si>
  <si>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20250610 15:54:44</t>
  </si>
  <si>
    <t>15:54:44</t>
  </si>
  <si>
    <t>0: Broadleaf</t>
  </si>
  <si>
    <t>10:35:13</t>
  </si>
  <si>
    <t>2/2</t>
  </si>
  <si>
    <t>11111111</t>
  </si>
  <si>
    <t>oooooooo</t>
  </si>
  <si>
    <t>on</t>
  </si>
  <si>
    <t>20250610 15:57:44</t>
  </si>
  <si>
    <t>15:57:44</t>
  </si>
  <si>
    <t>20250610 16:00:45</t>
  </si>
  <si>
    <t>16:00:45</t>
  </si>
  <si>
    <t>20250610 16:03:45</t>
  </si>
  <si>
    <t>16:03:45</t>
  </si>
  <si>
    <t>1/2</t>
  </si>
  <si>
    <t>20250610 16:06:46</t>
  </si>
  <si>
    <t>16:06:46</t>
  </si>
  <si>
    <t>20250610 16:09:46</t>
  </si>
  <si>
    <t>16:09:46</t>
  </si>
  <si>
    <t>20250610 16:12:47</t>
  </si>
  <si>
    <t>16:12:47</t>
  </si>
  <si>
    <t>20250610 16:15:48</t>
  </si>
  <si>
    <t>16:15:48</t>
  </si>
  <si>
    <t>20250610 16:18:48</t>
  </si>
  <si>
    <t>16:18:48</t>
  </si>
  <si>
    <t>20250610 16:21:49</t>
  </si>
  <si>
    <t>16:21:49</t>
  </si>
  <si>
    <t>20250610 16:24:49</t>
  </si>
  <si>
    <t>16:24:49</t>
  </si>
  <si>
    <t>20250610 16:27:50</t>
  </si>
  <si>
    <t>16:27:50</t>
  </si>
  <si>
    <t>20250610 16:30:50</t>
  </si>
  <si>
    <t>16:30:50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</si>
</sst>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29"/>
  <sheetViews>
    <sheetView tabSelected="1" topLeftCell="AQ7" workbookViewId="0">
      <selection activeCell="BC14" sqref="BC14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1749563684.0999999</v>
      </c>
      <c r="C17">
        <v>0</v>
      </c>
      <c r="D17" t="s">
        <v>334</v>
      </c>
      <c r="E17" t="s">
        <v>335</v>
      </c>
      <c r="F17">
        <v>15</v>
      </c>
      <c r="G17">
        <v>1749563676.099999</v>
      </c>
      <c r="H17">
        <f t="shared" ref="H17:H29" si="0">(I17)/1000</f>
        <v>9.569250958597126E-4</v>
      </c>
      <c r="I17">
        <f t="shared" ref="I17:I29" si="1">IF(BD17, AL17, AF17)</f>
        <v>0.95692509585971264</v>
      </c>
      <c r="J17">
        <f t="shared" ref="J17:J29" si="2">IF(BD17, AG17, AE17)</f>
        <v>11.457367607612515</v>
      </c>
      <c r="K17">
        <f t="shared" ref="K17:K29" si="3">BF17 - IF(AS17&gt;1, J17*AZ17*100/(AU17), 0)</f>
        <v>423.31170967741929</v>
      </c>
      <c r="L17">
        <f t="shared" ref="L17:L29" si="4">((R17-H17/2)*K17-J17)/(R17+H17/2)</f>
        <v>233.11961923356293</v>
      </c>
      <c r="M17">
        <f t="shared" ref="M17:M29" si="5">L17*(BM17+BN17)/1000</f>
        <v>23.835820189807261</v>
      </c>
      <c r="N17">
        <f t="shared" ref="N17:N29" si="6">(BF17 - IF(AS17&gt;1, J17*AZ17*100/(AU17), 0))*(BM17+BN17)/1000</f>
        <v>43.282422257226202</v>
      </c>
      <c r="O17">
        <f t="shared" ref="O17:O29" si="7">2/((1/Q17-1/P17)+SIGN(Q17)*SQRT((1/Q17-1/P17)*(1/Q17-1/P17) + 4*BA17/((BA17+1)*(BA17+1))*(2*1/Q17*1/P17-1/P17*1/P17)))</f>
        <v>0.10214937665887613</v>
      </c>
      <c r="P17">
        <f t="shared" ref="P17:P29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2.4288598379634712</v>
      </c>
      <c r="Q17">
        <f t="shared" ref="Q17:Q29" si="9">H17*(1000-(1000*0.61365*EXP(17.502*U17/(240.97+U17))/(BM17+BN17)+BH17)/2)/(1000*0.61365*EXP(17.502*U17/(240.97+U17))/(BM17+BN17)-BH17)</f>
        <v>9.8523508084047709E-2</v>
      </c>
      <c r="R17">
        <f t="shared" ref="R17:R29" si="10">1/((BA17+1)/(O17/1.6)+1/(P17/1.37)) + BA17/((BA17+1)/(O17/1.6) + BA17/(P17/1.37))</f>
        <v>6.1892402498510364E-2</v>
      </c>
      <c r="S17">
        <f t="shared" ref="S17:S29" si="11">(AV17*AY17)</f>
        <v>87.833414516129054</v>
      </c>
      <c r="T17">
        <f t="shared" ref="T17:T29" si="12">(BO17+(S17+2*0.95*0.0000000567*(((BO17+$B$7)+273)^4-(BO17+273)^4)-44100*H17)/(1.84*29.3*P17+8*0.95*0.0000000567*(BO17+273)^3))</f>
        <v>25.697610673520902</v>
      </c>
      <c r="U17">
        <f t="shared" ref="U17:U29" si="13">($C$7*BP17+$D$7*BQ17+$E$7*T17)</f>
        <v>24.971299999999999</v>
      </c>
      <c r="V17">
        <f t="shared" ref="V17:V29" si="14">0.61365*EXP(17.502*U17/(240.97+U17))</f>
        <v>3.1742410115387338</v>
      </c>
      <c r="W17">
        <f t="shared" ref="W17:W29" si="15">(X17/Y17*100)</f>
        <v>67.877216746744722</v>
      </c>
      <c r="X17">
        <f t="shared" ref="X17:X29" si="16">BH17*(BM17+BN17)/1000</f>
        <v>2.2072837641086878</v>
      </c>
      <c r="Y17">
        <f t="shared" ref="Y17:Y29" si="17">0.61365*EXP(17.502*BO17/(240.97+BO17))</f>
        <v>3.2518772423215858</v>
      </c>
      <c r="Z17">
        <f t="shared" ref="Z17:Z29" si="18">(V17-BH17*(BM17+BN17)/1000)</f>
        <v>0.96695724743004607</v>
      </c>
      <c r="AA17">
        <f t="shared" ref="AA17:AA29" si="19">(-H17*44100)</f>
        <v>-42.200396727413327</v>
      </c>
      <c r="AB17">
        <f t="shared" ref="AB17:AB29" si="20">2*29.3*P17*0.92*(BO17-U17)</f>
        <v>53.142002269443864</v>
      </c>
      <c r="AC17">
        <f t="shared" ref="AC17:AC29" si="21">2*0.95*0.0000000567*(((BO17+$B$7)+273)^4-(U17+273)^4)</f>
        <v>4.6361463237960834</v>
      </c>
      <c r="AD17">
        <f t="shared" ref="AD17:AD29" si="22">S17+AC17+AA17+AB17</f>
        <v>103.41116638195567</v>
      </c>
      <c r="AE17">
        <f t="shared" ref="AE17:AE29" si="23">BL17*AS17*(BG17-BF17*(1000-AS17*BI17)/(1000-AS17*BH17))/(100*AZ17)</f>
        <v>11.457367607612515</v>
      </c>
      <c r="AF17">
        <f t="shared" ref="AF17:AF29" si="24">1000*BL17*AS17*(BH17-BI17)/(100*AZ17*(1000-AS17*BH17))</f>
        <v>0.95692509585971264</v>
      </c>
      <c r="AG17">
        <f t="shared" ref="AG17:AG29" si="25">(AH17 - AI17 - BM17*1000/(8.314*(BO17+273.15)) * AK17/BL17 * AJ17) * BL17/(100*AZ17) * (1000 - BI17)/1000</f>
        <v>11.453182645412168</v>
      </c>
      <c r="AH17">
        <v>458.9470066748458</v>
      </c>
      <c r="AI17">
        <v>432.66829696969688</v>
      </c>
      <c r="AJ17">
        <v>7.9117364012614195E-5</v>
      </c>
      <c r="AK17">
        <v>83.958596376727243</v>
      </c>
      <c r="AL17">
        <f t="shared" ref="AL17:AL29" si="26">(AN17 - AM17 + BM17*1000/(8.314*(BO17+273.15)) * AP17/BL17 * AO17) * BL17/(100*AZ17) * 1000/(1000 - AN17)</f>
        <v>0.953942356169173</v>
      </c>
      <c r="AM17">
        <v>19.483221655201099</v>
      </c>
      <c r="AN17">
        <v>21.5829917293233</v>
      </c>
      <c r="AO17">
        <v>-1.676183841480524E-6</v>
      </c>
      <c r="AP17">
        <v>90.545189892898478</v>
      </c>
      <c r="AQ17">
        <v>0</v>
      </c>
      <c r="AR17">
        <v>0</v>
      </c>
      <c r="AS17">
        <f t="shared" ref="AS17:AS29" si="27">IF(AQ17*$H$13&gt;=AU17,1,(AU17/(AU17-AQ17*$H$13)))</f>
        <v>1</v>
      </c>
      <c r="AT17">
        <f t="shared" ref="AT17:AT29" si="28">(AS17-1)*100</f>
        <v>0</v>
      </c>
      <c r="AU17">
        <f t="shared" ref="AU17:AU29" si="29">MAX(0,($B$13+$C$13*BT17)/(1+$D$13*BT17)*BM17/(BO17+273)*$E$13)</f>
        <v>54304.940805245838</v>
      </c>
      <c r="AV17">
        <f t="shared" ref="AV17:AV29" si="30">$B$11*BU17+$C$11*BV17</f>
        <v>462.28112903225821</v>
      </c>
      <c r="AW17">
        <f t="shared" ref="AW17:AW29" si="31">AV17*AX17</f>
        <v>369.82490322580657</v>
      </c>
      <c r="AX17">
        <f t="shared" ref="AX17:AX29" si="32">($B$11*$D$9+$C$11*$D$9)/($B$11+$C$11)</f>
        <v>0.8</v>
      </c>
      <c r="AY17">
        <f t="shared" ref="AY17:AY29" si="33">($B$11*$K$9+$C$11*$K$9)/($B$11+$C$11)</f>
        <v>0.19</v>
      </c>
      <c r="AZ17">
        <v>9</v>
      </c>
      <c r="BA17">
        <v>14.19</v>
      </c>
      <c r="BB17" t="s">
        <v>336</v>
      </c>
      <c r="BC17">
        <v>2</v>
      </c>
      <c r="BD17" t="b">
        <v>0</v>
      </c>
      <c r="BE17">
        <v>1749563676.099999</v>
      </c>
      <c r="BF17">
        <v>423.31170967741929</v>
      </c>
      <c r="BG17">
        <v>449.99851612903223</v>
      </c>
      <c r="BH17">
        <v>21.587725806451619</v>
      </c>
      <c r="BI17">
        <v>19.481416129032262</v>
      </c>
      <c r="BJ17">
        <v>419.80074193548381</v>
      </c>
      <c r="BK17">
        <v>21.33413548387097</v>
      </c>
      <c r="BL17">
        <v>400.05538709677421</v>
      </c>
      <c r="BM17">
        <v>102.14712903225811</v>
      </c>
      <c r="BN17">
        <v>0.1000360419354839</v>
      </c>
      <c r="BO17">
        <v>25.377135483870969</v>
      </c>
      <c r="BP17">
        <v>24.971299999999999</v>
      </c>
      <c r="BQ17">
        <v>999.90000000000032</v>
      </c>
      <c r="BR17">
        <v>0</v>
      </c>
      <c r="BS17">
        <v>0</v>
      </c>
      <c r="BT17">
        <v>9999.7419354838712</v>
      </c>
      <c r="BU17">
        <v>462.28112903225821</v>
      </c>
      <c r="BV17">
        <v>11.345800000000001</v>
      </c>
      <c r="BW17">
        <v>-26.686732258064509</v>
      </c>
      <c r="BX17">
        <v>432.65174193548393</v>
      </c>
      <c r="BY17">
        <v>458.93929032258058</v>
      </c>
      <c r="BZ17">
        <v>2.106307419354839</v>
      </c>
      <c r="CA17">
        <v>449.99851612903223</v>
      </c>
      <c r="CB17">
        <v>19.481416129032262</v>
      </c>
      <c r="CC17">
        <v>2.205123548387097</v>
      </c>
      <c r="CD17">
        <v>1.989971290322581</v>
      </c>
      <c r="CE17">
        <v>18.999580645161291</v>
      </c>
      <c r="CF17">
        <v>17.364748387096771</v>
      </c>
      <c r="CG17">
        <v>1749544513.0999999</v>
      </c>
      <c r="CH17" t="s">
        <v>337</v>
      </c>
      <c r="CI17">
        <v>1749544513.0999999</v>
      </c>
      <c r="CJ17">
        <v>1749544511.5999999</v>
      </c>
      <c r="CK17">
        <v>2</v>
      </c>
      <c r="CL17">
        <v>-1E-3</v>
      </c>
      <c r="CM17">
        <v>-1E-3</v>
      </c>
      <c r="CN17">
        <v>3.7469999999999999</v>
      </c>
      <c r="CO17">
        <v>0.254</v>
      </c>
      <c r="CP17">
        <v>450</v>
      </c>
      <c r="CQ17">
        <v>19</v>
      </c>
      <c r="CR17">
        <v>0.37</v>
      </c>
      <c r="CS17">
        <v>0.18</v>
      </c>
      <c r="CT17">
        <v>-26.695245</v>
      </c>
      <c r="CU17">
        <v>0.23933133208250559</v>
      </c>
      <c r="CV17">
        <v>4.3009271965472433E-2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2.1080625</v>
      </c>
      <c r="DC17">
        <v>-3.0678348968111481E-2</v>
      </c>
      <c r="DD17">
        <v>3.5110053759571328E-3</v>
      </c>
      <c r="DE17">
        <v>1</v>
      </c>
      <c r="DF17">
        <v>2</v>
      </c>
      <c r="DG17">
        <v>2</v>
      </c>
      <c r="DH17" t="s">
        <v>338</v>
      </c>
      <c r="DI17">
        <v>3.0243899999999999</v>
      </c>
      <c r="DJ17">
        <v>2.6912500000000001</v>
      </c>
      <c r="DK17">
        <v>9.7959599999999994E-2</v>
      </c>
      <c r="DL17">
        <v>0.103725</v>
      </c>
      <c r="DM17">
        <v>0.11217000000000001</v>
      </c>
      <c r="DN17">
        <v>0.105584</v>
      </c>
      <c r="DO17">
        <v>25211</v>
      </c>
      <c r="DP17">
        <v>16999.599999999999</v>
      </c>
      <c r="DQ17">
        <v>26510.400000000001</v>
      </c>
      <c r="DR17">
        <v>17234.7</v>
      </c>
      <c r="DS17">
        <v>33471.1</v>
      </c>
      <c r="DT17">
        <v>20115</v>
      </c>
      <c r="DU17">
        <v>38618.699999999997</v>
      </c>
      <c r="DV17">
        <v>22822.1</v>
      </c>
      <c r="DW17">
        <v>1.8185800000000001</v>
      </c>
      <c r="DX17">
        <v>2.2316199999999999</v>
      </c>
      <c r="DY17">
        <v>9.5209500000000002E-2</v>
      </c>
      <c r="DZ17">
        <v>0</v>
      </c>
      <c r="EA17">
        <v>23.400200000000002</v>
      </c>
      <c r="EB17">
        <v>999.9</v>
      </c>
      <c r="EC17">
        <v>51.9</v>
      </c>
      <c r="ED17">
        <v>31.1</v>
      </c>
      <c r="EE17">
        <v>23.052800000000001</v>
      </c>
      <c r="EF17">
        <v>63.020400000000002</v>
      </c>
      <c r="EG17">
        <v>36.209899999999998</v>
      </c>
      <c r="EH17">
        <v>1</v>
      </c>
      <c r="EI17">
        <v>-8.9386199999999999E-2</v>
      </c>
      <c r="EJ17">
        <v>-0.92323299999999997</v>
      </c>
      <c r="EK17">
        <v>20.342300000000002</v>
      </c>
      <c r="EL17">
        <v>5.2515499999999999</v>
      </c>
      <c r="EM17">
        <v>11.962</v>
      </c>
      <c r="EN17">
        <v>4.9905600000000003</v>
      </c>
      <c r="EO17">
        <v>3.2917999999999998</v>
      </c>
      <c r="EP17">
        <v>9999</v>
      </c>
      <c r="EQ17">
        <v>9999</v>
      </c>
      <c r="ER17">
        <v>9999</v>
      </c>
      <c r="ES17">
        <v>999.9</v>
      </c>
      <c r="ET17">
        <v>4.9726499999999998</v>
      </c>
      <c r="EU17">
        <v>1.8718699999999999</v>
      </c>
      <c r="EV17">
        <v>1.8721099999999999</v>
      </c>
      <c r="EW17">
        <v>1.87714</v>
      </c>
      <c r="EX17">
        <v>1.87134</v>
      </c>
      <c r="EY17">
        <v>1.8721000000000001</v>
      </c>
      <c r="EZ17">
        <v>1.8717900000000001</v>
      </c>
      <c r="FA17">
        <v>1.86859</v>
      </c>
      <c r="FB17">
        <v>0</v>
      </c>
      <c r="FC17">
        <v>0</v>
      </c>
      <c r="FD17">
        <v>0</v>
      </c>
      <c r="FE17">
        <v>0</v>
      </c>
      <c r="FF17" t="s">
        <v>339</v>
      </c>
      <c r="FG17" t="s">
        <v>340</v>
      </c>
      <c r="FH17" t="s">
        <v>341</v>
      </c>
      <c r="FI17" t="s">
        <v>341</v>
      </c>
      <c r="FJ17" t="s">
        <v>341</v>
      </c>
      <c r="FK17" t="s">
        <v>341</v>
      </c>
      <c r="FL17">
        <v>0</v>
      </c>
      <c r="FM17">
        <v>100</v>
      </c>
      <c r="FN17">
        <v>100</v>
      </c>
      <c r="FO17">
        <v>3.5110000000000001</v>
      </c>
      <c r="FP17">
        <v>0.2535</v>
      </c>
      <c r="FQ17">
        <v>2.4079072826054929E-2</v>
      </c>
      <c r="FR17">
        <v>7.6898218637449396E-3</v>
      </c>
      <c r="FS17">
        <v>1.5097418776848419E-6</v>
      </c>
      <c r="FT17">
        <v>-9.8458676114205118E-11</v>
      </c>
      <c r="FU17">
        <v>0.25358499999999401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319.5</v>
      </c>
      <c r="GD17">
        <v>319.5</v>
      </c>
      <c r="GE17">
        <v>1.10229</v>
      </c>
      <c r="GF17">
        <v>2.6293899999999999</v>
      </c>
      <c r="GG17">
        <v>1.7981</v>
      </c>
      <c r="GH17">
        <v>2.3754900000000001</v>
      </c>
      <c r="GI17">
        <v>1.5979000000000001</v>
      </c>
      <c r="GJ17">
        <v>2.5451700000000002</v>
      </c>
      <c r="GK17">
        <v>33.8735</v>
      </c>
      <c r="GL17">
        <v>24.1663</v>
      </c>
      <c r="GM17">
        <v>18</v>
      </c>
      <c r="GN17">
        <v>364.55399999999997</v>
      </c>
      <c r="GO17">
        <v>687.72199999999998</v>
      </c>
      <c r="GP17">
        <v>25.829699999999999</v>
      </c>
      <c r="GQ17">
        <v>25.9437</v>
      </c>
      <c r="GR17">
        <v>29.9999</v>
      </c>
      <c r="GS17">
        <v>25.961300000000001</v>
      </c>
      <c r="GT17">
        <v>25.984200000000001</v>
      </c>
      <c r="GU17">
        <v>22.008800000000001</v>
      </c>
      <c r="GV17">
        <v>21.276299999999999</v>
      </c>
      <c r="GW17">
        <v>0.38104300000000002</v>
      </c>
      <c r="GX17">
        <v>25.83</v>
      </c>
      <c r="GY17">
        <v>450</v>
      </c>
      <c r="GZ17">
        <v>19.5</v>
      </c>
      <c r="HA17">
        <v>100.736</v>
      </c>
      <c r="HB17">
        <v>71.258700000000005</v>
      </c>
    </row>
    <row r="18" spans="1:210" x14ac:dyDescent="0.3">
      <c r="A18">
        <v>2</v>
      </c>
      <c r="B18">
        <v>1749563864.5999999</v>
      </c>
      <c r="C18">
        <v>180.5</v>
      </c>
      <c r="D18" t="s">
        <v>342</v>
      </c>
      <c r="E18" t="s">
        <v>343</v>
      </c>
      <c r="F18">
        <v>15</v>
      </c>
      <c r="G18">
        <v>1749563856.849999</v>
      </c>
      <c r="H18">
        <f t="shared" si="0"/>
        <v>9.8273642664274989E-4</v>
      </c>
      <c r="I18">
        <f t="shared" si="1"/>
        <v>0.98273642664274996</v>
      </c>
      <c r="J18">
        <f t="shared" si="2"/>
        <v>7.4034377048814504</v>
      </c>
      <c r="K18">
        <f t="shared" si="3"/>
        <v>282.72393333333332</v>
      </c>
      <c r="L18">
        <f t="shared" si="4"/>
        <v>164.36200121922178</v>
      </c>
      <c r="M18">
        <f t="shared" si="5"/>
        <v>16.804586827849167</v>
      </c>
      <c r="N18">
        <f t="shared" si="6"/>
        <v>28.906066187854456</v>
      </c>
      <c r="O18">
        <f t="shared" si="7"/>
        <v>0.1064337020866149</v>
      </c>
      <c r="P18">
        <f t="shared" si="8"/>
        <v>2.4280111169038072</v>
      </c>
      <c r="Q18">
        <f t="shared" si="9"/>
        <v>0.10250218623965719</v>
      </c>
      <c r="R18">
        <f t="shared" si="10"/>
        <v>6.4405179820774525E-2</v>
      </c>
      <c r="S18">
        <f t="shared" si="11"/>
        <v>87.840812666666636</v>
      </c>
      <c r="T18">
        <f t="shared" si="12"/>
        <v>25.655665562046448</v>
      </c>
      <c r="U18">
        <f t="shared" si="13"/>
        <v>24.919656666666661</v>
      </c>
      <c r="V18">
        <f t="shared" si="14"/>
        <v>3.1644787844090234</v>
      </c>
      <c r="W18">
        <f t="shared" si="15"/>
        <v>68.09895134961576</v>
      </c>
      <c r="X18">
        <f t="shared" si="16"/>
        <v>2.2100073273723089</v>
      </c>
      <c r="Y18">
        <f t="shared" si="17"/>
        <v>3.2452883393552856</v>
      </c>
      <c r="Z18">
        <f t="shared" si="18"/>
        <v>0.95447145703671454</v>
      </c>
      <c r="AA18">
        <f t="shared" si="19"/>
        <v>-43.338676414945269</v>
      </c>
      <c r="AB18">
        <f t="shared" si="20"/>
        <v>55.418245922790895</v>
      </c>
      <c r="AC18">
        <f t="shared" si="21"/>
        <v>4.8343315019393795</v>
      </c>
      <c r="AD18">
        <f t="shared" si="22"/>
        <v>104.75471367645164</v>
      </c>
      <c r="AE18">
        <f t="shared" si="23"/>
        <v>7.4034377048814504</v>
      </c>
      <c r="AF18">
        <f t="shared" si="24"/>
        <v>0.98273642664274996</v>
      </c>
      <c r="AG18">
        <f t="shared" si="25"/>
        <v>7.4361430817451524</v>
      </c>
      <c r="AH18">
        <v>305.99344726776297</v>
      </c>
      <c r="AI18">
        <v>288.93385454545449</v>
      </c>
      <c r="AJ18">
        <v>-1.5062397127487369E-4</v>
      </c>
      <c r="AK18">
        <v>83.958596376727243</v>
      </c>
      <c r="AL18">
        <f t="shared" si="26"/>
        <v>0.98469325995020762</v>
      </c>
      <c r="AM18">
        <v>19.451356074187959</v>
      </c>
      <c r="AN18">
        <v>21.61872120300751</v>
      </c>
      <c r="AO18">
        <v>-1.716777079672373E-7</v>
      </c>
      <c r="AP18">
        <v>90.545189892898478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54282.375400118319</v>
      </c>
      <c r="AV18">
        <f t="shared" si="30"/>
        <v>462.32006666666649</v>
      </c>
      <c r="AW18">
        <f t="shared" si="31"/>
        <v>369.85605333333319</v>
      </c>
      <c r="AX18">
        <f t="shared" si="32"/>
        <v>0.8</v>
      </c>
      <c r="AY18">
        <f t="shared" si="33"/>
        <v>0.19</v>
      </c>
      <c r="AZ18">
        <v>9</v>
      </c>
      <c r="BA18">
        <v>14.19</v>
      </c>
      <c r="BB18" t="s">
        <v>336</v>
      </c>
      <c r="BC18">
        <v>2</v>
      </c>
      <c r="BD18" t="b">
        <v>0</v>
      </c>
      <c r="BE18">
        <v>1749563856.849999</v>
      </c>
      <c r="BF18">
        <v>282.72393333333332</v>
      </c>
      <c r="BG18">
        <v>300.00443333333328</v>
      </c>
      <c r="BH18">
        <v>21.615600000000001</v>
      </c>
      <c r="BI18">
        <v>19.452536666666671</v>
      </c>
      <c r="BJ18">
        <v>280.42686666666663</v>
      </c>
      <c r="BK18">
        <v>21.362020000000001</v>
      </c>
      <c r="BL18">
        <v>400.0551333333334</v>
      </c>
      <c r="BM18">
        <v>102.1412666666667</v>
      </c>
      <c r="BN18">
        <v>0.10004643000000001</v>
      </c>
      <c r="BO18">
        <v>25.343023333333331</v>
      </c>
      <c r="BP18">
        <v>24.919656666666661</v>
      </c>
      <c r="BQ18">
        <v>999.9000000000002</v>
      </c>
      <c r="BR18">
        <v>0</v>
      </c>
      <c r="BS18">
        <v>0</v>
      </c>
      <c r="BT18">
        <v>9994.8166666666675</v>
      </c>
      <c r="BU18">
        <v>462.32006666666649</v>
      </c>
      <c r="BV18">
        <v>11.345800000000001</v>
      </c>
      <c r="BW18">
        <v>-17.2805</v>
      </c>
      <c r="BX18">
        <v>288.97019999999998</v>
      </c>
      <c r="BY18">
        <v>305.95606666666657</v>
      </c>
      <c r="BZ18">
        <v>2.1630696666666669</v>
      </c>
      <c r="CA18">
        <v>300.00443333333328</v>
      </c>
      <c r="CB18">
        <v>19.452536666666671</v>
      </c>
      <c r="CC18">
        <v>2.207845666666667</v>
      </c>
      <c r="CD18">
        <v>1.9869056666666669</v>
      </c>
      <c r="CE18">
        <v>19.019349999999999</v>
      </c>
      <c r="CF18">
        <v>17.340373333333329</v>
      </c>
      <c r="CG18">
        <v>1749544513.0999999</v>
      </c>
      <c r="CH18" t="s">
        <v>337</v>
      </c>
      <c r="CI18">
        <v>1749544513.0999999</v>
      </c>
      <c r="CJ18">
        <v>1749544511.5999999</v>
      </c>
      <c r="CK18">
        <v>2</v>
      </c>
      <c r="CL18">
        <v>-1E-3</v>
      </c>
      <c r="CM18">
        <v>-1E-3</v>
      </c>
      <c r="CN18">
        <v>3.7469999999999999</v>
      </c>
      <c r="CO18">
        <v>0.254</v>
      </c>
      <c r="CP18">
        <v>450</v>
      </c>
      <c r="CQ18">
        <v>19</v>
      </c>
      <c r="CR18">
        <v>0.37</v>
      </c>
      <c r="CS18">
        <v>0.18</v>
      </c>
      <c r="CT18">
        <v>-17.249275609756101</v>
      </c>
      <c r="CU18">
        <v>-0.49384390243903509</v>
      </c>
      <c r="CV18">
        <v>5.5269520469431239E-2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2.1593551219512199</v>
      </c>
      <c r="DC18">
        <v>5.8676445993033281E-2</v>
      </c>
      <c r="DD18">
        <v>6.4359251318051409E-3</v>
      </c>
      <c r="DE18">
        <v>1</v>
      </c>
      <c r="DF18">
        <v>2</v>
      </c>
      <c r="DG18">
        <v>2</v>
      </c>
      <c r="DH18" t="s">
        <v>338</v>
      </c>
      <c r="DI18">
        <v>3.0245299999999999</v>
      </c>
      <c r="DJ18">
        <v>2.6913299999999998</v>
      </c>
      <c r="DK18">
        <v>7.1277699999999999E-2</v>
      </c>
      <c r="DL18">
        <v>7.5712799999999997E-2</v>
      </c>
      <c r="DM18">
        <v>0.112331</v>
      </c>
      <c r="DN18">
        <v>0.105529</v>
      </c>
      <c r="DO18">
        <v>25960.2</v>
      </c>
      <c r="DP18">
        <v>17533.599999999999</v>
      </c>
      <c r="DQ18">
        <v>26513.4</v>
      </c>
      <c r="DR18">
        <v>17237.099999999999</v>
      </c>
      <c r="DS18">
        <v>33468.1</v>
      </c>
      <c r="DT18">
        <v>20118.5</v>
      </c>
      <c r="DU18">
        <v>38623.9</v>
      </c>
      <c r="DV18">
        <v>22825.4</v>
      </c>
      <c r="DW18">
        <v>1.81972</v>
      </c>
      <c r="DX18">
        <v>2.2332399999999999</v>
      </c>
      <c r="DY18">
        <v>9.6666799999999997E-2</v>
      </c>
      <c r="DZ18">
        <v>0</v>
      </c>
      <c r="EA18">
        <v>23.331800000000001</v>
      </c>
      <c r="EB18">
        <v>999.9</v>
      </c>
      <c r="EC18">
        <v>51.8</v>
      </c>
      <c r="ED18">
        <v>31.1</v>
      </c>
      <c r="EE18">
        <v>23.008400000000002</v>
      </c>
      <c r="EF18">
        <v>62.900500000000001</v>
      </c>
      <c r="EG18">
        <v>36.229999999999997</v>
      </c>
      <c r="EH18">
        <v>1</v>
      </c>
      <c r="EI18">
        <v>-9.7536600000000001E-2</v>
      </c>
      <c r="EJ18">
        <v>-0.95909100000000003</v>
      </c>
      <c r="EK18">
        <v>20.342199999999998</v>
      </c>
      <c r="EL18">
        <v>5.25143</v>
      </c>
      <c r="EM18">
        <v>11.962</v>
      </c>
      <c r="EN18">
        <v>4.99</v>
      </c>
      <c r="EO18">
        <v>3.2916599999999998</v>
      </c>
      <c r="EP18">
        <v>9999</v>
      </c>
      <c r="EQ18">
        <v>9999</v>
      </c>
      <c r="ER18">
        <v>9999</v>
      </c>
      <c r="ES18">
        <v>999.9</v>
      </c>
      <c r="ET18">
        <v>4.9726499999999998</v>
      </c>
      <c r="EU18">
        <v>1.8718600000000001</v>
      </c>
      <c r="EV18">
        <v>1.8721000000000001</v>
      </c>
      <c r="EW18">
        <v>1.87714</v>
      </c>
      <c r="EX18">
        <v>1.87134</v>
      </c>
      <c r="EY18">
        <v>1.8721000000000001</v>
      </c>
      <c r="EZ18">
        <v>1.8717299999999999</v>
      </c>
      <c r="FA18">
        <v>1.86859</v>
      </c>
      <c r="FB18">
        <v>0</v>
      </c>
      <c r="FC18">
        <v>0</v>
      </c>
      <c r="FD18">
        <v>0</v>
      </c>
      <c r="FE18">
        <v>0</v>
      </c>
      <c r="FF18" t="s">
        <v>339</v>
      </c>
      <c r="FG18" t="s">
        <v>340</v>
      </c>
      <c r="FH18" t="s">
        <v>341</v>
      </c>
      <c r="FI18" t="s">
        <v>341</v>
      </c>
      <c r="FJ18" t="s">
        <v>341</v>
      </c>
      <c r="FK18" t="s">
        <v>341</v>
      </c>
      <c r="FL18">
        <v>0</v>
      </c>
      <c r="FM18">
        <v>100</v>
      </c>
      <c r="FN18">
        <v>100</v>
      </c>
      <c r="FO18">
        <v>2.2970000000000002</v>
      </c>
      <c r="FP18">
        <v>0.2535</v>
      </c>
      <c r="FQ18">
        <v>2.4079072826054929E-2</v>
      </c>
      <c r="FR18">
        <v>7.6898218637449396E-3</v>
      </c>
      <c r="FS18">
        <v>1.5097418776848419E-6</v>
      </c>
      <c r="FT18">
        <v>-9.8458676114205118E-11</v>
      </c>
      <c r="FU18">
        <v>0.25358499999999401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322.5</v>
      </c>
      <c r="GD18">
        <v>322.60000000000002</v>
      </c>
      <c r="GE18">
        <v>0.79956099999999997</v>
      </c>
      <c r="GF18">
        <v>2.6208499999999999</v>
      </c>
      <c r="GG18">
        <v>1.7981</v>
      </c>
      <c r="GH18">
        <v>2.3754900000000001</v>
      </c>
      <c r="GI18">
        <v>1.5979000000000001</v>
      </c>
      <c r="GJ18">
        <v>2.5842299999999998</v>
      </c>
      <c r="GK18">
        <v>33.783200000000001</v>
      </c>
      <c r="GL18">
        <v>24.1751</v>
      </c>
      <c r="GM18">
        <v>18</v>
      </c>
      <c r="GN18">
        <v>364.39699999999999</v>
      </c>
      <c r="GO18">
        <v>687.69100000000003</v>
      </c>
      <c r="GP18">
        <v>25.829799999999999</v>
      </c>
      <c r="GQ18">
        <v>25.8414</v>
      </c>
      <c r="GR18">
        <v>29.9999</v>
      </c>
      <c r="GS18">
        <v>25.853000000000002</v>
      </c>
      <c r="GT18">
        <v>25.874600000000001</v>
      </c>
      <c r="GU18">
        <v>15.957100000000001</v>
      </c>
      <c r="GV18">
        <v>21.002099999999999</v>
      </c>
      <c r="GW18">
        <v>1.49882</v>
      </c>
      <c r="GX18">
        <v>25.83</v>
      </c>
      <c r="GY18">
        <v>300</v>
      </c>
      <c r="GZ18">
        <v>19.5</v>
      </c>
      <c r="HA18">
        <v>100.749</v>
      </c>
      <c r="HB18">
        <v>71.268900000000002</v>
      </c>
    </row>
    <row r="19" spans="1:210" x14ac:dyDescent="0.3">
      <c r="A19">
        <v>3</v>
      </c>
      <c r="B19">
        <v>1749564045.0999999</v>
      </c>
      <c r="C19">
        <v>361</v>
      </c>
      <c r="D19" t="s">
        <v>344</v>
      </c>
      <c r="E19" t="s">
        <v>345</v>
      </c>
      <c r="F19">
        <v>15</v>
      </c>
      <c r="G19">
        <v>1749564037.349999</v>
      </c>
      <c r="H19">
        <f t="shared" si="0"/>
        <v>1.0806161081486512E-3</v>
      </c>
      <c r="I19">
        <f t="shared" si="1"/>
        <v>1.0806161081486512</v>
      </c>
      <c r="J19">
        <f t="shared" si="2"/>
        <v>4.6271019665680262</v>
      </c>
      <c r="K19">
        <f t="shared" si="3"/>
        <v>189.12870000000001</v>
      </c>
      <c r="L19">
        <f t="shared" si="4"/>
        <v>123.68895611604222</v>
      </c>
      <c r="M19">
        <f t="shared" si="5"/>
        <v>12.645815576762422</v>
      </c>
      <c r="N19">
        <f t="shared" si="6"/>
        <v>19.33629917798805</v>
      </c>
      <c r="O19">
        <f t="shared" si="7"/>
        <v>0.12166656448935073</v>
      </c>
      <c r="P19">
        <f t="shared" si="8"/>
        <v>2.4285850111571676</v>
      </c>
      <c r="Q19">
        <f t="shared" si="9"/>
        <v>0.11655893469306366</v>
      </c>
      <c r="R19">
        <f t="shared" si="10"/>
        <v>7.32906270863313E-2</v>
      </c>
      <c r="S19">
        <f t="shared" si="11"/>
        <v>87.832813666666695</v>
      </c>
      <c r="T19">
        <f t="shared" si="12"/>
        <v>25.588088366231364</v>
      </c>
      <c r="U19">
        <f t="shared" si="13"/>
        <v>24.871700000000001</v>
      </c>
      <c r="V19">
        <f t="shared" si="14"/>
        <v>3.1554369594822638</v>
      </c>
      <c r="W19">
        <f t="shared" si="15"/>
        <v>68.945970224077342</v>
      </c>
      <c r="X19">
        <f t="shared" si="16"/>
        <v>2.2325582280812504</v>
      </c>
      <c r="Y19">
        <f t="shared" si="17"/>
        <v>3.2381272187850012</v>
      </c>
      <c r="Z19">
        <f t="shared" si="18"/>
        <v>0.9228787314010134</v>
      </c>
      <c r="AA19">
        <f t="shared" si="19"/>
        <v>-47.655170369355517</v>
      </c>
      <c r="AB19">
        <f t="shared" si="20"/>
        <v>56.847133180254851</v>
      </c>
      <c r="AC19">
        <f t="shared" si="21"/>
        <v>4.9556842574084516</v>
      </c>
      <c r="AD19">
        <f t="shared" si="22"/>
        <v>101.98046073497449</v>
      </c>
      <c r="AE19">
        <f t="shared" si="23"/>
        <v>4.6271019665680262</v>
      </c>
      <c r="AF19">
        <f t="shared" si="24"/>
        <v>1.0806161081486512</v>
      </c>
      <c r="AG19">
        <f t="shared" si="25"/>
        <v>4.6510250694532544</v>
      </c>
      <c r="AH19">
        <v>203.982014706245</v>
      </c>
      <c r="AI19">
        <v>193.31717575757571</v>
      </c>
      <c r="AJ19">
        <v>-9.5665428167435174E-4</v>
      </c>
      <c r="AK19">
        <v>83.958596376727243</v>
      </c>
      <c r="AL19">
        <f t="shared" si="26"/>
        <v>1.0874822904171391</v>
      </c>
      <c r="AM19">
        <v>19.45885421095565</v>
      </c>
      <c r="AN19">
        <v>21.852301954887221</v>
      </c>
      <c r="AO19">
        <v>6.422410033975333E-6</v>
      </c>
      <c r="AP19">
        <v>90.545189892898478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54308.455828340055</v>
      </c>
      <c r="AV19">
        <f t="shared" si="30"/>
        <v>462.27796666666683</v>
      </c>
      <c r="AW19">
        <f t="shared" si="31"/>
        <v>369.82237333333347</v>
      </c>
      <c r="AX19">
        <f t="shared" si="32"/>
        <v>0.8</v>
      </c>
      <c r="AY19">
        <f t="shared" si="33"/>
        <v>0.19</v>
      </c>
      <c r="AZ19">
        <v>9</v>
      </c>
      <c r="BA19">
        <v>14.19</v>
      </c>
      <c r="BB19" t="s">
        <v>336</v>
      </c>
      <c r="BC19">
        <v>2</v>
      </c>
      <c r="BD19" t="b">
        <v>0</v>
      </c>
      <c r="BE19">
        <v>1749564037.349999</v>
      </c>
      <c r="BF19">
        <v>189.12870000000001</v>
      </c>
      <c r="BG19">
        <v>200.0001666666667</v>
      </c>
      <c r="BH19">
        <v>21.836693333333329</v>
      </c>
      <c r="BI19">
        <v>19.458259999999999</v>
      </c>
      <c r="BJ19">
        <v>187.60943333333341</v>
      </c>
      <c r="BK19">
        <v>21.583109999999991</v>
      </c>
      <c r="BL19">
        <v>399.97636666666659</v>
      </c>
      <c r="BM19">
        <v>102.13890000000001</v>
      </c>
      <c r="BN19">
        <v>9.9941476666666668E-2</v>
      </c>
      <c r="BO19">
        <v>25.305879999999998</v>
      </c>
      <c r="BP19">
        <v>24.871700000000001</v>
      </c>
      <c r="BQ19">
        <v>999.9000000000002</v>
      </c>
      <c r="BR19">
        <v>0</v>
      </c>
      <c r="BS19">
        <v>0</v>
      </c>
      <c r="BT19">
        <v>9998.7666666666664</v>
      </c>
      <c r="BU19">
        <v>462.27796666666683</v>
      </c>
      <c r="BV19">
        <v>11.345800000000001</v>
      </c>
      <c r="BW19">
        <v>-10.87168</v>
      </c>
      <c r="BX19">
        <v>193.3507666666666</v>
      </c>
      <c r="BY19">
        <v>203.9692</v>
      </c>
      <c r="BZ19">
        <v>2.378430666666667</v>
      </c>
      <c r="CA19">
        <v>200.0001666666667</v>
      </c>
      <c r="CB19">
        <v>19.458259999999999</v>
      </c>
      <c r="CC19">
        <v>2.2303746666666671</v>
      </c>
      <c r="CD19">
        <v>1.987444</v>
      </c>
      <c r="CE19">
        <v>19.18217666666667</v>
      </c>
      <c r="CF19">
        <v>17.344666666666669</v>
      </c>
      <c r="CG19">
        <v>1749544513.0999999</v>
      </c>
      <c r="CH19" t="s">
        <v>337</v>
      </c>
      <c r="CI19">
        <v>1749544513.0999999</v>
      </c>
      <c r="CJ19">
        <v>1749544511.5999999</v>
      </c>
      <c r="CK19">
        <v>2</v>
      </c>
      <c r="CL19">
        <v>-1E-3</v>
      </c>
      <c r="CM19">
        <v>-1E-3</v>
      </c>
      <c r="CN19">
        <v>3.7469999999999999</v>
      </c>
      <c r="CO19">
        <v>0.254</v>
      </c>
      <c r="CP19">
        <v>450</v>
      </c>
      <c r="CQ19">
        <v>19</v>
      </c>
      <c r="CR19">
        <v>0.37</v>
      </c>
      <c r="CS19">
        <v>0.18</v>
      </c>
      <c r="CT19">
        <v>-10.84019512195122</v>
      </c>
      <c r="CU19">
        <v>-0.46889686411152087</v>
      </c>
      <c r="CV19">
        <v>4.8641605954811727E-2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2.3776463414634139</v>
      </c>
      <c r="DC19">
        <v>4.1229616724741777E-2</v>
      </c>
      <c r="DD19">
        <v>1.1442587494370699E-2</v>
      </c>
      <c r="DE19">
        <v>1</v>
      </c>
      <c r="DF19">
        <v>2</v>
      </c>
      <c r="DG19">
        <v>2</v>
      </c>
      <c r="DH19" t="s">
        <v>338</v>
      </c>
      <c r="DI19">
        <v>3.0246200000000001</v>
      </c>
      <c r="DJ19">
        <v>2.69129</v>
      </c>
      <c r="DK19">
        <v>5.0447199999999998E-2</v>
      </c>
      <c r="DL19">
        <v>5.3657999999999997E-2</v>
      </c>
      <c r="DM19">
        <v>0.113222</v>
      </c>
      <c r="DN19">
        <v>0.105544</v>
      </c>
      <c r="DO19">
        <v>26547.200000000001</v>
      </c>
      <c r="DP19">
        <v>17953.8</v>
      </c>
      <c r="DQ19">
        <v>26517.599999999999</v>
      </c>
      <c r="DR19">
        <v>17238.5</v>
      </c>
      <c r="DS19">
        <v>33437.199999999997</v>
      </c>
      <c r="DT19">
        <v>20118.8</v>
      </c>
      <c r="DU19">
        <v>38629.699999999997</v>
      </c>
      <c r="DV19">
        <v>22826.9</v>
      </c>
      <c r="DW19">
        <v>1.8207599999999999</v>
      </c>
      <c r="DX19">
        <v>2.2353000000000001</v>
      </c>
      <c r="DY19">
        <v>9.7393999999999994E-2</v>
      </c>
      <c r="DZ19">
        <v>0</v>
      </c>
      <c r="EA19">
        <v>23.270199999999999</v>
      </c>
      <c r="EB19">
        <v>999.9</v>
      </c>
      <c r="EC19">
        <v>51.7</v>
      </c>
      <c r="ED19">
        <v>31</v>
      </c>
      <c r="EE19">
        <v>22.834299999999999</v>
      </c>
      <c r="EF19">
        <v>62.890500000000003</v>
      </c>
      <c r="EG19">
        <v>36.277999999999999</v>
      </c>
      <c r="EH19">
        <v>1</v>
      </c>
      <c r="EI19">
        <v>-0.106091</v>
      </c>
      <c r="EJ19">
        <v>-1.00054</v>
      </c>
      <c r="EK19">
        <v>20.341699999999999</v>
      </c>
      <c r="EL19">
        <v>5.2527499999999998</v>
      </c>
      <c r="EM19">
        <v>11.962</v>
      </c>
      <c r="EN19">
        <v>4.9897999999999998</v>
      </c>
      <c r="EO19">
        <v>3.2917399999999999</v>
      </c>
      <c r="EP19">
        <v>9999</v>
      </c>
      <c r="EQ19">
        <v>9999</v>
      </c>
      <c r="ER19">
        <v>9999</v>
      </c>
      <c r="ES19">
        <v>999.9</v>
      </c>
      <c r="ET19">
        <v>4.9726499999999998</v>
      </c>
      <c r="EU19">
        <v>1.8718999999999999</v>
      </c>
      <c r="EV19">
        <v>1.8721000000000001</v>
      </c>
      <c r="EW19">
        <v>1.87714</v>
      </c>
      <c r="EX19">
        <v>1.87134</v>
      </c>
      <c r="EY19">
        <v>1.8721000000000001</v>
      </c>
      <c r="EZ19">
        <v>1.87175</v>
      </c>
      <c r="FA19">
        <v>1.86859</v>
      </c>
      <c r="FB19">
        <v>0</v>
      </c>
      <c r="FC19">
        <v>0</v>
      </c>
      <c r="FD19">
        <v>0</v>
      </c>
      <c r="FE19">
        <v>0</v>
      </c>
      <c r="FF19" t="s">
        <v>339</v>
      </c>
      <c r="FG19" t="s">
        <v>340</v>
      </c>
      <c r="FH19" t="s">
        <v>341</v>
      </c>
      <c r="FI19" t="s">
        <v>341</v>
      </c>
      <c r="FJ19" t="s">
        <v>341</v>
      </c>
      <c r="FK19" t="s">
        <v>341</v>
      </c>
      <c r="FL19">
        <v>0</v>
      </c>
      <c r="FM19">
        <v>100</v>
      </c>
      <c r="FN19">
        <v>100</v>
      </c>
      <c r="FO19">
        <v>1.5189999999999999</v>
      </c>
      <c r="FP19">
        <v>0.2535</v>
      </c>
      <c r="FQ19">
        <v>2.4079072826054929E-2</v>
      </c>
      <c r="FR19">
        <v>7.6898218637449396E-3</v>
      </c>
      <c r="FS19">
        <v>1.5097418776848419E-6</v>
      </c>
      <c r="FT19">
        <v>-9.8458676114205118E-11</v>
      </c>
      <c r="FU19">
        <v>0.25358499999999401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325.5</v>
      </c>
      <c r="GD19">
        <v>325.60000000000002</v>
      </c>
      <c r="GE19">
        <v>0.58715799999999996</v>
      </c>
      <c r="GF19">
        <v>2.63184</v>
      </c>
      <c r="GG19">
        <v>1.7981</v>
      </c>
      <c r="GH19">
        <v>2.3754900000000001</v>
      </c>
      <c r="GI19">
        <v>1.5979000000000001</v>
      </c>
      <c r="GJ19">
        <v>2.5463900000000002</v>
      </c>
      <c r="GK19">
        <v>33.692999999999998</v>
      </c>
      <c r="GL19">
        <v>24.1751</v>
      </c>
      <c r="GM19">
        <v>18</v>
      </c>
      <c r="GN19">
        <v>364.19</v>
      </c>
      <c r="GO19">
        <v>688.053</v>
      </c>
      <c r="GP19">
        <v>25.829899999999999</v>
      </c>
      <c r="GQ19">
        <v>25.7331</v>
      </c>
      <c r="GR19">
        <v>29.9999</v>
      </c>
      <c r="GS19">
        <v>25.744700000000002</v>
      </c>
      <c r="GT19">
        <v>25.765699999999999</v>
      </c>
      <c r="GU19">
        <v>11.698700000000001</v>
      </c>
      <c r="GV19">
        <v>20.452300000000001</v>
      </c>
      <c r="GW19">
        <v>3.7497199999999999</v>
      </c>
      <c r="GX19">
        <v>25.83</v>
      </c>
      <c r="GY19">
        <v>200</v>
      </c>
      <c r="GZ19">
        <v>19.5</v>
      </c>
      <c r="HA19">
        <v>100.764</v>
      </c>
      <c r="HB19">
        <v>71.274000000000001</v>
      </c>
    </row>
    <row r="20" spans="1:210" x14ac:dyDescent="0.3">
      <c r="A20">
        <v>4</v>
      </c>
      <c r="B20">
        <v>1749564225.5999999</v>
      </c>
      <c r="C20">
        <v>541.5</v>
      </c>
      <c r="D20" t="s">
        <v>346</v>
      </c>
      <c r="E20" t="s">
        <v>347</v>
      </c>
      <c r="F20">
        <v>15</v>
      </c>
      <c r="G20">
        <v>1749564217.849999</v>
      </c>
      <c r="H20">
        <f t="shared" si="0"/>
        <v>1.2053971668222958E-3</v>
      </c>
      <c r="I20">
        <f t="shared" si="1"/>
        <v>1.2053971668222958</v>
      </c>
      <c r="J20">
        <f t="shared" si="2"/>
        <v>2.2864724999399404</v>
      </c>
      <c r="K20">
        <f t="shared" si="3"/>
        <v>119.5272333333333</v>
      </c>
      <c r="L20">
        <f t="shared" si="4"/>
        <v>91.293151806020987</v>
      </c>
      <c r="M20">
        <f t="shared" si="5"/>
        <v>9.3335130229462031</v>
      </c>
      <c r="N20">
        <f t="shared" si="6"/>
        <v>12.220073103444093</v>
      </c>
      <c r="O20">
        <f t="shared" si="7"/>
        <v>0.14279447217587934</v>
      </c>
      <c r="P20">
        <f t="shared" si="8"/>
        <v>2.4290902924457036</v>
      </c>
      <c r="Q20">
        <f t="shared" si="9"/>
        <v>0.13581421436886182</v>
      </c>
      <c r="R20">
        <f t="shared" si="10"/>
        <v>8.5482987823878184E-2</v>
      </c>
      <c r="S20">
        <f t="shared" si="11"/>
        <v>87.835220333333325</v>
      </c>
      <c r="T20">
        <f t="shared" si="12"/>
        <v>25.528983963114637</v>
      </c>
      <c r="U20">
        <f t="shared" si="13"/>
        <v>24.842716666666671</v>
      </c>
      <c r="V20">
        <f t="shared" si="14"/>
        <v>3.1499833496182075</v>
      </c>
      <c r="W20">
        <f t="shared" si="15"/>
        <v>70.083436120980608</v>
      </c>
      <c r="X20">
        <f t="shared" si="16"/>
        <v>2.2666349220002546</v>
      </c>
      <c r="Y20">
        <f t="shared" si="17"/>
        <v>3.2341949074635927</v>
      </c>
      <c r="Z20">
        <f t="shared" si="18"/>
        <v>0.88334842761795285</v>
      </c>
      <c r="AA20">
        <f t="shared" si="19"/>
        <v>-53.158015056863242</v>
      </c>
      <c r="AB20">
        <f t="shared" si="20"/>
        <v>57.979516946086136</v>
      </c>
      <c r="AC20">
        <f t="shared" si="21"/>
        <v>5.0520929159893946</v>
      </c>
      <c r="AD20">
        <f t="shared" si="22"/>
        <v>97.708815138545617</v>
      </c>
      <c r="AE20">
        <f t="shared" si="23"/>
        <v>2.2864724999399404</v>
      </c>
      <c r="AF20">
        <f t="shared" si="24"/>
        <v>1.2053971668222958</v>
      </c>
      <c r="AG20">
        <f t="shared" si="25"/>
        <v>2.2990608501562506</v>
      </c>
      <c r="AH20">
        <v>127.50233918606369</v>
      </c>
      <c r="AI20">
        <v>122.2262121212121</v>
      </c>
      <c r="AJ20">
        <v>4.21705859538615E-5</v>
      </c>
      <c r="AK20">
        <v>83.958596376727243</v>
      </c>
      <c r="AL20">
        <f t="shared" si="26"/>
        <v>1.2105028672947662</v>
      </c>
      <c r="AM20">
        <v>19.519366023452399</v>
      </c>
      <c r="AN20">
        <v>22.18250781954886</v>
      </c>
      <c r="AO20">
        <v>2.3219124368913209E-6</v>
      </c>
      <c r="AP20">
        <v>90.545189892898478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54329.187468611759</v>
      </c>
      <c r="AV20">
        <f t="shared" si="30"/>
        <v>462.29063333333329</v>
      </c>
      <c r="AW20">
        <f t="shared" si="31"/>
        <v>369.83250666666663</v>
      </c>
      <c r="AX20">
        <f t="shared" si="32"/>
        <v>0.8</v>
      </c>
      <c r="AY20">
        <f t="shared" si="33"/>
        <v>0.19</v>
      </c>
      <c r="AZ20">
        <v>9</v>
      </c>
      <c r="BA20">
        <v>14.19</v>
      </c>
      <c r="BB20" t="s">
        <v>336</v>
      </c>
      <c r="BC20">
        <v>2</v>
      </c>
      <c r="BD20" t="b">
        <v>0</v>
      </c>
      <c r="BE20">
        <v>1749564217.849999</v>
      </c>
      <c r="BF20">
        <v>119.5272333333333</v>
      </c>
      <c r="BG20">
        <v>124.9958666666667</v>
      </c>
      <c r="BH20">
        <v>22.17045666666667</v>
      </c>
      <c r="BI20">
        <v>19.518493333333328</v>
      </c>
      <c r="BJ20">
        <v>118.5703</v>
      </c>
      <c r="BK20">
        <v>21.91686</v>
      </c>
      <c r="BL20">
        <v>400.00766666666658</v>
      </c>
      <c r="BM20">
        <v>102.1367666666667</v>
      </c>
      <c r="BN20">
        <v>9.9960166666666669E-2</v>
      </c>
      <c r="BO20">
        <v>25.28545333333334</v>
      </c>
      <c r="BP20">
        <v>24.842716666666671</v>
      </c>
      <c r="BQ20">
        <v>999.9000000000002</v>
      </c>
      <c r="BR20">
        <v>0</v>
      </c>
      <c r="BS20">
        <v>0</v>
      </c>
      <c r="BT20">
        <v>10002.25</v>
      </c>
      <c r="BU20">
        <v>462.29063333333329</v>
      </c>
      <c r="BV20">
        <v>11.345800000000001</v>
      </c>
      <c r="BW20">
        <v>-5.4685836666666674</v>
      </c>
      <c r="BX20">
        <v>122.2373333333333</v>
      </c>
      <c r="BY20">
        <v>127.4840333333333</v>
      </c>
      <c r="BZ20">
        <v>2.6519529999999998</v>
      </c>
      <c r="CA20">
        <v>124.9958666666667</v>
      </c>
      <c r="CB20">
        <v>19.518493333333328</v>
      </c>
      <c r="CC20">
        <v>2.2644176666666671</v>
      </c>
      <c r="CD20">
        <v>1.993555</v>
      </c>
      <c r="CE20">
        <v>19.42547333333334</v>
      </c>
      <c r="CF20">
        <v>17.393243333333331</v>
      </c>
      <c r="CG20">
        <v>1749544513.0999999</v>
      </c>
      <c r="CH20" t="s">
        <v>337</v>
      </c>
      <c r="CI20">
        <v>1749544513.0999999</v>
      </c>
      <c r="CJ20">
        <v>1749544511.5999999</v>
      </c>
      <c r="CK20">
        <v>2</v>
      </c>
      <c r="CL20">
        <v>-1E-3</v>
      </c>
      <c r="CM20">
        <v>-1E-3</v>
      </c>
      <c r="CN20">
        <v>3.7469999999999999</v>
      </c>
      <c r="CO20">
        <v>0.254</v>
      </c>
      <c r="CP20">
        <v>450</v>
      </c>
      <c r="CQ20">
        <v>19</v>
      </c>
      <c r="CR20">
        <v>0.37</v>
      </c>
      <c r="CS20">
        <v>0.18</v>
      </c>
      <c r="CT20">
        <v>-5.4596634146341474</v>
      </c>
      <c r="CU20">
        <v>-0.27441261324041788</v>
      </c>
      <c r="CV20">
        <v>3.5770783800556018E-2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2.6443985365853662</v>
      </c>
      <c r="DC20">
        <v>0.1361335191637609</v>
      </c>
      <c r="DD20">
        <v>1.3482158501457271E-2</v>
      </c>
      <c r="DE20">
        <v>0</v>
      </c>
      <c r="DF20">
        <v>1</v>
      </c>
      <c r="DG20">
        <v>2</v>
      </c>
      <c r="DH20" t="s">
        <v>348</v>
      </c>
      <c r="DI20">
        <v>3.0245299999999999</v>
      </c>
      <c r="DJ20">
        <v>2.6913100000000001</v>
      </c>
      <c r="DK20">
        <v>3.3023799999999999E-2</v>
      </c>
      <c r="DL20">
        <v>3.4869900000000002E-2</v>
      </c>
      <c r="DM20">
        <v>0.114463</v>
      </c>
      <c r="DN20">
        <v>0.10581500000000001</v>
      </c>
      <c r="DO20">
        <v>27041.1</v>
      </c>
      <c r="DP20">
        <v>18312.3</v>
      </c>
      <c r="DQ20">
        <v>26523.599999999999</v>
      </c>
      <c r="DR20">
        <v>17240.099999999999</v>
      </c>
      <c r="DS20">
        <v>33394.699999999997</v>
      </c>
      <c r="DT20">
        <v>20113.3</v>
      </c>
      <c r="DU20">
        <v>38637.599999999999</v>
      </c>
      <c r="DV20">
        <v>22828.3</v>
      </c>
      <c r="DW20">
        <v>1.8220400000000001</v>
      </c>
      <c r="DX20">
        <v>2.2379799999999999</v>
      </c>
      <c r="DY20">
        <v>9.6947000000000005E-2</v>
      </c>
      <c r="DZ20">
        <v>0</v>
      </c>
      <c r="EA20">
        <v>23.2529</v>
      </c>
      <c r="EB20">
        <v>999.9</v>
      </c>
      <c r="EC20">
        <v>51.7</v>
      </c>
      <c r="ED20">
        <v>30.9</v>
      </c>
      <c r="EE20">
        <v>22.706900000000001</v>
      </c>
      <c r="EF20">
        <v>62.860500000000002</v>
      </c>
      <c r="EG20">
        <v>36.290100000000002</v>
      </c>
      <c r="EH20">
        <v>1</v>
      </c>
      <c r="EI20">
        <v>-0.11493299999999999</v>
      </c>
      <c r="EJ20">
        <v>-1.0253000000000001</v>
      </c>
      <c r="EK20">
        <v>20.341699999999999</v>
      </c>
      <c r="EL20">
        <v>5.2527499999999998</v>
      </c>
      <c r="EM20">
        <v>11.962</v>
      </c>
      <c r="EN20">
        <v>4.9897200000000002</v>
      </c>
      <c r="EO20">
        <v>3.29182</v>
      </c>
      <c r="EP20">
        <v>9999</v>
      </c>
      <c r="EQ20">
        <v>9999</v>
      </c>
      <c r="ER20">
        <v>9999</v>
      </c>
      <c r="ES20">
        <v>999.9</v>
      </c>
      <c r="ET20">
        <v>4.9726600000000003</v>
      </c>
      <c r="EU20">
        <v>1.8718600000000001</v>
      </c>
      <c r="EV20">
        <v>1.8721000000000001</v>
      </c>
      <c r="EW20">
        <v>1.8771500000000001</v>
      </c>
      <c r="EX20">
        <v>1.87134</v>
      </c>
      <c r="EY20">
        <v>1.8721000000000001</v>
      </c>
      <c r="EZ20">
        <v>1.87174</v>
      </c>
      <c r="FA20">
        <v>1.8685799999999999</v>
      </c>
      <c r="FB20">
        <v>0</v>
      </c>
      <c r="FC20">
        <v>0</v>
      </c>
      <c r="FD20">
        <v>0</v>
      </c>
      <c r="FE20">
        <v>0</v>
      </c>
      <c r="FF20" t="s">
        <v>339</v>
      </c>
      <c r="FG20" t="s">
        <v>340</v>
      </c>
      <c r="FH20" t="s">
        <v>341</v>
      </c>
      <c r="FI20" t="s">
        <v>341</v>
      </c>
      <c r="FJ20" t="s">
        <v>341</v>
      </c>
      <c r="FK20" t="s">
        <v>341</v>
      </c>
      <c r="FL20">
        <v>0</v>
      </c>
      <c r="FM20">
        <v>100</v>
      </c>
      <c r="FN20">
        <v>100</v>
      </c>
      <c r="FO20">
        <v>0.95699999999999996</v>
      </c>
      <c r="FP20">
        <v>0.25359999999999999</v>
      </c>
      <c r="FQ20">
        <v>2.4079072826054929E-2</v>
      </c>
      <c r="FR20">
        <v>7.6898218637449396E-3</v>
      </c>
      <c r="FS20">
        <v>1.5097418776848419E-6</v>
      </c>
      <c r="FT20">
        <v>-9.8458676114205118E-11</v>
      </c>
      <c r="FU20">
        <v>0.25358499999999401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328.5</v>
      </c>
      <c r="GD20">
        <v>328.6</v>
      </c>
      <c r="GE20">
        <v>0.42236299999999999</v>
      </c>
      <c r="GF20">
        <v>2.6440399999999999</v>
      </c>
      <c r="GG20">
        <v>1.7981</v>
      </c>
      <c r="GH20">
        <v>2.3742700000000001</v>
      </c>
      <c r="GI20">
        <v>1.5979000000000001</v>
      </c>
      <c r="GJ20">
        <v>2.5439500000000002</v>
      </c>
      <c r="GK20">
        <v>33.625399999999999</v>
      </c>
      <c r="GL20">
        <v>24.1751</v>
      </c>
      <c r="GM20">
        <v>18</v>
      </c>
      <c r="GN20">
        <v>364.09899999999999</v>
      </c>
      <c r="GO20">
        <v>688.96100000000001</v>
      </c>
      <c r="GP20">
        <v>25.829699999999999</v>
      </c>
      <c r="GQ20">
        <v>25.626899999999999</v>
      </c>
      <c r="GR20">
        <v>29.9998</v>
      </c>
      <c r="GS20">
        <v>25.636299999999999</v>
      </c>
      <c r="GT20">
        <v>25.657</v>
      </c>
      <c r="GU20">
        <v>8.4095800000000001</v>
      </c>
      <c r="GV20">
        <v>19.9102</v>
      </c>
      <c r="GW20">
        <v>6.76389</v>
      </c>
      <c r="GX20">
        <v>25.83</v>
      </c>
      <c r="GY20">
        <v>125</v>
      </c>
      <c r="GZ20">
        <v>19.5</v>
      </c>
      <c r="HA20">
        <v>100.786</v>
      </c>
      <c r="HB20">
        <v>71.279399999999995</v>
      </c>
    </row>
    <row r="21" spans="1:210" x14ac:dyDescent="0.3">
      <c r="A21">
        <v>5</v>
      </c>
      <c r="B21">
        <v>1749564406.0999999</v>
      </c>
      <c r="C21">
        <v>722</v>
      </c>
      <c r="D21" t="s">
        <v>349</v>
      </c>
      <c r="E21" t="s">
        <v>350</v>
      </c>
      <c r="F21">
        <v>15</v>
      </c>
      <c r="G21">
        <v>1749564398.349999</v>
      </c>
      <c r="H21">
        <f t="shared" si="0"/>
        <v>1.3150608881775465E-3</v>
      </c>
      <c r="I21">
        <f t="shared" si="1"/>
        <v>1.3150608881775465</v>
      </c>
      <c r="J21">
        <f t="shared" si="2"/>
        <v>0.53274423495012946</v>
      </c>
      <c r="K21">
        <f t="shared" si="3"/>
        <v>73.575713333333354</v>
      </c>
      <c r="L21">
        <f t="shared" si="4"/>
        <v>67.139502260517901</v>
      </c>
      <c r="M21">
        <f t="shared" si="5"/>
        <v>6.8639617821689711</v>
      </c>
      <c r="N21">
        <f t="shared" si="6"/>
        <v>7.5219634851657675</v>
      </c>
      <c r="O21">
        <f t="shared" si="7"/>
        <v>0.16326220096977689</v>
      </c>
      <c r="P21">
        <f t="shared" si="8"/>
        <v>2.4281399795331722</v>
      </c>
      <c r="Q21">
        <f t="shared" si="9"/>
        <v>0.15420139205983507</v>
      </c>
      <c r="R21">
        <f t="shared" si="10"/>
        <v>9.7148581063561029E-2</v>
      </c>
      <c r="S21">
        <f t="shared" si="11"/>
        <v>87.840907666666652</v>
      </c>
      <c r="T21">
        <f t="shared" si="12"/>
        <v>25.458622142158031</v>
      </c>
      <c r="U21">
        <f t="shared" si="13"/>
        <v>24.79705666666667</v>
      </c>
      <c r="V21">
        <f t="shared" si="14"/>
        <v>3.1414085074519944</v>
      </c>
      <c r="W21">
        <f t="shared" si="15"/>
        <v>71.043715871194507</v>
      </c>
      <c r="X21">
        <f t="shared" si="16"/>
        <v>2.2927049570667806</v>
      </c>
      <c r="Y21">
        <f t="shared" si="17"/>
        <v>3.227174886549514</v>
      </c>
      <c r="Z21">
        <f t="shared" si="18"/>
        <v>0.84870355038521383</v>
      </c>
      <c r="AA21">
        <f t="shared" si="19"/>
        <v>-57.994185168629805</v>
      </c>
      <c r="AB21">
        <f t="shared" si="20"/>
        <v>59.153313865767771</v>
      </c>
      <c r="AC21">
        <f t="shared" si="21"/>
        <v>5.1542578597018709</v>
      </c>
      <c r="AD21">
        <f t="shared" si="22"/>
        <v>94.154294223506497</v>
      </c>
      <c r="AE21">
        <f t="shared" si="23"/>
        <v>0.53274423495012946</v>
      </c>
      <c r="AF21">
        <f t="shared" si="24"/>
        <v>1.3150608881775465</v>
      </c>
      <c r="AG21">
        <f t="shared" si="25"/>
        <v>0.51478303854849217</v>
      </c>
      <c r="AH21">
        <v>76.451268631979303</v>
      </c>
      <c r="AI21">
        <v>75.270174545454566</v>
      </c>
      <c r="AJ21">
        <v>-1.8530824910185109E-5</v>
      </c>
      <c r="AK21">
        <v>83.958596376727243</v>
      </c>
      <c r="AL21">
        <f t="shared" si="26"/>
        <v>1.3205427502920999</v>
      </c>
      <c r="AM21">
        <v>19.532783448669441</v>
      </c>
      <c r="AN21">
        <v>22.437108872180438</v>
      </c>
      <c r="AO21">
        <v>2.6732851211888121E-6</v>
      </c>
      <c r="AP21">
        <v>90.545189892898478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54303.699786454352</v>
      </c>
      <c r="AV21">
        <f t="shared" si="30"/>
        <v>462.32056666666659</v>
      </c>
      <c r="AW21">
        <f t="shared" si="31"/>
        <v>369.85645333333332</v>
      </c>
      <c r="AX21">
        <f t="shared" si="32"/>
        <v>0.8</v>
      </c>
      <c r="AY21">
        <f t="shared" si="33"/>
        <v>0.19</v>
      </c>
      <c r="AZ21">
        <v>9</v>
      </c>
      <c r="BA21">
        <v>14.19</v>
      </c>
      <c r="BB21" t="s">
        <v>336</v>
      </c>
      <c r="BC21">
        <v>2</v>
      </c>
      <c r="BD21" t="b">
        <v>0</v>
      </c>
      <c r="BE21">
        <v>1749564398.349999</v>
      </c>
      <c r="BF21">
        <v>73.575713333333354</v>
      </c>
      <c r="BG21">
        <v>74.991990000000001</v>
      </c>
      <c r="BH21">
        <v>22.425979999999999</v>
      </c>
      <c r="BI21">
        <v>19.53365333333333</v>
      </c>
      <c r="BJ21">
        <v>72.982410000000016</v>
      </c>
      <c r="BK21">
        <v>22.172403333333332</v>
      </c>
      <c r="BL21">
        <v>400.02826666666658</v>
      </c>
      <c r="BM21">
        <v>102.1343</v>
      </c>
      <c r="BN21">
        <v>0.10002630666666661</v>
      </c>
      <c r="BO21">
        <v>25.24893333333333</v>
      </c>
      <c r="BP21">
        <v>24.79705666666667</v>
      </c>
      <c r="BQ21">
        <v>999.9000000000002</v>
      </c>
      <c r="BR21">
        <v>0</v>
      </c>
      <c r="BS21">
        <v>0</v>
      </c>
      <c r="BT21">
        <v>9996.3333333333339</v>
      </c>
      <c r="BU21">
        <v>462.32056666666659</v>
      </c>
      <c r="BV21">
        <v>11.345800000000001</v>
      </c>
      <c r="BW21">
        <v>-1.416266333333333</v>
      </c>
      <c r="BX21">
        <v>75.263580000000005</v>
      </c>
      <c r="BY21">
        <v>76.486043333333342</v>
      </c>
      <c r="BZ21">
        <v>2.8923246666666662</v>
      </c>
      <c r="CA21">
        <v>74.991990000000001</v>
      </c>
      <c r="CB21">
        <v>19.53365333333333</v>
      </c>
      <c r="CC21">
        <v>2.2904593333333332</v>
      </c>
      <c r="CD21">
        <v>1.995054333333333</v>
      </c>
      <c r="CE21">
        <v>19.60945666666667</v>
      </c>
      <c r="CF21">
        <v>17.405143333333331</v>
      </c>
      <c r="CG21">
        <v>1749544513.0999999</v>
      </c>
      <c r="CH21" t="s">
        <v>337</v>
      </c>
      <c r="CI21">
        <v>1749544513.0999999</v>
      </c>
      <c r="CJ21">
        <v>1749544511.5999999</v>
      </c>
      <c r="CK21">
        <v>2</v>
      </c>
      <c r="CL21">
        <v>-1E-3</v>
      </c>
      <c r="CM21">
        <v>-1E-3</v>
      </c>
      <c r="CN21">
        <v>3.7469999999999999</v>
      </c>
      <c r="CO21">
        <v>0.254</v>
      </c>
      <c r="CP21">
        <v>450</v>
      </c>
      <c r="CQ21">
        <v>19</v>
      </c>
      <c r="CR21">
        <v>0.37</v>
      </c>
      <c r="CS21">
        <v>0.18</v>
      </c>
      <c r="CT21">
        <v>-1.412128536585366</v>
      </c>
      <c r="CU21">
        <v>3.5496167247357001E-3</v>
      </c>
      <c r="CV21">
        <v>2.216068553146025E-2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2.8858231707317068</v>
      </c>
      <c r="DC21">
        <v>0.1035811149825806</v>
      </c>
      <c r="DD21">
        <v>1.029120283543759E-2</v>
      </c>
      <c r="DE21">
        <v>0</v>
      </c>
      <c r="DF21">
        <v>1</v>
      </c>
      <c r="DG21">
        <v>2</v>
      </c>
      <c r="DH21" t="s">
        <v>348</v>
      </c>
      <c r="DI21">
        <v>3.0246300000000002</v>
      </c>
      <c r="DJ21">
        <v>2.6911900000000002</v>
      </c>
      <c r="DK21">
        <v>2.06474E-2</v>
      </c>
      <c r="DL21">
        <v>2.1288700000000001E-2</v>
      </c>
      <c r="DM21">
        <v>0.115421</v>
      </c>
      <c r="DN21">
        <v>0.105908</v>
      </c>
      <c r="DO21">
        <v>27392.2</v>
      </c>
      <c r="DP21">
        <v>18570.400000000001</v>
      </c>
      <c r="DQ21">
        <v>26527.8</v>
      </c>
      <c r="DR21">
        <v>17240.2</v>
      </c>
      <c r="DS21">
        <v>33361.800000000003</v>
      </c>
      <c r="DT21">
        <v>20110</v>
      </c>
      <c r="DU21">
        <v>38643.800000000003</v>
      </c>
      <c r="DV21">
        <v>22827.5</v>
      </c>
      <c r="DW21">
        <v>1.8236399999999999</v>
      </c>
      <c r="DX21">
        <v>2.2396199999999999</v>
      </c>
      <c r="DY21">
        <v>9.7244999999999998E-2</v>
      </c>
      <c r="DZ21">
        <v>0</v>
      </c>
      <c r="EA21">
        <v>23.196200000000001</v>
      </c>
      <c r="EB21">
        <v>999.9</v>
      </c>
      <c r="EC21">
        <v>51.9</v>
      </c>
      <c r="ED21">
        <v>30.9</v>
      </c>
      <c r="EE21">
        <v>22.7971</v>
      </c>
      <c r="EF21">
        <v>62.580500000000001</v>
      </c>
      <c r="EG21">
        <v>36.362200000000001</v>
      </c>
      <c r="EH21">
        <v>1</v>
      </c>
      <c r="EI21">
        <v>-0.12314</v>
      </c>
      <c r="EJ21">
        <v>-1.0557300000000001</v>
      </c>
      <c r="EK21">
        <v>20.341799999999999</v>
      </c>
      <c r="EL21">
        <v>5.25251</v>
      </c>
      <c r="EM21">
        <v>11.962</v>
      </c>
      <c r="EN21">
        <v>4.9907599999999999</v>
      </c>
      <c r="EO21">
        <v>3.2918400000000001</v>
      </c>
      <c r="EP21">
        <v>9999</v>
      </c>
      <c r="EQ21">
        <v>9999</v>
      </c>
      <c r="ER21">
        <v>9999</v>
      </c>
      <c r="ES21">
        <v>999.9</v>
      </c>
      <c r="ET21">
        <v>4.9726299999999997</v>
      </c>
      <c r="EU21">
        <v>1.8718699999999999</v>
      </c>
      <c r="EV21">
        <v>1.8721000000000001</v>
      </c>
      <c r="EW21">
        <v>1.87714</v>
      </c>
      <c r="EX21">
        <v>1.87134</v>
      </c>
      <c r="EY21">
        <v>1.8721000000000001</v>
      </c>
      <c r="EZ21">
        <v>1.87174</v>
      </c>
      <c r="FA21">
        <v>1.86859</v>
      </c>
      <c r="FB21">
        <v>0</v>
      </c>
      <c r="FC21">
        <v>0</v>
      </c>
      <c r="FD21">
        <v>0</v>
      </c>
      <c r="FE21">
        <v>0</v>
      </c>
      <c r="FF21" t="s">
        <v>339</v>
      </c>
      <c r="FG21" t="s">
        <v>340</v>
      </c>
      <c r="FH21" t="s">
        <v>341</v>
      </c>
      <c r="FI21" t="s">
        <v>341</v>
      </c>
      <c r="FJ21" t="s">
        <v>341</v>
      </c>
      <c r="FK21" t="s">
        <v>341</v>
      </c>
      <c r="FL21">
        <v>0</v>
      </c>
      <c r="FM21">
        <v>100</v>
      </c>
      <c r="FN21">
        <v>100</v>
      </c>
      <c r="FO21">
        <v>0.59299999999999997</v>
      </c>
      <c r="FP21">
        <v>0.25359999999999999</v>
      </c>
      <c r="FQ21">
        <v>2.4079072826054929E-2</v>
      </c>
      <c r="FR21">
        <v>7.6898218637449396E-3</v>
      </c>
      <c r="FS21">
        <v>1.5097418776848419E-6</v>
      </c>
      <c r="FT21">
        <v>-9.8458676114205118E-11</v>
      </c>
      <c r="FU21">
        <v>0.25358499999999401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331.6</v>
      </c>
      <c r="GD21">
        <v>331.6</v>
      </c>
      <c r="GE21">
        <v>0.31127899999999997</v>
      </c>
      <c r="GF21">
        <v>2.65503</v>
      </c>
      <c r="GG21">
        <v>1.7981</v>
      </c>
      <c r="GH21">
        <v>2.3742700000000001</v>
      </c>
      <c r="GI21">
        <v>1.5979000000000001</v>
      </c>
      <c r="GJ21">
        <v>2.5573700000000001</v>
      </c>
      <c r="GK21">
        <v>33.558</v>
      </c>
      <c r="GL21">
        <v>24.1751</v>
      </c>
      <c r="GM21">
        <v>18</v>
      </c>
      <c r="GN21">
        <v>364.221</v>
      </c>
      <c r="GO21">
        <v>689.04499999999996</v>
      </c>
      <c r="GP21">
        <v>25.829799999999999</v>
      </c>
      <c r="GQ21">
        <v>25.527999999999999</v>
      </c>
      <c r="GR21">
        <v>29.9999</v>
      </c>
      <c r="GS21">
        <v>25.535499999999999</v>
      </c>
      <c r="GT21">
        <v>25.555499999999999</v>
      </c>
      <c r="GU21">
        <v>6.19719</v>
      </c>
      <c r="GV21">
        <v>19.9102</v>
      </c>
      <c r="GW21">
        <v>9.7763799999999996</v>
      </c>
      <c r="GX21">
        <v>25.83</v>
      </c>
      <c r="GY21">
        <v>75</v>
      </c>
      <c r="GZ21">
        <v>19.5</v>
      </c>
      <c r="HA21">
        <v>100.80200000000001</v>
      </c>
      <c r="HB21">
        <v>71.278199999999998</v>
      </c>
    </row>
    <row r="22" spans="1:210" x14ac:dyDescent="0.3">
      <c r="A22">
        <v>6</v>
      </c>
      <c r="B22">
        <v>1749564586.5999999</v>
      </c>
      <c r="C22">
        <v>902.5</v>
      </c>
      <c r="D22" t="s">
        <v>351</v>
      </c>
      <c r="E22" t="s">
        <v>352</v>
      </c>
      <c r="F22">
        <v>15</v>
      </c>
      <c r="G22">
        <v>1749564578.849999</v>
      </c>
      <c r="H22">
        <f t="shared" si="0"/>
        <v>1.4229426776249585E-3</v>
      </c>
      <c r="I22">
        <f t="shared" si="1"/>
        <v>1.4229426776249585</v>
      </c>
      <c r="J22">
        <f t="shared" si="2"/>
        <v>13.667535769056006</v>
      </c>
      <c r="K22">
        <f t="shared" si="3"/>
        <v>417.92183333333338</v>
      </c>
      <c r="L22">
        <f t="shared" si="4"/>
        <v>288.54041866967333</v>
      </c>
      <c r="M22">
        <f t="shared" si="5"/>
        <v>29.496884687865553</v>
      </c>
      <c r="N22">
        <f t="shared" si="6"/>
        <v>42.723276632128751</v>
      </c>
      <c r="O22">
        <f t="shared" si="7"/>
        <v>0.18523643922751945</v>
      </c>
      <c r="P22">
        <f t="shared" si="8"/>
        <v>2.4290411704212689</v>
      </c>
      <c r="Q22">
        <f t="shared" si="9"/>
        <v>0.17366802466762099</v>
      </c>
      <c r="R22">
        <f t="shared" si="10"/>
        <v>0.10952240281299926</v>
      </c>
      <c r="S22">
        <f t="shared" si="11"/>
        <v>87.847735</v>
      </c>
      <c r="T22">
        <f t="shared" si="12"/>
        <v>25.400542256101033</v>
      </c>
      <c r="U22">
        <f t="shared" si="13"/>
        <v>24.752816666666661</v>
      </c>
      <c r="V22">
        <f t="shared" si="14"/>
        <v>3.1331198037255605</v>
      </c>
      <c r="W22">
        <f t="shared" si="15"/>
        <v>71.928317013237091</v>
      </c>
      <c r="X22">
        <f t="shared" si="16"/>
        <v>2.3178502633702456</v>
      </c>
      <c r="Y22">
        <f t="shared" si="17"/>
        <v>3.2224447333359514</v>
      </c>
      <c r="Z22">
        <f t="shared" si="18"/>
        <v>0.81526954035531496</v>
      </c>
      <c r="AA22">
        <f t="shared" si="19"/>
        <v>-62.751772083260668</v>
      </c>
      <c r="AB22">
        <f t="shared" si="20"/>
        <v>61.741102829826822</v>
      </c>
      <c r="AC22">
        <f t="shared" si="21"/>
        <v>5.3758819639381032</v>
      </c>
      <c r="AD22">
        <f t="shared" si="22"/>
        <v>92.212947710504253</v>
      </c>
      <c r="AE22">
        <f t="shared" si="23"/>
        <v>13.667535769056006</v>
      </c>
      <c r="AF22">
        <f t="shared" si="24"/>
        <v>1.4229426776249585</v>
      </c>
      <c r="AG22">
        <f t="shared" si="25"/>
        <v>13.717425799989734</v>
      </c>
      <c r="AH22">
        <v>459.01564946788938</v>
      </c>
      <c r="AI22">
        <v>427.55573333333319</v>
      </c>
      <c r="AJ22">
        <v>-1.863180926255573E-3</v>
      </c>
      <c r="AK22">
        <v>83.958596376727243</v>
      </c>
      <c r="AL22">
        <f t="shared" si="26"/>
        <v>1.4275559202042249</v>
      </c>
      <c r="AM22">
        <v>19.543992059072821</v>
      </c>
      <c r="AN22">
        <v>22.682770225563878</v>
      </c>
      <c r="AO22">
        <v>2.319902148158464E-6</v>
      </c>
      <c r="AP22">
        <v>90.545189892898478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54338.478648658667</v>
      </c>
      <c r="AV22">
        <f t="shared" si="30"/>
        <v>462.35649999999998</v>
      </c>
      <c r="AW22">
        <f t="shared" si="31"/>
        <v>369.8852</v>
      </c>
      <c r="AX22">
        <f t="shared" si="32"/>
        <v>0.8</v>
      </c>
      <c r="AY22">
        <f t="shared" si="33"/>
        <v>0.19</v>
      </c>
      <c r="AZ22">
        <v>9</v>
      </c>
      <c r="BA22">
        <v>14.19</v>
      </c>
      <c r="BB22" t="s">
        <v>336</v>
      </c>
      <c r="BC22">
        <v>2</v>
      </c>
      <c r="BD22" t="b">
        <v>0</v>
      </c>
      <c r="BE22">
        <v>1749564578.849999</v>
      </c>
      <c r="BF22">
        <v>417.92183333333338</v>
      </c>
      <c r="BG22">
        <v>450.00830000000002</v>
      </c>
      <c r="BH22">
        <v>22.673359999999999</v>
      </c>
      <c r="BI22">
        <v>19.544673333333328</v>
      </c>
      <c r="BJ22">
        <v>414.45830000000012</v>
      </c>
      <c r="BK22">
        <v>22.41977</v>
      </c>
      <c r="BL22">
        <v>400.04383333333328</v>
      </c>
      <c r="BM22">
        <v>102.1279</v>
      </c>
      <c r="BN22">
        <v>0.10001255333333341</v>
      </c>
      <c r="BO22">
        <v>25.224286666666671</v>
      </c>
      <c r="BP22">
        <v>24.752816666666661</v>
      </c>
      <c r="BQ22">
        <v>999.9000000000002</v>
      </c>
      <c r="BR22">
        <v>0</v>
      </c>
      <c r="BS22">
        <v>0</v>
      </c>
      <c r="BT22">
        <v>10002.799999999999</v>
      </c>
      <c r="BU22">
        <v>462.35649999999998</v>
      </c>
      <c r="BV22">
        <v>11.345800000000001</v>
      </c>
      <c r="BW22">
        <v>-32.086443333333328</v>
      </c>
      <c r="BX22">
        <v>427.61736666666673</v>
      </c>
      <c r="BY22">
        <v>458.9788666666667</v>
      </c>
      <c r="BZ22">
        <v>3.1286809999999998</v>
      </c>
      <c r="CA22">
        <v>450.00830000000002</v>
      </c>
      <c r="CB22">
        <v>19.544673333333328</v>
      </c>
      <c r="CC22">
        <v>2.315582</v>
      </c>
      <c r="CD22">
        <v>1.9960560000000001</v>
      </c>
      <c r="CE22">
        <v>19.785196666666661</v>
      </c>
      <c r="CF22">
        <v>17.413086666666668</v>
      </c>
      <c r="CG22">
        <v>1749544513.0999999</v>
      </c>
      <c r="CH22" t="s">
        <v>337</v>
      </c>
      <c r="CI22">
        <v>1749544513.0999999</v>
      </c>
      <c r="CJ22">
        <v>1749544511.5999999</v>
      </c>
      <c r="CK22">
        <v>2</v>
      </c>
      <c r="CL22">
        <v>-1E-3</v>
      </c>
      <c r="CM22">
        <v>-1E-3</v>
      </c>
      <c r="CN22">
        <v>3.7469999999999999</v>
      </c>
      <c r="CO22">
        <v>0.254</v>
      </c>
      <c r="CP22">
        <v>450</v>
      </c>
      <c r="CQ22">
        <v>19</v>
      </c>
      <c r="CR22">
        <v>0.37</v>
      </c>
      <c r="CS22">
        <v>0.18</v>
      </c>
      <c r="CT22">
        <v>-32.063490000000002</v>
      </c>
      <c r="CU22">
        <v>-0.70451932457781752</v>
      </c>
      <c r="CV22">
        <v>7.7232515173338998E-2</v>
      </c>
      <c r="CW22">
        <v>0</v>
      </c>
      <c r="CX22">
        <v>0</v>
      </c>
      <c r="CY22">
        <v>0</v>
      </c>
      <c r="CZ22">
        <v>0</v>
      </c>
      <c r="DA22">
        <v>-1</v>
      </c>
      <c r="DB22">
        <v>3.1276830000000002</v>
      </c>
      <c r="DC22">
        <v>-1.519474671677579E-3</v>
      </c>
      <c r="DD22">
        <v>3.7801085963236709E-3</v>
      </c>
      <c r="DE22">
        <v>1</v>
      </c>
      <c r="DF22">
        <v>1</v>
      </c>
      <c r="DG22">
        <v>2</v>
      </c>
      <c r="DH22" t="s">
        <v>348</v>
      </c>
      <c r="DI22">
        <v>3.02468</v>
      </c>
      <c r="DJ22">
        <v>2.6911999999999998</v>
      </c>
      <c r="DK22">
        <v>9.7120399999999996E-2</v>
      </c>
      <c r="DL22">
        <v>0.103843</v>
      </c>
      <c r="DM22">
        <v>0.11633400000000001</v>
      </c>
      <c r="DN22">
        <v>0.10601099999999999</v>
      </c>
      <c r="DO22">
        <v>25256.2</v>
      </c>
      <c r="DP22">
        <v>17004.7</v>
      </c>
      <c r="DQ22">
        <v>26530.7</v>
      </c>
      <c r="DR22">
        <v>17241</v>
      </c>
      <c r="DS22">
        <v>33330.6</v>
      </c>
      <c r="DT22">
        <v>20108</v>
      </c>
      <c r="DU22">
        <v>38647.4</v>
      </c>
      <c r="DV22">
        <v>22826.7</v>
      </c>
      <c r="DW22">
        <v>1.8246</v>
      </c>
      <c r="DX22">
        <v>2.2422200000000001</v>
      </c>
      <c r="DY22">
        <v>9.62615E-2</v>
      </c>
      <c r="DZ22">
        <v>0</v>
      </c>
      <c r="EA22">
        <v>23.1708</v>
      </c>
      <c r="EB22">
        <v>999.9</v>
      </c>
      <c r="EC22">
        <v>52.3</v>
      </c>
      <c r="ED22">
        <v>30.8</v>
      </c>
      <c r="EE22">
        <v>22.839600000000001</v>
      </c>
      <c r="EF22">
        <v>62.640500000000003</v>
      </c>
      <c r="EG22">
        <v>36.274000000000001</v>
      </c>
      <c r="EH22">
        <v>1</v>
      </c>
      <c r="EI22">
        <v>-0.12932299999999999</v>
      </c>
      <c r="EJ22">
        <v>-1.0768599999999999</v>
      </c>
      <c r="EK22">
        <v>20.342099999999999</v>
      </c>
      <c r="EL22">
        <v>5.2527499999999998</v>
      </c>
      <c r="EM22">
        <v>11.962</v>
      </c>
      <c r="EN22">
        <v>4.9898800000000003</v>
      </c>
      <c r="EO22">
        <v>3.2918799999999999</v>
      </c>
      <c r="EP22">
        <v>9999</v>
      </c>
      <c r="EQ22">
        <v>9999</v>
      </c>
      <c r="ER22">
        <v>9999</v>
      </c>
      <c r="ES22">
        <v>999.9</v>
      </c>
      <c r="ET22">
        <v>4.9726600000000003</v>
      </c>
      <c r="EU22">
        <v>1.8718600000000001</v>
      </c>
      <c r="EV22">
        <v>1.8721000000000001</v>
      </c>
      <c r="EW22">
        <v>1.87714</v>
      </c>
      <c r="EX22">
        <v>1.87134</v>
      </c>
      <c r="EY22">
        <v>1.8721000000000001</v>
      </c>
      <c r="EZ22">
        <v>1.8717299999999999</v>
      </c>
      <c r="FA22">
        <v>1.86859</v>
      </c>
      <c r="FB22">
        <v>0</v>
      </c>
      <c r="FC22">
        <v>0</v>
      </c>
      <c r="FD22">
        <v>0</v>
      </c>
      <c r="FE22">
        <v>0</v>
      </c>
      <c r="FF22" t="s">
        <v>339</v>
      </c>
      <c r="FG22" t="s">
        <v>340</v>
      </c>
      <c r="FH22" t="s">
        <v>341</v>
      </c>
      <c r="FI22" t="s">
        <v>341</v>
      </c>
      <c r="FJ22" t="s">
        <v>341</v>
      </c>
      <c r="FK22" t="s">
        <v>341</v>
      </c>
      <c r="FL22">
        <v>0</v>
      </c>
      <c r="FM22">
        <v>100</v>
      </c>
      <c r="FN22">
        <v>100</v>
      </c>
      <c r="FO22">
        <v>3.4630000000000001</v>
      </c>
      <c r="FP22">
        <v>0.25359999999999999</v>
      </c>
      <c r="FQ22">
        <v>2.4079072826054929E-2</v>
      </c>
      <c r="FR22">
        <v>7.6898218637449396E-3</v>
      </c>
      <c r="FS22">
        <v>1.5097418776848419E-6</v>
      </c>
      <c r="FT22">
        <v>-9.8458676114205118E-11</v>
      </c>
      <c r="FU22">
        <v>0.25358499999999401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334.6</v>
      </c>
      <c r="GD22">
        <v>334.6</v>
      </c>
      <c r="GE22">
        <v>1.10107</v>
      </c>
      <c r="GF22">
        <v>2.6269499999999999</v>
      </c>
      <c r="GG22">
        <v>1.7981</v>
      </c>
      <c r="GH22">
        <v>2.3730500000000001</v>
      </c>
      <c r="GI22">
        <v>1.5979000000000001</v>
      </c>
      <c r="GJ22">
        <v>2.50122</v>
      </c>
      <c r="GK22">
        <v>33.490600000000001</v>
      </c>
      <c r="GL22">
        <v>24.1663</v>
      </c>
      <c r="GM22">
        <v>18</v>
      </c>
      <c r="GN22">
        <v>364.101</v>
      </c>
      <c r="GO22">
        <v>690.13800000000003</v>
      </c>
      <c r="GP22">
        <v>25.829699999999999</v>
      </c>
      <c r="GQ22">
        <v>25.4437</v>
      </c>
      <c r="GR22">
        <v>29.9999</v>
      </c>
      <c r="GS22">
        <v>25.447099999999999</v>
      </c>
      <c r="GT22">
        <v>25.4664</v>
      </c>
      <c r="GU22">
        <v>22.012499999999999</v>
      </c>
      <c r="GV22">
        <v>20.485299999999999</v>
      </c>
      <c r="GW22">
        <v>12.8627</v>
      </c>
      <c r="GX22">
        <v>25.83</v>
      </c>
      <c r="GY22">
        <v>450</v>
      </c>
      <c r="GZ22">
        <v>19.5</v>
      </c>
      <c r="HA22">
        <v>100.812</v>
      </c>
      <c r="HB22">
        <v>71.278099999999995</v>
      </c>
    </row>
    <row r="23" spans="1:210" x14ac:dyDescent="0.3">
      <c r="A23">
        <v>7</v>
      </c>
      <c r="B23">
        <v>1749564767.5</v>
      </c>
      <c r="C23">
        <v>1083.400000095367</v>
      </c>
      <c r="D23" t="s">
        <v>353</v>
      </c>
      <c r="E23" t="s">
        <v>354</v>
      </c>
      <c r="F23">
        <v>15</v>
      </c>
      <c r="G23">
        <v>1749564759.75</v>
      </c>
      <c r="H23">
        <f t="shared" si="0"/>
        <v>1.4366528601813026E-3</v>
      </c>
      <c r="I23">
        <f t="shared" si="1"/>
        <v>1.4366528601813024</v>
      </c>
      <c r="J23">
        <f t="shared" si="2"/>
        <v>14.092996103565406</v>
      </c>
      <c r="K23">
        <f t="shared" si="3"/>
        <v>416.94630000000012</v>
      </c>
      <c r="L23">
        <f t="shared" si="4"/>
        <v>285.83614038141781</v>
      </c>
      <c r="M23">
        <f t="shared" si="5"/>
        <v>29.219783265042821</v>
      </c>
      <c r="N23">
        <f t="shared" si="6"/>
        <v>42.62260364593682</v>
      </c>
      <c r="O23">
        <f t="shared" si="7"/>
        <v>0.18848972693379681</v>
      </c>
      <c r="P23">
        <f t="shared" si="8"/>
        <v>2.428806343416761</v>
      </c>
      <c r="Q23">
        <f t="shared" si="9"/>
        <v>0.17652422121020567</v>
      </c>
      <c r="R23">
        <f t="shared" si="10"/>
        <v>0.11134013830478189</v>
      </c>
      <c r="S23">
        <f t="shared" si="11"/>
        <v>87.847145999999981</v>
      </c>
      <c r="T23">
        <f t="shared" si="12"/>
        <v>25.37478333851837</v>
      </c>
      <c r="U23">
        <f t="shared" si="13"/>
        <v>24.736456666666669</v>
      </c>
      <c r="V23">
        <f t="shared" si="14"/>
        <v>3.1300594768629262</v>
      </c>
      <c r="W23">
        <f t="shared" si="15"/>
        <v>72.095693646662326</v>
      </c>
      <c r="X23">
        <f t="shared" si="16"/>
        <v>2.3202689189976491</v>
      </c>
      <c r="Y23">
        <f t="shared" si="17"/>
        <v>3.218318323378897</v>
      </c>
      <c r="Z23">
        <f t="shared" si="18"/>
        <v>0.80979055786527709</v>
      </c>
      <c r="AA23">
        <f t="shared" si="19"/>
        <v>-63.356391133995444</v>
      </c>
      <c r="AB23">
        <f t="shared" si="20"/>
        <v>61.058601350176261</v>
      </c>
      <c r="AC23">
        <f t="shared" si="21"/>
        <v>5.3159556291426089</v>
      </c>
      <c r="AD23">
        <f t="shared" si="22"/>
        <v>90.865311845323404</v>
      </c>
      <c r="AE23">
        <f t="shared" si="23"/>
        <v>14.092996103565406</v>
      </c>
      <c r="AF23">
        <f t="shared" si="24"/>
        <v>1.4366528601813024</v>
      </c>
      <c r="AG23">
        <f t="shared" si="25"/>
        <v>14.085409512550214</v>
      </c>
      <c r="AH23">
        <v>458.963717681503</v>
      </c>
      <c r="AI23">
        <v>426.63975757575759</v>
      </c>
      <c r="AJ23">
        <v>3.023650965262698E-4</v>
      </c>
      <c r="AK23">
        <v>83.958596376727243</v>
      </c>
      <c r="AL23">
        <f t="shared" si="26"/>
        <v>1.430179202600842</v>
      </c>
      <c r="AM23">
        <v>19.540847054511559</v>
      </c>
      <c r="AN23">
        <v>22.685532932330819</v>
      </c>
      <c r="AO23">
        <v>-1.5777139068155051E-6</v>
      </c>
      <c r="AP23">
        <v>90.545189892898478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54334.421767469765</v>
      </c>
      <c r="AV23">
        <f t="shared" si="30"/>
        <v>462.35339999999991</v>
      </c>
      <c r="AW23">
        <f t="shared" si="31"/>
        <v>369.88271999999995</v>
      </c>
      <c r="AX23">
        <f t="shared" si="32"/>
        <v>0.8</v>
      </c>
      <c r="AY23">
        <f t="shared" si="33"/>
        <v>0.19</v>
      </c>
      <c r="AZ23">
        <v>9</v>
      </c>
      <c r="BA23">
        <v>14.19</v>
      </c>
      <c r="BB23" t="s">
        <v>336</v>
      </c>
      <c r="BC23">
        <v>2</v>
      </c>
      <c r="BD23" t="b">
        <v>0</v>
      </c>
      <c r="BE23">
        <v>1749564759.75</v>
      </c>
      <c r="BF23">
        <v>416.94630000000012</v>
      </c>
      <c r="BG23">
        <v>450.0008666666667</v>
      </c>
      <c r="BH23">
        <v>22.69752333333334</v>
      </c>
      <c r="BI23">
        <v>19.538656666666661</v>
      </c>
      <c r="BJ23">
        <v>413.49126666666672</v>
      </c>
      <c r="BK23">
        <v>22.44393333333333</v>
      </c>
      <c r="BL23">
        <v>400.02953333333329</v>
      </c>
      <c r="BM23">
        <v>102.1256333333334</v>
      </c>
      <c r="BN23">
        <v>0.1000097433333333</v>
      </c>
      <c r="BO23">
        <v>25.202760000000001</v>
      </c>
      <c r="BP23">
        <v>24.736456666666669</v>
      </c>
      <c r="BQ23">
        <v>999.9000000000002</v>
      </c>
      <c r="BR23">
        <v>0</v>
      </c>
      <c r="BS23">
        <v>0</v>
      </c>
      <c r="BT23">
        <v>10001.5</v>
      </c>
      <c r="BU23">
        <v>462.35339999999991</v>
      </c>
      <c r="BV23">
        <v>11.345800000000001</v>
      </c>
      <c r="BW23">
        <v>-33.054659999999998</v>
      </c>
      <c r="BX23">
        <v>426.62970000000013</v>
      </c>
      <c r="BY23">
        <v>458.96839999999997</v>
      </c>
      <c r="BZ23">
        <v>3.1588583333333329</v>
      </c>
      <c r="CA23">
        <v>450.0008666666667</v>
      </c>
      <c r="CB23">
        <v>19.538656666666661</v>
      </c>
      <c r="CC23">
        <v>2.317997666666666</v>
      </c>
      <c r="CD23">
        <v>1.995398</v>
      </c>
      <c r="CE23">
        <v>19.802013333333331</v>
      </c>
      <c r="CF23">
        <v>17.407853333333339</v>
      </c>
      <c r="CG23">
        <v>1749544513.0999999</v>
      </c>
      <c r="CH23" t="s">
        <v>337</v>
      </c>
      <c r="CI23">
        <v>1749544513.0999999</v>
      </c>
      <c r="CJ23">
        <v>1749544511.5999999</v>
      </c>
      <c r="CK23">
        <v>2</v>
      </c>
      <c r="CL23">
        <v>-1E-3</v>
      </c>
      <c r="CM23">
        <v>-1E-3</v>
      </c>
      <c r="CN23">
        <v>3.7469999999999999</v>
      </c>
      <c r="CO23">
        <v>0.254</v>
      </c>
      <c r="CP23">
        <v>450</v>
      </c>
      <c r="CQ23">
        <v>19</v>
      </c>
      <c r="CR23">
        <v>0.37</v>
      </c>
      <c r="CS23">
        <v>0.18</v>
      </c>
      <c r="CT23">
        <v>-33.059820000000002</v>
      </c>
      <c r="CU23">
        <v>0.1149343339587747</v>
      </c>
      <c r="CV23">
        <v>2.6294202783122899E-2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3.1599235000000001</v>
      </c>
      <c r="DC23">
        <v>-5.0240825515949203E-2</v>
      </c>
      <c r="DD23">
        <v>6.6290506673278944E-3</v>
      </c>
      <c r="DE23">
        <v>1</v>
      </c>
      <c r="DF23">
        <v>2</v>
      </c>
      <c r="DG23">
        <v>2</v>
      </c>
      <c r="DH23" t="s">
        <v>338</v>
      </c>
      <c r="DI23">
        <v>3.0246499999999998</v>
      </c>
      <c r="DJ23">
        <v>2.6915</v>
      </c>
      <c r="DK23">
        <v>9.6977099999999997E-2</v>
      </c>
      <c r="DL23">
        <v>0.10385999999999999</v>
      </c>
      <c r="DM23">
        <v>0.116357</v>
      </c>
      <c r="DN23">
        <v>0.105938</v>
      </c>
      <c r="DO23">
        <v>25264.3</v>
      </c>
      <c r="DP23">
        <v>17004.8</v>
      </c>
      <c r="DQ23">
        <v>26534.6</v>
      </c>
      <c r="DR23">
        <v>17241.2</v>
      </c>
      <c r="DS23">
        <v>33334.400000000001</v>
      </c>
      <c r="DT23">
        <v>20109.099999999999</v>
      </c>
      <c r="DU23">
        <v>38653.300000000003</v>
      </c>
      <c r="DV23">
        <v>22826.2</v>
      </c>
      <c r="DW23">
        <v>1.82552</v>
      </c>
      <c r="DX23">
        <v>2.2436799999999999</v>
      </c>
      <c r="DY23">
        <v>9.6887399999999999E-2</v>
      </c>
      <c r="DZ23">
        <v>0</v>
      </c>
      <c r="EA23">
        <v>23.147300000000001</v>
      </c>
      <c r="EB23">
        <v>999.9</v>
      </c>
      <c r="EC23">
        <v>52.7</v>
      </c>
      <c r="ED23">
        <v>30.7</v>
      </c>
      <c r="EE23">
        <v>22.885300000000001</v>
      </c>
      <c r="EF23">
        <v>62.6905</v>
      </c>
      <c r="EG23">
        <v>36.153799999999997</v>
      </c>
      <c r="EH23">
        <v>1</v>
      </c>
      <c r="EI23">
        <v>-0.13520699999999999</v>
      </c>
      <c r="EJ23">
        <v>-1.08908</v>
      </c>
      <c r="EK23">
        <v>20.341799999999999</v>
      </c>
      <c r="EL23">
        <v>5.2521500000000003</v>
      </c>
      <c r="EM23">
        <v>11.962</v>
      </c>
      <c r="EN23">
        <v>4.9903599999999999</v>
      </c>
      <c r="EO23">
        <v>3.2917800000000002</v>
      </c>
      <c r="EP23">
        <v>9999</v>
      </c>
      <c r="EQ23">
        <v>9999</v>
      </c>
      <c r="ER23">
        <v>9999</v>
      </c>
      <c r="ES23">
        <v>999.9</v>
      </c>
      <c r="ET23">
        <v>4.9726699999999999</v>
      </c>
      <c r="EU23">
        <v>1.8718399999999999</v>
      </c>
      <c r="EV23">
        <v>1.8721000000000001</v>
      </c>
      <c r="EW23">
        <v>1.87714</v>
      </c>
      <c r="EX23">
        <v>1.87134</v>
      </c>
      <c r="EY23">
        <v>1.8721000000000001</v>
      </c>
      <c r="EZ23">
        <v>1.8717600000000001</v>
      </c>
      <c r="FA23">
        <v>1.86859</v>
      </c>
      <c r="FB23">
        <v>0</v>
      </c>
      <c r="FC23">
        <v>0</v>
      </c>
      <c r="FD23">
        <v>0</v>
      </c>
      <c r="FE23">
        <v>0</v>
      </c>
      <c r="FF23" t="s">
        <v>339</v>
      </c>
      <c r="FG23" t="s">
        <v>340</v>
      </c>
      <c r="FH23" t="s">
        <v>341</v>
      </c>
      <c r="FI23" t="s">
        <v>341</v>
      </c>
      <c r="FJ23" t="s">
        <v>341</v>
      </c>
      <c r="FK23" t="s">
        <v>341</v>
      </c>
      <c r="FL23">
        <v>0</v>
      </c>
      <c r="FM23">
        <v>100</v>
      </c>
      <c r="FN23">
        <v>100</v>
      </c>
      <c r="FO23">
        <v>3.4550000000000001</v>
      </c>
      <c r="FP23">
        <v>0.25359999999999999</v>
      </c>
      <c r="FQ23">
        <v>2.4079072826054929E-2</v>
      </c>
      <c r="FR23">
        <v>7.6898218637449396E-3</v>
      </c>
      <c r="FS23">
        <v>1.5097418776848419E-6</v>
      </c>
      <c r="FT23">
        <v>-9.8458676114205118E-11</v>
      </c>
      <c r="FU23">
        <v>0.25358499999999401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337.6</v>
      </c>
      <c r="GD23">
        <v>337.6</v>
      </c>
      <c r="GE23">
        <v>1.10107</v>
      </c>
      <c r="GF23">
        <v>2.6452599999999999</v>
      </c>
      <c r="GG23">
        <v>1.7981</v>
      </c>
      <c r="GH23">
        <v>2.3730500000000001</v>
      </c>
      <c r="GI23">
        <v>1.5979000000000001</v>
      </c>
      <c r="GJ23">
        <v>2.4499499999999999</v>
      </c>
      <c r="GK23">
        <v>33.423200000000001</v>
      </c>
      <c r="GL23">
        <v>24.1663</v>
      </c>
      <c r="GM23">
        <v>18</v>
      </c>
      <c r="GN23">
        <v>364.05399999999997</v>
      </c>
      <c r="GO23">
        <v>690.41600000000005</v>
      </c>
      <c r="GP23">
        <v>25.83</v>
      </c>
      <c r="GQ23">
        <v>25.3749</v>
      </c>
      <c r="GR23">
        <v>30</v>
      </c>
      <c r="GS23">
        <v>25.372199999999999</v>
      </c>
      <c r="GT23">
        <v>25.391500000000001</v>
      </c>
      <c r="GU23">
        <v>22.0092</v>
      </c>
      <c r="GV23">
        <v>21.317699999999999</v>
      </c>
      <c r="GW23">
        <v>15.113899999999999</v>
      </c>
      <c r="GX23">
        <v>25.83</v>
      </c>
      <c r="GY23">
        <v>450</v>
      </c>
      <c r="GZ23">
        <v>19.5</v>
      </c>
      <c r="HA23">
        <v>100.827</v>
      </c>
      <c r="HB23">
        <v>71.277600000000007</v>
      </c>
    </row>
    <row r="24" spans="1:210" x14ac:dyDescent="0.3">
      <c r="A24">
        <v>8</v>
      </c>
      <c r="B24">
        <v>1749564948</v>
      </c>
      <c r="C24">
        <v>1263.900000095367</v>
      </c>
      <c r="D24" t="s">
        <v>355</v>
      </c>
      <c r="E24" t="s">
        <v>356</v>
      </c>
      <c r="F24">
        <v>15</v>
      </c>
      <c r="G24">
        <v>1749564940.25</v>
      </c>
      <c r="H24">
        <f t="shared" si="0"/>
        <v>1.2978484545734491E-3</v>
      </c>
      <c r="I24">
        <f t="shared" si="1"/>
        <v>1.297848454573449</v>
      </c>
      <c r="J24">
        <f t="shared" si="2"/>
        <v>13.762799106459489</v>
      </c>
      <c r="K24">
        <f t="shared" si="3"/>
        <v>417.81526666666662</v>
      </c>
      <c r="L24">
        <f t="shared" si="4"/>
        <v>270.88943382067254</v>
      </c>
      <c r="M24">
        <f t="shared" si="5"/>
        <v>27.69085069604013</v>
      </c>
      <c r="N24">
        <f t="shared" si="6"/>
        <v>42.709898295449634</v>
      </c>
      <c r="O24">
        <f t="shared" si="7"/>
        <v>0.16249275900086471</v>
      </c>
      <c r="P24">
        <f t="shared" si="8"/>
        <v>2.4286815064986693</v>
      </c>
      <c r="Q24">
        <f t="shared" si="9"/>
        <v>0.15351655070565726</v>
      </c>
      <c r="R24">
        <f t="shared" si="10"/>
        <v>9.6713532241443426E-2</v>
      </c>
      <c r="S24">
        <f t="shared" si="11"/>
        <v>87.862124333333327</v>
      </c>
      <c r="T24">
        <f t="shared" si="12"/>
        <v>25.415968284272473</v>
      </c>
      <c r="U24">
        <f t="shared" si="13"/>
        <v>24.74723333333333</v>
      </c>
      <c r="V24">
        <f t="shared" si="14"/>
        <v>3.1320750829537234</v>
      </c>
      <c r="W24">
        <f t="shared" si="15"/>
        <v>71.188208544861439</v>
      </c>
      <c r="X24">
        <f t="shared" si="16"/>
        <v>2.2908004081108024</v>
      </c>
      <c r="Y24">
        <f t="shared" si="17"/>
        <v>3.2179492291440148</v>
      </c>
      <c r="Z24">
        <f t="shared" si="18"/>
        <v>0.84127467484292096</v>
      </c>
      <c r="AA24">
        <f t="shared" si="19"/>
        <v>-57.235116846689102</v>
      </c>
      <c r="AB24">
        <f t="shared" si="20"/>
        <v>59.392151098822133</v>
      </c>
      <c r="AC24">
        <f t="shared" si="21"/>
        <v>5.1713651845783497</v>
      </c>
      <c r="AD24">
        <f t="shared" si="22"/>
        <v>95.190523770044706</v>
      </c>
      <c r="AE24">
        <f t="shared" si="23"/>
        <v>13.762799106459489</v>
      </c>
      <c r="AF24">
        <f t="shared" si="24"/>
        <v>1.297848454573449</v>
      </c>
      <c r="AG24">
        <f t="shared" si="25"/>
        <v>13.731547150486193</v>
      </c>
      <c r="AH24">
        <v>458.95760373188978</v>
      </c>
      <c r="AI24">
        <v>427.44401818181791</v>
      </c>
      <c r="AJ24">
        <v>4.9606597271007055E-4</v>
      </c>
      <c r="AK24">
        <v>83.958596376727243</v>
      </c>
      <c r="AL24">
        <f t="shared" si="26"/>
        <v>1.2945346256411734</v>
      </c>
      <c r="AM24">
        <v>19.556772591699509</v>
      </c>
      <c r="AN24">
        <v>22.403959097744359</v>
      </c>
      <c r="AO24">
        <v>-4.0257036101921608E-7</v>
      </c>
      <c r="AP24">
        <v>90.545189892898478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54330.477393019246</v>
      </c>
      <c r="AV24">
        <f t="shared" si="30"/>
        <v>462.43223333333327</v>
      </c>
      <c r="AW24">
        <f t="shared" si="31"/>
        <v>369.94578666666666</v>
      </c>
      <c r="AX24">
        <f t="shared" si="32"/>
        <v>0.8</v>
      </c>
      <c r="AY24">
        <f t="shared" si="33"/>
        <v>0.19</v>
      </c>
      <c r="AZ24">
        <v>9</v>
      </c>
      <c r="BA24">
        <v>14.19</v>
      </c>
      <c r="BB24" t="s">
        <v>336</v>
      </c>
      <c r="BC24">
        <v>2</v>
      </c>
      <c r="BD24" t="b">
        <v>0</v>
      </c>
      <c r="BE24">
        <v>1749564940.25</v>
      </c>
      <c r="BF24">
        <v>417.81526666666662</v>
      </c>
      <c r="BG24">
        <v>449.99866666666668</v>
      </c>
      <c r="BH24">
        <v>22.410059999999991</v>
      </c>
      <c r="BI24">
        <v>19.555606666666669</v>
      </c>
      <c r="BJ24">
        <v>414.3526333333333</v>
      </c>
      <c r="BK24">
        <v>22.15646666666667</v>
      </c>
      <c r="BL24">
        <v>400.03710000000018</v>
      </c>
      <c r="BM24">
        <v>102.12196666666659</v>
      </c>
      <c r="BN24">
        <v>0.10000008000000001</v>
      </c>
      <c r="BO24">
        <v>25.200833333333328</v>
      </c>
      <c r="BP24">
        <v>24.74723333333333</v>
      </c>
      <c r="BQ24">
        <v>999.9000000000002</v>
      </c>
      <c r="BR24">
        <v>0</v>
      </c>
      <c r="BS24">
        <v>0</v>
      </c>
      <c r="BT24">
        <v>10001.049999999999</v>
      </c>
      <c r="BU24">
        <v>462.43223333333327</v>
      </c>
      <c r="BV24">
        <v>11.345800000000001</v>
      </c>
      <c r="BW24">
        <v>-32.183446666666661</v>
      </c>
      <c r="BX24">
        <v>427.39316666666667</v>
      </c>
      <c r="BY24">
        <v>458.97416666666669</v>
      </c>
      <c r="BZ24">
        <v>2.854452666666667</v>
      </c>
      <c r="CA24">
        <v>449.99866666666668</v>
      </c>
      <c r="CB24">
        <v>19.555606666666669</v>
      </c>
      <c r="CC24">
        <v>2.288559666666667</v>
      </c>
      <c r="CD24">
        <v>1.9970576666666671</v>
      </c>
      <c r="CE24">
        <v>19.59609</v>
      </c>
      <c r="CF24">
        <v>17.42103333333333</v>
      </c>
      <c r="CG24">
        <v>1749544513.0999999</v>
      </c>
      <c r="CH24" t="s">
        <v>337</v>
      </c>
      <c r="CI24">
        <v>1749544513.0999999</v>
      </c>
      <c r="CJ24">
        <v>1749544511.5999999</v>
      </c>
      <c r="CK24">
        <v>2</v>
      </c>
      <c r="CL24">
        <v>-1E-3</v>
      </c>
      <c r="CM24">
        <v>-1E-3</v>
      </c>
      <c r="CN24">
        <v>3.7469999999999999</v>
      </c>
      <c r="CO24">
        <v>0.254</v>
      </c>
      <c r="CP24">
        <v>450</v>
      </c>
      <c r="CQ24">
        <v>19</v>
      </c>
      <c r="CR24">
        <v>0.37</v>
      </c>
      <c r="CS24">
        <v>0.18</v>
      </c>
      <c r="CT24">
        <v>-32.194535000000002</v>
      </c>
      <c r="CU24">
        <v>0.38614333958725389</v>
      </c>
      <c r="CV24">
        <v>5.1026588902257718E-2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2.8580937500000001</v>
      </c>
      <c r="DC24">
        <v>-7.57131332082564E-2</v>
      </c>
      <c r="DD24">
        <v>7.3286924780277124E-3</v>
      </c>
      <c r="DE24">
        <v>1</v>
      </c>
      <c r="DF24">
        <v>2</v>
      </c>
      <c r="DG24">
        <v>2</v>
      </c>
      <c r="DH24" t="s">
        <v>338</v>
      </c>
      <c r="DI24">
        <v>3.0245600000000001</v>
      </c>
      <c r="DJ24">
        <v>2.6912600000000002</v>
      </c>
      <c r="DK24">
        <v>9.7150399999999998E-2</v>
      </c>
      <c r="DL24">
        <v>0.103878</v>
      </c>
      <c r="DM24">
        <v>0.115342</v>
      </c>
      <c r="DN24">
        <v>0.10602499999999999</v>
      </c>
      <c r="DO24">
        <v>25261.1</v>
      </c>
      <c r="DP24">
        <v>17005</v>
      </c>
      <c r="DQ24">
        <v>26536.1</v>
      </c>
      <c r="DR24">
        <v>17241.7</v>
      </c>
      <c r="DS24">
        <v>33375.5</v>
      </c>
      <c r="DT24">
        <v>20106.8</v>
      </c>
      <c r="DU24">
        <v>38655.5</v>
      </c>
      <c r="DV24">
        <v>22826.1</v>
      </c>
      <c r="DW24">
        <v>1.8258000000000001</v>
      </c>
      <c r="DX24">
        <v>2.2452200000000002</v>
      </c>
      <c r="DY24">
        <v>9.8258300000000007E-2</v>
      </c>
      <c r="DZ24">
        <v>0</v>
      </c>
      <c r="EA24">
        <v>23.141300000000001</v>
      </c>
      <c r="EB24">
        <v>999.9</v>
      </c>
      <c r="EC24">
        <v>53.1</v>
      </c>
      <c r="ED24">
        <v>30.7</v>
      </c>
      <c r="EE24">
        <v>23.0594</v>
      </c>
      <c r="EF24">
        <v>62.770499999999998</v>
      </c>
      <c r="EG24">
        <v>36.073700000000002</v>
      </c>
      <c r="EH24">
        <v>1</v>
      </c>
      <c r="EI24">
        <v>-0.13947599999999999</v>
      </c>
      <c r="EJ24">
        <v>-1.08514</v>
      </c>
      <c r="EK24">
        <v>20.341999999999999</v>
      </c>
      <c r="EL24">
        <v>5.2522700000000002</v>
      </c>
      <c r="EM24">
        <v>11.962</v>
      </c>
      <c r="EN24">
        <v>4.9909999999999997</v>
      </c>
      <c r="EO24">
        <v>3.2917800000000002</v>
      </c>
      <c r="EP24">
        <v>9999</v>
      </c>
      <c r="EQ24">
        <v>9999</v>
      </c>
      <c r="ER24">
        <v>9999</v>
      </c>
      <c r="ES24">
        <v>999.9</v>
      </c>
      <c r="ET24">
        <v>4.9726699999999999</v>
      </c>
      <c r="EU24">
        <v>1.8718600000000001</v>
      </c>
      <c r="EV24">
        <v>1.8721099999999999</v>
      </c>
      <c r="EW24">
        <v>1.8771500000000001</v>
      </c>
      <c r="EX24">
        <v>1.87134</v>
      </c>
      <c r="EY24">
        <v>1.8721099999999999</v>
      </c>
      <c r="EZ24">
        <v>1.8717900000000001</v>
      </c>
      <c r="FA24">
        <v>1.86859</v>
      </c>
      <c r="FB24">
        <v>0</v>
      </c>
      <c r="FC24">
        <v>0</v>
      </c>
      <c r="FD24">
        <v>0</v>
      </c>
      <c r="FE24">
        <v>0</v>
      </c>
      <c r="FF24" t="s">
        <v>339</v>
      </c>
      <c r="FG24" t="s">
        <v>340</v>
      </c>
      <c r="FH24" t="s">
        <v>341</v>
      </c>
      <c r="FI24" t="s">
        <v>341</v>
      </c>
      <c r="FJ24" t="s">
        <v>341</v>
      </c>
      <c r="FK24" t="s">
        <v>341</v>
      </c>
      <c r="FL24">
        <v>0</v>
      </c>
      <c r="FM24">
        <v>100</v>
      </c>
      <c r="FN24">
        <v>100</v>
      </c>
      <c r="FO24">
        <v>3.4630000000000001</v>
      </c>
      <c r="FP24">
        <v>0.25359999999999999</v>
      </c>
      <c r="FQ24">
        <v>2.4079072826054929E-2</v>
      </c>
      <c r="FR24">
        <v>7.6898218637449396E-3</v>
      </c>
      <c r="FS24">
        <v>1.5097418776848419E-6</v>
      </c>
      <c r="FT24">
        <v>-9.8458676114205118E-11</v>
      </c>
      <c r="FU24">
        <v>0.25358499999999401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340.6</v>
      </c>
      <c r="GD24">
        <v>340.6</v>
      </c>
      <c r="GE24">
        <v>1.10229</v>
      </c>
      <c r="GF24">
        <v>2.63672</v>
      </c>
      <c r="GG24">
        <v>1.7981</v>
      </c>
      <c r="GH24">
        <v>2.3730500000000001</v>
      </c>
      <c r="GI24">
        <v>1.5979000000000001</v>
      </c>
      <c r="GJ24">
        <v>2.5415000000000001</v>
      </c>
      <c r="GK24">
        <v>33.378399999999999</v>
      </c>
      <c r="GL24">
        <v>24.1751</v>
      </c>
      <c r="GM24">
        <v>18</v>
      </c>
      <c r="GN24">
        <v>363.77199999999999</v>
      </c>
      <c r="GO24">
        <v>690.93499999999995</v>
      </c>
      <c r="GP24">
        <v>25.83</v>
      </c>
      <c r="GQ24">
        <v>25.321400000000001</v>
      </c>
      <c r="GR24">
        <v>30</v>
      </c>
      <c r="GS24">
        <v>25.310500000000001</v>
      </c>
      <c r="GT24">
        <v>25.3294</v>
      </c>
      <c r="GU24">
        <v>22.007000000000001</v>
      </c>
      <c r="GV24">
        <v>21.592600000000001</v>
      </c>
      <c r="GW24">
        <v>16.628599999999999</v>
      </c>
      <c r="GX24">
        <v>25.83</v>
      </c>
      <c r="GY24">
        <v>450</v>
      </c>
      <c r="GZ24">
        <v>19.5</v>
      </c>
      <c r="HA24">
        <v>100.833</v>
      </c>
      <c r="HB24">
        <v>71.278300000000002</v>
      </c>
    </row>
    <row r="25" spans="1:210" x14ac:dyDescent="0.3">
      <c r="A25">
        <v>9</v>
      </c>
      <c r="B25">
        <v>1749565128.5</v>
      </c>
      <c r="C25">
        <v>1444.400000095367</v>
      </c>
      <c r="D25" t="s">
        <v>357</v>
      </c>
      <c r="E25" t="s">
        <v>358</v>
      </c>
      <c r="F25">
        <v>15</v>
      </c>
      <c r="G25">
        <v>1749565120.75</v>
      </c>
      <c r="H25">
        <f t="shared" si="0"/>
        <v>1.2317186059058133E-3</v>
      </c>
      <c r="I25">
        <f t="shared" si="1"/>
        <v>1.2317186059058134</v>
      </c>
      <c r="J25">
        <f t="shared" si="2"/>
        <v>16.781168685054784</v>
      </c>
      <c r="K25">
        <f t="shared" si="3"/>
        <v>560.69976666666662</v>
      </c>
      <c r="L25">
        <f t="shared" si="4"/>
        <v>367.60758516001511</v>
      </c>
      <c r="M25">
        <f t="shared" si="5"/>
        <v>37.575638086623556</v>
      </c>
      <c r="N25">
        <f t="shared" si="6"/>
        <v>57.312885691273245</v>
      </c>
      <c r="O25">
        <f t="shared" si="7"/>
        <v>0.15046083573791566</v>
      </c>
      <c r="P25">
        <f t="shared" si="8"/>
        <v>2.4283843463837016</v>
      </c>
      <c r="Q25">
        <f t="shared" si="9"/>
        <v>0.14273031539223208</v>
      </c>
      <c r="R25">
        <f t="shared" si="10"/>
        <v>8.9868348206936913E-2</v>
      </c>
      <c r="S25">
        <f t="shared" si="11"/>
        <v>87.870991000000018</v>
      </c>
      <c r="T25">
        <f t="shared" si="12"/>
        <v>25.436762359495638</v>
      </c>
      <c r="U25">
        <f t="shared" si="13"/>
        <v>24.744166666666661</v>
      </c>
      <c r="V25">
        <f t="shared" si="14"/>
        <v>3.1315013957195719</v>
      </c>
      <c r="W25">
        <f t="shared" si="15"/>
        <v>70.625456382888245</v>
      </c>
      <c r="X25">
        <f t="shared" si="16"/>
        <v>2.2727210935303961</v>
      </c>
      <c r="Y25">
        <f t="shared" si="17"/>
        <v>3.2179913729818406</v>
      </c>
      <c r="Z25">
        <f t="shared" si="18"/>
        <v>0.85878030218917578</v>
      </c>
      <c r="AA25">
        <f t="shared" si="19"/>
        <v>-54.318790520446363</v>
      </c>
      <c r="AB25">
        <f t="shared" si="20"/>
        <v>59.815171502069852</v>
      </c>
      <c r="AC25">
        <f t="shared" si="21"/>
        <v>5.2087609418798255</v>
      </c>
      <c r="AD25">
        <f t="shared" si="22"/>
        <v>98.576132923503337</v>
      </c>
      <c r="AE25">
        <f t="shared" si="23"/>
        <v>16.781168685054784</v>
      </c>
      <c r="AF25">
        <f t="shared" si="24"/>
        <v>1.2317186059058134</v>
      </c>
      <c r="AG25">
        <f t="shared" si="25"/>
        <v>16.802953691985852</v>
      </c>
      <c r="AH25">
        <v>611.9833074075633</v>
      </c>
      <c r="AI25">
        <v>573.42330303030292</v>
      </c>
      <c r="AJ25">
        <v>-7.7870051241987336E-5</v>
      </c>
      <c r="AK25">
        <v>83.958596376727243</v>
      </c>
      <c r="AL25">
        <f t="shared" si="26"/>
        <v>1.2273806723229255</v>
      </c>
      <c r="AM25">
        <v>19.528007469950211</v>
      </c>
      <c r="AN25">
        <v>22.228319999999979</v>
      </c>
      <c r="AO25">
        <v>-1.022767234585821E-6</v>
      </c>
      <c r="AP25">
        <v>90.545189892898478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54320.289801853789</v>
      </c>
      <c r="AV25">
        <f t="shared" si="30"/>
        <v>462.47890000000012</v>
      </c>
      <c r="AW25">
        <f t="shared" si="31"/>
        <v>369.9831200000001</v>
      </c>
      <c r="AX25">
        <f t="shared" si="32"/>
        <v>0.8</v>
      </c>
      <c r="AY25">
        <f t="shared" si="33"/>
        <v>0.19</v>
      </c>
      <c r="AZ25">
        <v>9</v>
      </c>
      <c r="BA25">
        <v>14.19</v>
      </c>
      <c r="BB25" t="s">
        <v>336</v>
      </c>
      <c r="BC25">
        <v>2</v>
      </c>
      <c r="BD25" t="b">
        <v>0</v>
      </c>
      <c r="BE25">
        <v>1749565120.75</v>
      </c>
      <c r="BF25">
        <v>560.69976666666662</v>
      </c>
      <c r="BG25">
        <v>600.01249999999993</v>
      </c>
      <c r="BH25">
        <v>22.23434</v>
      </c>
      <c r="BI25">
        <v>19.524509999999999</v>
      </c>
      <c r="BJ25">
        <v>555.95069999999987</v>
      </c>
      <c r="BK25">
        <v>21.98076</v>
      </c>
      <c r="BL25">
        <v>399.98779999999988</v>
      </c>
      <c r="BM25">
        <v>102.11676666666671</v>
      </c>
      <c r="BN25">
        <v>9.9943770000000001E-2</v>
      </c>
      <c r="BO25">
        <v>25.201053333333331</v>
      </c>
      <c r="BP25">
        <v>24.744166666666661</v>
      </c>
      <c r="BQ25">
        <v>999.9000000000002</v>
      </c>
      <c r="BR25">
        <v>0</v>
      </c>
      <c r="BS25">
        <v>0</v>
      </c>
      <c r="BT25">
        <v>9999.6333333333332</v>
      </c>
      <c r="BU25">
        <v>462.47890000000012</v>
      </c>
      <c r="BV25">
        <v>11.345800000000001</v>
      </c>
      <c r="BW25">
        <v>-39.312809999999999</v>
      </c>
      <c r="BX25">
        <v>573.45000000000005</v>
      </c>
      <c r="BY25">
        <v>611.96066666666673</v>
      </c>
      <c r="BZ25">
        <v>2.709829</v>
      </c>
      <c r="CA25">
        <v>600.01249999999993</v>
      </c>
      <c r="CB25">
        <v>19.524509999999999</v>
      </c>
      <c r="CC25">
        <v>2.270499</v>
      </c>
      <c r="CD25">
        <v>1.993780666666666</v>
      </c>
      <c r="CE25">
        <v>19.468616666666669</v>
      </c>
      <c r="CF25">
        <v>17.39503666666667</v>
      </c>
      <c r="CG25">
        <v>1749544513.0999999</v>
      </c>
      <c r="CH25" t="s">
        <v>337</v>
      </c>
      <c r="CI25">
        <v>1749544513.0999999</v>
      </c>
      <c r="CJ25">
        <v>1749544511.5999999</v>
      </c>
      <c r="CK25">
        <v>2</v>
      </c>
      <c r="CL25">
        <v>-1E-3</v>
      </c>
      <c r="CM25">
        <v>-1E-3</v>
      </c>
      <c r="CN25">
        <v>3.7469999999999999</v>
      </c>
      <c r="CO25">
        <v>0.254</v>
      </c>
      <c r="CP25">
        <v>450</v>
      </c>
      <c r="CQ25">
        <v>19</v>
      </c>
      <c r="CR25">
        <v>0.37</v>
      </c>
      <c r="CS25">
        <v>0.18</v>
      </c>
      <c r="CT25">
        <v>-39.332680487804879</v>
      </c>
      <c r="CU25">
        <v>0.19982299651554919</v>
      </c>
      <c r="CV25">
        <v>5.8413952641270847E-2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2.7164987804878051</v>
      </c>
      <c r="DC25">
        <v>-0.12242926829267931</v>
      </c>
      <c r="DD25">
        <v>1.218003508247621E-2</v>
      </c>
      <c r="DE25">
        <v>0</v>
      </c>
      <c r="DF25">
        <v>1</v>
      </c>
      <c r="DG25">
        <v>2</v>
      </c>
      <c r="DH25" t="s">
        <v>348</v>
      </c>
      <c r="DI25">
        <v>3.0246200000000001</v>
      </c>
      <c r="DJ25">
        <v>2.6913</v>
      </c>
      <c r="DK25">
        <v>0.120381</v>
      </c>
      <c r="DL25">
        <v>0.12771399999999999</v>
      </c>
      <c r="DM25">
        <v>0.114705</v>
      </c>
      <c r="DN25">
        <v>0.105933</v>
      </c>
      <c r="DO25">
        <v>24613.1</v>
      </c>
      <c r="DP25">
        <v>16553.099999999999</v>
      </c>
      <c r="DQ25">
        <v>26537.9</v>
      </c>
      <c r="DR25">
        <v>17241.8</v>
      </c>
      <c r="DS25">
        <v>33402.400000000001</v>
      </c>
      <c r="DT25">
        <v>20109</v>
      </c>
      <c r="DU25">
        <v>38657.599999999999</v>
      </c>
      <c r="DV25">
        <v>22825.9</v>
      </c>
      <c r="DW25">
        <v>1.8263400000000001</v>
      </c>
      <c r="DX25">
        <v>2.24668</v>
      </c>
      <c r="DY25">
        <v>9.7557900000000003E-2</v>
      </c>
      <c r="DZ25">
        <v>0</v>
      </c>
      <c r="EA25">
        <v>23.137699999999999</v>
      </c>
      <c r="EB25">
        <v>999.9</v>
      </c>
      <c r="EC25">
        <v>53.3</v>
      </c>
      <c r="ED25">
        <v>30.6</v>
      </c>
      <c r="EE25">
        <v>23.015599999999999</v>
      </c>
      <c r="EF25">
        <v>62.740600000000001</v>
      </c>
      <c r="EG25">
        <v>36.169899999999998</v>
      </c>
      <c r="EH25">
        <v>1</v>
      </c>
      <c r="EI25">
        <v>-0.14319699999999999</v>
      </c>
      <c r="EJ25">
        <v>-1.10358</v>
      </c>
      <c r="EK25">
        <v>20.3416</v>
      </c>
      <c r="EL25">
        <v>5.2511900000000002</v>
      </c>
      <c r="EM25">
        <v>11.962</v>
      </c>
      <c r="EN25">
        <v>4.9905600000000003</v>
      </c>
      <c r="EO25">
        <v>3.29182</v>
      </c>
      <c r="EP25">
        <v>9999</v>
      </c>
      <c r="EQ25">
        <v>9999</v>
      </c>
      <c r="ER25">
        <v>9999</v>
      </c>
      <c r="ES25">
        <v>999.9</v>
      </c>
      <c r="ET25">
        <v>4.9726299999999997</v>
      </c>
      <c r="EU25">
        <v>1.87181</v>
      </c>
      <c r="EV25">
        <v>1.8721000000000001</v>
      </c>
      <c r="EW25">
        <v>1.87714</v>
      </c>
      <c r="EX25">
        <v>1.87134</v>
      </c>
      <c r="EY25">
        <v>1.8721000000000001</v>
      </c>
      <c r="EZ25">
        <v>1.8717600000000001</v>
      </c>
      <c r="FA25">
        <v>1.86859</v>
      </c>
      <c r="FB25">
        <v>0</v>
      </c>
      <c r="FC25">
        <v>0</v>
      </c>
      <c r="FD25">
        <v>0</v>
      </c>
      <c r="FE25">
        <v>0</v>
      </c>
      <c r="FF25" t="s">
        <v>339</v>
      </c>
      <c r="FG25" t="s">
        <v>340</v>
      </c>
      <c r="FH25" t="s">
        <v>341</v>
      </c>
      <c r="FI25" t="s">
        <v>341</v>
      </c>
      <c r="FJ25" t="s">
        <v>341</v>
      </c>
      <c r="FK25" t="s">
        <v>341</v>
      </c>
      <c r="FL25">
        <v>0</v>
      </c>
      <c r="FM25">
        <v>100</v>
      </c>
      <c r="FN25">
        <v>100</v>
      </c>
      <c r="FO25">
        <v>4.7489999999999997</v>
      </c>
      <c r="FP25">
        <v>0.25359999999999999</v>
      </c>
      <c r="FQ25">
        <v>2.4079072826054929E-2</v>
      </c>
      <c r="FR25">
        <v>7.6898218637449396E-3</v>
      </c>
      <c r="FS25">
        <v>1.5097418776848419E-6</v>
      </c>
      <c r="FT25">
        <v>-9.8458676114205118E-11</v>
      </c>
      <c r="FU25">
        <v>0.25358499999999401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343.6</v>
      </c>
      <c r="GD25">
        <v>343.6</v>
      </c>
      <c r="GE25">
        <v>1.38794</v>
      </c>
      <c r="GF25">
        <v>2.6135299999999999</v>
      </c>
      <c r="GG25">
        <v>1.7981</v>
      </c>
      <c r="GH25">
        <v>2.3718300000000001</v>
      </c>
      <c r="GI25">
        <v>1.5979000000000001</v>
      </c>
      <c r="GJ25">
        <v>2.5817899999999998</v>
      </c>
      <c r="GK25">
        <v>33.333500000000001</v>
      </c>
      <c r="GL25">
        <v>24.1751</v>
      </c>
      <c r="GM25">
        <v>18</v>
      </c>
      <c r="GN25">
        <v>363.697</v>
      </c>
      <c r="GO25">
        <v>691.51300000000003</v>
      </c>
      <c r="GP25">
        <v>25.830100000000002</v>
      </c>
      <c r="GQ25">
        <v>25.2745</v>
      </c>
      <c r="GR25">
        <v>30</v>
      </c>
      <c r="GS25">
        <v>25.259699999999999</v>
      </c>
      <c r="GT25">
        <v>25.276900000000001</v>
      </c>
      <c r="GU25">
        <v>27.734500000000001</v>
      </c>
      <c r="GV25">
        <v>21.869800000000001</v>
      </c>
      <c r="GW25">
        <v>18.1248</v>
      </c>
      <c r="GX25">
        <v>25.83</v>
      </c>
      <c r="GY25">
        <v>600</v>
      </c>
      <c r="GZ25">
        <v>19.5</v>
      </c>
      <c r="HA25">
        <v>100.839</v>
      </c>
      <c r="HB25">
        <v>71.278099999999995</v>
      </c>
    </row>
    <row r="26" spans="1:210" x14ac:dyDescent="0.3">
      <c r="A26">
        <v>10</v>
      </c>
      <c r="B26">
        <v>1749565309</v>
      </c>
      <c r="C26">
        <v>1624.900000095367</v>
      </c>
      <c r="D26" t="s">
        <v>359</v>
      </c>
      <c r="E26" t="s">
        <v>360</v>
      </c>
      <c r="F26">
        <v>15</v>
      </c>
      <c r="G26">
        <v>1749565301.25</v>
      </c>
      <c r="H26">
        <f t="shared" si="0"/>
        <v>1.1345743311437476E-3</v>
      </c>
      <c r="I26">
        <f t="shared" si="1"/>
        <v>1.1345743311437475</v>
      </c>
      <c r="J26">
        <f t="shared" si="2"/>
        <v>19.345550347899074</v>
      </c>
      <c r="K26">
        <f t="shared" si="3"/>
        <v>854.32826666666665</v>
      </c>
      <c r="L26">
        <f t="shared" si="4"/>
        <v>605.0101693087073</v>
      </c>
      <c r="M26">
        <f t="shared" si="5"/>
        <v>61.84034143439618</v>
      </c>
      <c r="N26">
        <f t="shared" si="6"/>
        <v>87.324072202106976</v>
      </c>
      <c r="O26">
        <f t="shared" si="7"/>
        <v>0.13484548277087366</v>
      </c>
      <c r="P26">
        <f t="shared" si="8"/>
        <v>2.4294749704297884</v>
      </c>
      <c r="Q26">
        <f t="shared" si="9"/>
        <v>0.12860367521508972</v>
      </c>
      <c r="R26">
        <f t="shared" si="10"/>
        <v>8.0914360115180869E-2</v>
      </c>
      <c r="S26">
        <f t="shared" si="11"/>
        <v>87.872048666666672</v>
      </c>
      <c r="T26">
        <f t="shared" si="12"/>
        <v>25.454365517053159</v>
      </c>
      <c r="U26">
        <f t="shared" si="13"/>
        <v>24.72537333333333</v>
      </c>
      <c r="V26">
        <f t="shared" si="14"/>
        <v>3.1279876962094342</v>
      </c>
      <c r="W26">
        <f t="shared" si="15"/>
        <v>69.969598867388342</v>
      </c>
      <c r="X26">
        <f t="shared" si="16"/>
        <v>2.2499550308353973</v>
      </c>
      <c r="Y26">
        <f t="shared" si="17"/>
        <v>3.2156180216206209</v>
      </c>
      <c r="Z26">
        <f t="shared" si="18"/>
        <v>0.8780326653740369</v>
      </c>
      <c r="AA26">
        <f t="shared" si="19"/>
        <v>-50.03472800343927</v>
      </c>
      <c r="AB26">
        <f t="shared" si="20"/>
        <v>60.680293667477635</v>
      </c>
      <c r="AC26">
        <f t="shared" si="21"/>
        <v>5.2808954157320134</v>
      </c>
      <c r="AD26">
        <f t="shared" si="22"/>
        <v>103.79850974643705</v>
      </c>
      <c r="AE26">
        <f t="shared" si="23"/>
        <v>19.345550347899074</v>
      </c>
      <c r="AF26">
        <f t="shared" si="24"/>
        <v>1.1345743311437475</v>
      </c>
      <c r="AG26">
        <f t="shared" si="25"/>
        <v>19.320445919637748</v>
      </c>
      <c r="AH26">
        <v>917.92588512211353</v>
      </c>
      <c r="AI26">
        <v>873.58722424242421</v>
      </c>
      <c r="AJ26">
        <v>9.4040369558643299E-4</v>
      </c>
      <c r="AK26">
        <v>83.958596376727243</v>
      </c>
      <c r="AL26">
        <f t="shared" si="26"/>
        <v>1.1309637977876739</v>
      </c>
      <c r="AM26">
        <v>19.514279816034641</v>
      </c>
      <c r="AN26">
        <v>22.002645112781948</v>
      </c>
      <c r="AO26">
        <v>-8.6052330082640832E-7</v>
      </c>
      <c r="AP26">
        <v>90.545189892898478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54359.312312960137</v>
      </c>
      <c r="AV26">
        <f t="shared" si="30"/>
        <v>462.48446666666672</v>
      </c>
      <c r="AW26">
        <f t="shared" si="31"/>
        <v>369.98757333333339</v>
      </c>
      <c r="AX26">
        <f t="shared" si="32"/>
        <v>0.8</v>
      </c>
      <c r="AY26">
        <f t="shared" si="33"/>
        <v>0.19</v>
      </c>
      <c r="AZ26">
        <v>9</v>
      </c>
      <c r="BA26">
        <v>14.19</v>
      </c>
      <c r="BB26" t="s">
        <v>336</v>
      </c>
      <c r="BC26">
        <v>2</v>
      </c>
      <c r="BD26" t="b">
        <v>0</v>
      </c>
      <c r="BE26">
        <v>1749565301.25</v>
      </c>
      <c r="BF26">
        <v>854.32826666666665</v>
      </c>
      <c r="BG26">
        <v>900.03076666666664</v>
      </c>
      <c r="BH26">
        <v>22.012260000000001</v>
      </c>
      <c r="BI26">
        <v>19.515983333333331</v>
      </c>
      <c r="BJ26">
        <v>846.76976666666644</v>
      </c>
      <c r="BK26">
        <v>21.75867666666667</v>
      </c>
      <c r="BL26">
        <v>400.05173333333329</v>
      </c>
      <c r="BM26">
        <v>102.1137333333333</v>
      </c>
      <c r="BN26">
        <v>9.9988966666666679E-2</v>
      </c>
      <c r="BO26">
        <v>25.188659999999999</v>
      </c>
      <c r="BP26">
        <v>24.72537333333333</v>
      </c>
      <c r="BQ26">
        <v>999.9000000000002</v>
      </c>
      <c r="BR26">
        <v>0</v>
      </c>
      <c r="BS26">
        <v>0</v>
      </c>
      <c r="BT26">
        <v>10007</v>
      </c>
      <c r="BU26">
        <v>462.48446666666672</v>
      </c>
      <c r="BV26">
        <v>11.345800000000001</v>
      </c>
      <c r="BW26">
        <v>-45.702649999999991</v>
      </c>
      <c r="BX26">
        <v>873.55713333333335</v>
      </c>
      <c r="BY26">
        <v>917.94536666666659</v>
      </c>
      <c r="BZ26">
        <v>2.4962849999999999</v>
      </c>
      <c r="CA26">
        <v>900.03076666666664</v>
      </c>
      <c r="CB26">
        <v>19.515983333333331</v>
      </c>
      <c r="CC26">
        <v>2.2477533333333328</v>
      </c>
      <c r="CD26">
        <v>1.9928496666666671</v>
      </c>
      <c r="CE26">
        <v>19.306796666666671</v>
      </c>
      <c r="CF26">
        <v>17.387640000000001</v>
      </c>
      <c r="CG26">
        <v>1749544513.0999999</v>
      </c>
      <c r="CH26" t="s">
        <v>337</v>
      </c>
      <c r="CI26">
        <v>1749544513.0999999</v>
      </c>
      <c r="CJ26">
        <v>1749544511.5999999</v>
      </c>
      <c r="CK26">
        <v>2</v>
      </c>
      <c r="CL26">
        <v>-1E-3</v>
      </c>
      <c r="CM26">
        <v>-1E-3</v>
      </c>
      <c r="CN26">
        <v>3.7469999999999999</v>
      </c>
      <c r="CO26">
        <v>0.254</v>
      </c>
      <c r="CP26">
        <v>450</v>
      </c>
      <c r="CQ26">
        <v>19</v>
      </c>
      <c r="CR26">
        <v>0.37</v>
      </c>
      <c r="CS26">
        <v>0.18</v>
      </c>
      <c r="CT26">
        <v>-45.725663414634148</v>
      </c>
      <c r="CU26">
        <v>0.52155679442498948</v>
      </c>
      <c r="CV26">
        <v>5.8287377858406098E-2</v>
      </c>
      <c r="CW26">
        <v>0</v>
      </c>
      <c r="CX26">
        <v>0</v>
      </c>
      <c r="CY26">
        <v>0</v>
      </c>
      <c r="CZ26">
        <v>0</v>
      </c>
      <c r="DA26">
        <v>-1</v>
      </c>
      <c r="DB26">
        <v>2.498355121951219</v>
      </c>
      <c r="DC26">
        <v>-4.3979999999995051E-2</v>
      </c>
      <c r="DD26">
        <v>4.4671915780368863E-3</v>
      </c>
      <c r="DE26">
        <v>1</v>
      </c>
      <c r="DF26">
        <v>1</v>
      </c>
      <c r="DG26">
        <v>2</v>
      </c>
      <c r="DH26" t="s">
        <v>348</v>
      </c>
      <c r="DI26">
        <v>3.02461</v>
      </c>
      <c r="DJ26">
        <v>2.6913999999999998</v>
      </c>
      <c r="DK26">
        <v>0.16009300000000001</v>
      </c>
      <c r="DL26">
        <v>0.16755500000000001</v>
      </c>
      <c r="DM26">
        <v>0.113886</v>
      </c>
      <c r="DN26">
        <v>0.10588</v>
      </c>
      <c r="DO26">
        <v>23504.7</v>
      </c>
      <c r="DP26">
        <v>15797.2</v>
      </c>
      <c r="DQ26">
        <v>26540.3</v>
      </c>
      <c r="DR26">
        <v>17241.5</v>
      </c>
      <c r="DS26">
        <v>33437.699999999997</v>
      </c>
      <c r="DT26">
        <v>20110.5</v>
      </c>
      <c r="DU26">
        <v>38660.800000000003</v>
      </c>
      <c r="DV26">
        <v>22825.599999999999</v>
      </c>
      <c r="DW26">
        <v>1.8267199999999999</v>
      </c>
      <c r="DX26">
        <v>2.2485599999999999</v>
      </c>
      <c r="DY26">
        <v>9.9092700000000006E-2</v>
      </c>
      <c r="DZ26">
        <v>0</v>
      </c>
      <c r="EA26">
        <v>23.0929</v>
      </c>
      <c r="EB26">
        <v>999.9</v>
      </c>
      <c r="EC26">
        <v>53.5</v>
      </c>
      <c r="ED26">
        <v>30.5</v>
      </c>
      <c r="EE26">
        <v>22.970800000000001</v>
      </c>
      <c r="EF26">
        <v>62.760599999999997</v>
      </c>
      <c r="EG26">
        <v>36.041699999999999</v>
      </c>
      <c r="EH26">
        <v>1</v>
      </c>
      <c r="EI26">
        <v>-0.14679300000000001</v>
      </c>
      <c r="EJ26">
        <v>-1.1068100000000001</v>
      </c>
      <c r="EK26">
        <v>20.341699999999999</v>
      </c>
      <c r="EL26">
        <v>5.2532300000000003</v>
      </c>
      <c r="EM26">
        <v>11.962</v>
      </c>
      <c r="EN26">
        <v>4.9909600000000003</v>
      </c>
      <c r="EO26">
        <v>3.2917800000000002</v>
      </c>
      <c r="EP26">
        <v>9999</v>
      </c>
      <c r="EQ26">
        <v>9999</v>
      </c>
      <c r="ER26">
        <v>9999</v>
      </c>
      <c r="ES26">
        <v>999.9</v>
      </c>
      <c r="ET26">
        <v>4.9726400000000002</v>
      </c>
      <c r="EU26">
        <v>1.87182</v>
      </c>
      <c r="EV26">
        <v>1.8721000000000001</v>
      </c>
      <c r="EW26">
        <v>1.87714</v>
      </c>
      <c r="EX26">
        <v>1.87134</v>
      </c>
      <c r="EY26">
        <v>1.8721000000000001</v>
      </c>
      <c r="EZ26">
        <v>1.8717600000000001</v>
      </c>
      <c r="FA26">
        <v>1.86859</v>
      </c>
      <c r="FB26">
        <v>0</v>
      </c>
      <c r="FC26">
        <v>0</v>
      </c>
      <c r="FD26">
        <v>0</v>
      </c>
      <c r="FE26">
        <v>0</v>
      </c>
      <c r="FF26" t="s">
        <v>339</v>
      </c>
      <c r="FG26" t="s">
        <v>340</v>
      </c>
      <c r="FH26" t="s">
        <v>341</v>
      </c>
      <c r="FI26" t="s">
        <v>341</v>
      </c>
      <c r="FJ26" t="s">
        <v>341</v>
      </c>
      <c r="FK26" t="s">
        <v>341</v>
      </c>
      <c r="FL26">
        <v>0</v>
      </c>
      <c r="FM26">
        <v>100</v>
      </c>
      <c r="FN26">
        <v>100</v>
      </c>
      <c r="FO26">
        <v>7.5579999999999998</v>
      </c>
      <c r="FP26">
        <v>0.25359999999999999</v>
      </c>
      <c r="FQ26">
        <v>2.4079072826054929E-2</v>
      </c>
      <c r="FR26">
        <v>7.6898218637449396E-3</v>
      </c>
      <c r="FS26">
        <v>1.5097418776848419E-6</v>
      </c>
      <c r="FT26">
        <v>-9.8458676114205118E-11</v>
      </c>
      <c r="FU26">
        <v>0.25358499999999401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346.6</v>
      </c>
      <c r="GD26">
        <v>346.6</v>
      </c>
      <c r="GE26">
        <v>1.9299299999999999</v>
      </c>
      <c r="GF26">
        <v>2.6061999999999999</v>
      </c>
      <c r="GG26">
        <v>1.7981</v>
      </c>
      <c r="GH26">
        <v>2.3730500000000001</v>
      </c>
      <c r="GI26">
        <v>1.5979000000000001</v>
      </c>
      <c r="GJ26">
        <v>2.5793499999999998</v>
      </c>
      <c r="GK26">
        <v>33.266300000000001</v>
      </c>
      <c r="GL26">
        <v>24.1751</v>
      </c>
      <c r="GM26">
        <v>18</v>
      </c>
      <c r="GN26">
        <v>363.55900000000003</v>
      </c>
      <c r="GO26">
        <v>692.52300000000002</v>
      </c>
      <c r="GP26">
        <v>25.830100000000002</v>
      </c>
      <c r="GQ26">
        <v>25.229900000000001</v>
      </c>
      <c r="GR26">
        <v>30</v>
      </c>
      <c r="GS26">
        <v>25.2117</v>
      </c>
      <c r="GT26">
        <v>25.228899999999999</v>
      </c>
      <c r="GU26">
        <v>38.593400000000003</v>
      </c>
      <c r="GV26">
        <v>21.869800000000001</v>
      </c>
      <c r="GW26">
        <v>19.704499999999999</v>
      </c>
      <c r="GX26">
        <v>25.83</v>
      </c>
      <c r="GY26">
        <v>900</v>
      </c>
      <c r="GZ26">
        <v>19.5</v>
      </c>
      <c r="HA26">
        <v>100.84699999999999</v>
      </c>
      <c r="HB26">
        <v>71.277100000000004</v>
      </c>
    </row>
    <row r="27" spans="1:210" x14ac:dyDescent="0.3">
      <c r="A27">
        <v>11</v>
      </c>
      <c r="B27">
        <v>1749565489.5</v>
      </c>
      <c r="C27">
        <v>1805.400000095367</v>
      </c>
      <c r="D27" t="s">
        <v>361</v>
      </c>
      <c r="E27" t="s">
        <v>362</v>
      </c>
      <c r="F27">
        <v>15</v>
      </c>
      <c r="G27">
        <v>1749565481.75</v>
      </c>
      <c r="H27">
        <f t="shared" si="0"/>
        <v>1.0676683168787434E-3</v>
      </c>
      <c r="I27">
        <f t="shared" si="1"/>
        <v>1.0676683168787435</v>
      </c>
      <c r="J27">
        <f t="shared" si="2"/>
        <v>19.932183934705371</v>
      </c>
      <c r="K27">
        <f t="shared" si="3"/>
        <v>1152.421</v>
      </c>
      <c r="L27">
        <f t="shared" si="4"/>
        <v>862.82141173860828</v>
      </c>
      <c r="M27">
        <f t="shared" si="5"/>
        <v>88.19145260718625</v>
      </c>
      <c r="N27">
        <f t="shared" si="6"/>
        <v>117.79225761242014</v>
      </c>
      <c r="O27">
        <f t="shared" si="7"/>
        <v>0.12037792118641939</v>
      </c>
      <c r="P27">
        <f t="shared" si="8"/>
        <v>2.4280281015377381</v>
      </c>
      <c r="Q27">
        <f t="shared" si="9"/>
        <v>0.11537446007101991</v>
      </c>
      <c r="R27">
        <f t="shared" si="10"/>
        <v>7.2541502209130998E-2</v>
      </c>
      <c r="S27">
        <f t="shared" si="11"/>
        <v>87.933785999999998</v>
      </c>
      <c r="T27">
        <f t="shared" si="12"/>
        <v>25.599647243445229</v>
      </c>
      <c r="U27">
        <f t="shared" si="13"/>
        <v>24.896799999999999</v>
      </c>
      <c r="V27">
        <f t="shared" si="14"/>
        <v>3.1601665326021298</v>
      </c>
      <c r="W27">
        <f t="shared" si="15"/>
        <v>69.125603312624662</v>
      </c>
      <c r="X27">
        <f t="shared" si="16"/>
        <v>2.2392778477384621</v>
      </c>
      <c r="Y27">
        <f t="shared" si="17"/>
        <v>3.2394333509267104</v>
      </c>
      <c r="Z27">
        <f t="shared" si="18"/>
        <v>0.92088868486366771</v>
      </c>
      <c r="AA27">
        <f t="shared" si="19"/>
        <v>-47.084172774352588</v>
      </c>
      <c r="AB27">
        <f t="shared" si="20"/>
        <v>54.436012041061517</v>
      </c>
      <c r="AC27">
        <f t="shared" si="21"/>
        <v>4.7473430180421916</v>
      </c>
      <c r="AD27">
        <f t="shared" si="22"/>
        <v>100.03296828475112</v>
      </c>
      <c r="AE27">
        <f t="shared" si="23"/>
        <v>19.932183934705371</v>
      </c>
      <c r="AF27">
        <f t="shared" si="24"/>
        <v>1.0676683168787435</v>
      </c>
      <c r="AG27">
        <f t="shared" si="25"/>
        <v>20.083732318761019</v>
      </c>
      <c r="AH27">
        <v>1223.9965309499071</v>
      </c>
      <c r="AI27">
        <v>1178.191151515151</v>
      </c>
      <c r="AJ27">
        <v>-3.306422387079061E-2</v>
      </c>
      <c r="AK27">
        <v>83.958596376727243</v>
      </c>
      <c r="AL27">
        <f t="shared" si="26"/>
        <v>1.0672355963651137</v>
      </c>
      <c r="AM27">
        <v>19.555837203447449</v>
      </c>
      <c r="AN27">
        <v>21.90457894736841</v>
      </c>
      <c r="AO27">
        <v>-2.7375933435879241E-7</v>
      </c>
      <c r="AP27">
        <v>90.545189892898478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54287.859511069175</v>
      </c>
      <c r="AV27">
        <f t="shared" si="30"/>
        <v>462.80939999999998</v>
      </c>
      <c r="AW27">
        <f t="shared" si="31"/>
        <v>370.24752000000001</v>
      </c>
      <c r="AX27">
        <f t="shared" si="32"/>
        <v>0.8</v>
      </c>
      <c r="AY27">
        <f t="shared" si="33"/>
        <v>0.19</v>
      </c>
      <c r="AZ27">
        <v>9</v>
      </c>
      <c r="BA27">
        <v>14.19</v>
      </c>
      <c r="BB27" t="s">
        <v>336</v>
      </c>
      <c r="BC27">
        <v>2</v>
      </c>
      <c r="BD27" t="b">
        <v>0</v>
      </c>
      <c r="BE27">
        <v>1749565481.75</v>
      </c>
      <c r="BF27">
        <v>1152.421</v>
      </c>
      <c r="BG27">
        <v>1200.038</v>
      </c>
      <c r="BH27">
        <v>21.90798333333333</v>
      </c>
      <c r="BI27">
        <v>19.558299999999999</v>
      </c>
      <c r="BJ27">
        <v>1141.7956666666671</v>
      </c>
      <c r="BK27">
        <v>21.654409999999991</v>
      </c>
      <c r="BL27">
        <v>399.99009999999998</v>
      </c>
      <c r="BM27">
        <v>102.1129333333333</v>
      </c>
      <c r="BN27">
        <v>9.9936453333333342E-2</v>
      </c>
      <c r="BO27">
        <v>25.312660000000001</v>
      </c>
      <c r="BP27">
        <v>24.896799999999999</v>
      </c>
      <c r="BQ27">
        <v>999.9000000000002</v>
      </c>
      <c r="BR27">
        <v>0</v>
      </c>
      <c r="BS27">
        <v>0</v>
      </c>
      <c r="BT27">
        <v>9997.7000000000007</v>
      </c>
      <c r="BU27">
        <v>462.80939999999998</v>
      </c>
      <c r="BV27">
        <v>11.345800000000001</v>
      </c>
      <c r="BW27">
        <v>-47.617163333333338</v>
      </c>
      <c r="BX27">
        <v>1178.2343333333331</v>
      </c>
      <c r="BY27">
        <v>1223.9770000000001</v>
      </c>
      <c r="BZ27">
        <v>2.349695333333333</v>
      </c>
      <c r="CA27">
        <v>1200.038</v>
      </c>
      <c r="CB27">
        <v>19.558299999999999</v>
      </c>
      <c r="CC27">
        <v>2.2370913333333329</v>
      </c>
      <c r="CD27">
        <v>1.997155</v>
      </c>
      <c r="CE27">
        <v>19.230429999999998</v>
      </c>
      <c r="CF27">
        <v>17.421810000000001</v>
      </c>
      <c r="CG27">
        <v>1749544513.0999999</v>
      </c>
      <c r="CH27" t="s">
        <v>337</v>
      </c>
      <c r="CI27">
        <v>1749544513.0999999</v>
      </c>
      <c r="CJ27">
        <v>1749544511.5999999</v>
      </c>
      <c r="CK27">
        <v>2</v>
      </c>
      <c r="CL27">
        <v>-1E-3</v>
      </c>
      <c r="CM27">
        <v>-1E-3</v>
      </c>
      <c r="CN27">
        <v>3.7469999999999999</v>
      </c>
      <c r="CO27">
        <v>0.254</v>
      </c>
      <c r="CP27">
        <v>450</v>
      </c>
      <c r="CQ27">
        <v>19</v>
      </c>
      <c r="CR27">
        <v>0.37</v>
      </c>
      <c r="CS27">
        <v>0.18</v>
      </c>
      <c r="CT27">
        <v>-47.629872499999998</v>
      </c>
      <c r="CU27">
        <v>9.5334709193355377E-2</v>
      </c>
      <c r="CV27">
        <v>6.7167719134640688E-2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2.3505102500000001</v>
      </c>
      <c r="DC27">
        <v>-1.445639774859772E-2</v>
      </c>
      <c r="DD27">
        <v>1.930667614453617E-3</v>
      </c>
      <c r="DE27">
        <v>1</v>
      </c>
      <c r="DF27">
        <v>2</v>
      </c>
      <c r="DG27">
        <v>2</v>
      </c>
      <c r="DH27" t="s">
        <v>338</v>
      </c>
      <c r="DI27">
        <v>3.0245899999999999</v>
      </c>
      <c r="DJ27">
        <v>2.6912500000000001</v>
      </c>
      <c r="DK27">
        <v>0.19356699999999999</v>
      </c>
      <c r="DL27">
        <v>0.20089399999999999</v>
      </c>
      <c r="DM27">
        <v>0.113524</v>
      </c>
      <c r="DN27">
        <v>0.106005</v>
      </c>
      <c r="DO27">
        <v>22566.799999999999</v>
      </c>
      <c r="DP27">
        <v>15163.9</v>
      </c>
      <c r="DQ27">
        <v>26538.3</v>
      </c>
      <c r="DR27">
        <v>17240.400000000001</v>
      </c>
      <c r="DS27">
        <v>33450.1</v>
      </c>
      <c r="DT27">
        <v>20106.400000000001</v>
      </c>
      <c r="DU27">
        <v>38657.699999999997</v>
      </c>
      <c r="DV27">
        <v>22823.599999999999</v>
      </c>
      <c r="DW27">
        <v>1.8269</v>
      </c>
      <c r="DX27">
        <v>2.2495799999999999</v>
      </c>
      <c r="DY27">
        <v>9.2715000000000006E-2</v>
      </c>
      <c r="DZ27">
        <v>0</v>
      </c>
      <c r="EA27">
        <v>23.3813</v>
      </c>
      <c r="EB27">
        <v>999.9</v>
      </c>
      <c r="EC27">
        <v>53.8</v>
      </c>
      <c r="ED27">
        <v>30.4</v>
      </c>
      <c r="EE27">
        <v>22.969100000000001</v>
      </c>
      <c r="EF27">
        <v>62.760599999999997</v>
      </c>
      <c r="EG27">
        <v>35.957500000000003</v>
      </c>
      <c r="EH27">
        <v>1</v>
      </c>
      <c r="EI27">
        <v>-0.14499400000000001</v>
      </c>
      <c r="EJ27">
        <v>-0.98280800000000001</v>
      </c>
      <c r="EK27">
        <v>20.342199999999998</v>
      </c>
      <c r="EL27">
        <v>5.2517899999999997</v>
      </c>
      <c r="EM27">
        <v>11.962</v>
      </c>
      <c r="EN27">
        <v>4.9912000000000001</v>
      </c>
      <c r="EO27">
        <v>3.2919</v>
      </c>
      <c r="EP27">
        <v>9999</v>
      </c>
      <c r="EQ27">
        <v>9999</v>
      </c>
      <c r="ER27">
        <v>9999</v>
      </c>
      <c r="ES27">
        <v>999.9</v>
      </c>
      <c r="ET27">
        <v>4.9726699999999999</v>
      </c>
      <c r="EU27">
        <v>1.8718300000000001</v>
      </c>
      <c r="EV27">
        <v>1.8721000000000001</v>
      </c>
      <c r="EW27">
        <v>1.8771500000000001</v>
      </c>
      <c r="EX27">
        <v>1.87134</v>
      </c>
      <c r="EY27">
        <v>1.8721000000000001</v>
      </c>
      <c r="EZ27">
        <v>1.8717900000000001</v>
      </c>
      <c r="FA27">
        <v>1.86859</v>
      </c>
      <c r="FB27">
        <v>0</v>
      </c>
      <c r="FC27">
        <v>0</v>
      </c>
      <c r="FD27">
        <v>0</v>
      </c>
      <c r="FE27">
        <v>0</v>
      </c>
      <c r="FF27" t="s">
        <v>339</v>
      </c>
      <c r="FG27" t="s">
        <v>340</v>
      </c>
      <c r="FH27" t="s">
        <v>341</v>
      </c>
      <c r="FI27" t="s">
        <v>341</v>
      </c>
      <c r="FJ27" t="s">
        <v>341</v>
      </c>
      <c r="FK27" t="s">
        <v>341</v>
      </c>
      <c r="FL27">
        <v>0</v>
      </c>
      <c r="FM27">
        <v>100</v>
      </c>
      <c r="FN27">
        <v>100</v>
      </c>
      <c r="FO27">
        <v>10.63</v>
      </c>
      <c r="FP27">
        <v>0.25359999999999999</v>
      </c>
      <c r="FQ27">
        <v>2.4079072826054929E-2</v>
      </c>
      <c r="FR27">
        <v>7.6898218637449396E-3</v>
      </c>
      <c r="FS27">
        <v>1.5097418776848419E-6</v>
      </c>
      <c r="FT27">
        <v>-9.8458676114205118E-11</v>
      </c>
      <c r="FU27">
        <v>0.25358499999999401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349.6</v>
      </c>
      <c r="GD27">
        <v>349.6</v>
      </c>
      <c r="GE27">
        <v>2.4438499999999999</v>
      </c>
      <c r="GF27">
        <v>2.6013199999999999</v>
      </c>
      <c r="GG27">
        <v>1.7981</v>
      </c>
      <c r="GH27">
        <v>2.3730500000000001</v>
      </c>
      <c r="GI27">
        <v>1.5979000000000001</v>
      </c>
      <c r="GJ27">
        <v>2.5769000000000002</v>
      </c>
      <c r="GK27">
        <v>33.266300000000001</v>
      </c>
      <c r="GL27">
        <v>24.1751</v>
      </c>
      <c r="GM27">
        <v>18</v>
      </c>
      <c r="GN27">
        <v>363.63499999999999</v>
      </c>
      <c r="GO27">
        <v>693.38900000000001</v>
      </c>
      <c r="GP27">
        <v>25.8308</v>
      </c>
      <c r="GQ27">
        <v>25.248799999999999</v>
      </c>
      <c r="GR27">
        <v>30.000299999999999</v>
      </c>
      <c r="GS27">
        <v>25.209800000000001</v>
      </c>
      <c r="GT27">
        <v>25.226400000000002</v>
      </c>
      <c r="GU27">
        <v>48.871299999999998</v>
      </c>
      <c r="GV27">
        <v>22.1433</v>
      </c>
      <c r="GW27">
        <v>21.576799999999999</v>
      </c>
      <c r="GX27">
        <v>25.83</v>
      </c>
      <c r="GY27">
        <v>1200</v>
      </c>
      <c r="GZ27">
        <v>19.5</v>
      </c>
      <c r="HA27">
        <v>100.839</v>
      </c>
      <c r="HB27">
        <v>71.271500000000003</v>
      </c>
    </row>
    <row r="28" spans="1:210" x14ac:dyDescent="0.3">
      <c r="A28">
        <v>12</v>
      </c>
      <c r="B28">
        <v>1749565670</v>
      </c>
      <c r="C28">
        <v>1985.900000095367</v>
      </c>
      <c r="D28" t="s">
        <v>363</v>
      </c>
      <c r="E28" t="s">
        <v>364</v>
      </c>
      <c r="F28">
        <v>15</v>
      </c>
      <c r="G28">
        <v>1749565662.25</v>
      </c>
      <c r="H28">
        <f t="shared" si="0"/>
        <v>1.0250576034702542E-3</v>
      </c>
      <c r="I28">
        <f t="shared" si="1"/>
        <v>1.0250576034702543</v>
      </c>
      <c r="J28">
        <f t="shared" si="2"/>
        <v>20.019494336937743</v>
      </c>
      <c r="K28">
        <f t="shared" si="3"/>
        <v>1551.4096666666669</v>
      </c>
      <c r="L28">
        <f t="shared" si="4"/>
        <v>1230.5044317320724</v>
      </c>
      <c r="M28">
        <f t="shared" si="5"/>
        <v>125.76927224722564</v>
      </c>
      <c r="N28">
        <f t="shared" si="6"/>
        <v>158.56884355899874</v>
      </c>
      <c r="O28">
        <f t="shared" si="7"/>
        <v>0.11057079381678313</v>
      </c>
      <c r="P28">
        <f t="shared" si="8"/>
        <v>2.4295225243594754</v>
      </c>
      <c r="Q28">
        <f t="shared" si="9"/>
        <v>0.10633667695332476</v>
      </c>
      <c r="R28">
        <f t="shared" si="10"/>
        <v>6.6827533806642234E-2</v>
      </c>
      <c r="S28">
        <f t="shared" si="11"/>
        <v>87.937858333333338</v>
      </c>
      <c r="T28">
        <f t="shared" si="12"/>
        <v>25.727989829952705</v>
      </c>
      <c r="U28">
        <f t="shared" si="13"/>
        <v>25.03178333333333</v>
      </c>
      <c r="V28">
        <f t="shared" si="14"/>
        <v>3.1857077310314472</v>
      </c>
      <c r="W28">
        <f t="shared" si="15"/>
        <v>68.262220916588149</v>
      </c>
      <c r="X28">
        <f t="shared" si="16"/>
        <v>2.2265210277683605</v>
      </c>
      <c r="Y28">
        <f t="shared" si="17"/>
        <v>3.2617178255729766</v>
      </c>
      <c r="Z28">
        <f t="shared" si="18"/>
        <v>0.95918670326308675</v>
      </c>
      <c r="AA28">
        <f t="shared" si="19"/>
        <v>-45.205040313038211</v>
      </c>
      <c r="AB28">
        <f t="shared" si="20"/>
        <v>51.892695338063284</v>
      </c>
      <c r="AC28">
        <f t="shared" si="21"/>
        <v>4.5284559250051872</v>
      </c>
      <c r="AD28">
        <f t="shared" si="22"/>
        <v>99.153969283363608</v>
      </c>
      <c r="AE28">
        <f t="shared" si="23"/>
        <v>20.019494336937743</v>
      </c>
      <c r="AF28">
        <f t="shared" si="24"/>
        <v>1.0250576034702543</v>
      </c>
      <c r="AG28">
        <f t="shared" si="25"/>
        <v>19.957679383811325</v>
      </c>
      <c r="AH28">
        <v>1632.039883318178</v>
      </c>
      <c r="AI28">
        <v>1586.037393939393</v>
      </c>
      <c r="AJ28">
        <v>2.3626544884031309E-2</v>
      </c>
      <c r="AK28">
        <v>83.958596376727243</v>
      </c>
      <c r="AL28">
        <f t="shared" si="26"/>
        <v>1.0220955785360404</v>
      </c>
      <c r="AM28">
        <v>19.52875718235169</v>
      </c>
      <c r="AN28">
        <v>21.77835819548871</v>
      </c>
      <c r="AO28">
        <v>-9.7902725026154493E-8</v>
      </c>
      <c r="AP28">
        <v>90.545189892898478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54317.235227193545</v>
      </c>
      <c r="AV28">
        <f t="shared" si="30"/>
        <v>462.83083333333337</v>
      </c>
      <c r="AW28">
        <f t="shared" si="31"/>
        <v>370.2646666666667</v>
      </c>
      <c r="AX28">
        <f t="shared" si="32"/>
        <v>0.8</v>
      </c>
      <c r="AY28">
        <f t="shared" si="33"/>
        <v>0.19</v>
      </c>
      <c r="AZ28">
        <v>9</v>
      </c>
      <c r="BA28">
        <v>14.19</v>
      </c>
      <c r="BB28" t="s">
        <v>336</v>
      </c>
      <c r="BC28">
        <v>2</v>
      </c>
      <c r="BD28" t="b">
        <v>0</v>
      </c>
      <c r="BE28">
        <v>1749565662.25</v>
      </c>
      <c r="BF28">
        <v>1551.4096666666669</v>
      </c>
      <c r="BG28">
        <v>1600.0309999999999</v>
      </c>
      <c r="BH28">
        <v>21.78389</v>
      </c>
      <c r="BI28">
        <v>19.527783333333328</v>
      </c>
      <c r="BJ28">
        <v>1536.364</v>
      </c>
      <c r="BK28">
        <v>21.5303</v>
      </c>
      <c r="BL28">
        <v>400.00549999999998</v>
      </c>
      <c r="BM28">
        <v>102.10956666666669</v>
      </c>
      <c r="BN28">
        <v>9.9957333333333315E-2</v>
      </c>
      <c r="BO28">
        <v>25.427969999999998</v>
      </c>
      <c r="BP28">
        <v>25.03178333333333</v>
      </c>
      <c r="BQ28">
        <v>999.9000000000002</v>
      </c>
      <c r="BR28">
        <v>0</v>
      </c>
      <c r="BS28">
        <v>0</v>
      </c>
      <c r="BT28">
        <v>10007.716666666671</v>
      </c>
      <c r="BU28">
        <v>462.83083333333337</v>
      </c>
      <c r="BV28">
        <v>11.345800000000001</v>
      </c>
      <c r="BW28">
        <v>-48.622326666666673</v>
      </c>
      <c r="BX28">
        <v>1585.9580000000001</v>
      </c>
      <c r="BY28">
        <v>1631.8986666666669</v>
      </c>
      <c r="BZ28">
        <v>2.256103</v>
      </c>
      <c r="CA28">
        <v>1600.0309999999999</v>
      </c>
      <c r="CB28">
        <v>19.527783333333328</v>
      </c>
      <c r="CC28">
        <v>2.2243433333333331</v>
      </c>
      <c r="CD28">
        <v>1.993973</v>
      </c>
      <c r="CE28">
        <v>19.138719999999999</v>
      </c>
      <c r="CF28">
        <v>17.396566666666669</v>
      </c>
      <c r="CG28">
        <v>1749544513.0999999</v>
      </c>
      <c r="CH28" t="s">
        <v>337</v>
      </c>
      <c r="CI28">
        <v>1749544513.0999999</v>
      </c>
      <c r="CJ28">
        <v>1749544511.5999999</v>
      </c>
      <c r="CK28">
        <v>2</v>
      </c>
      <c r="CL28">
        <v>-1E-3</v>
      </c>
      <c r="CM28">
        <v>-1E-3</v>
      </c>
      <c r="CN28">
        <v>3.7469999999999999</v>
      </c>
      <c r="CO28">
        <v>0.254</v>
      </c>
      <c r="CP28">
        <v>450</v>
      </c>
      <c r="CQ28">
        <v>19</v>
      </c>
      <c r="CR28">
        <v>0.37</v>
      </c>
      <c r="CS28">
        <v>0.18</v>
      </c>
      <c r="CT28">
        <v>-48.610287804878048</v>
      </c>
      <c r="CU28">
        <v>-0.26636236933798968</v>
      </c>
      <c r="CV28">
        <v>6.968808973762193E-2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2.261226097560975</v>
      </c>
      <c r="DC28">
        <v>-9.1435191637630017E-2</v>
      </c>
      <c r="DD28">
        <v>9.5756535478540537E-3</v>
      </c>
      <c r="DE28">
        <v>1</v>
      </c>
      <c r="DF28">
        <v>2</v>
      </c>
      <c r="DG28">
        <v>2</v>
      </c>
      <c r="DH28" t="s">
        <v>338</v>
      </c>
      <c r="DI28">
        <v>3.0247000000000002</v>
      </c>
      <c r="DJ28">
        <v>2.69129</v>
      </c>
      <c r="DK28">
        <v>0.23161999999999999</v>
      </c>
      <c r="DL28">
        <v>0.23878099999999999</v>
      </c>
      <c r="DM28">
        <v>0.113035</v>
      </c>
      <c r="DN28">
        <v>0.10592600000000001</v>
      </c>
      <c r="DO28">
        <v>21499.3</v>
      </c>
      <c r="DP28">
        <v>14443.4</v>
      </c>
      <c r="DQ28">
        <v>26534.2</v>
      </c>
      <c r="DR28">
        <v>17237.900000000001</v>
      </c>
      <c r="DS28">
        <v>33466</v>
      </c>
      <c r="DT28">
        <v>20107.099999999999</v>
      </c>
      <c r="DU28">
        <v>38652.199999999997</v>
      </c>
      <c r="DV28">
        <v>22821.4</v>
      </c>
      <c r="DW28">
        <v>1.82596</v>
      </c>
      <c r="DX28">
        <v>2.2489400000000002</v>
      </c>
      <c r="DY28">
        <v>8.7946700000000003E-2</v>
      </c>
      <c r="DZ28">
        <v>0</v>
      </c>
      <c r="EA28">
        <v>23.594200000000001</v>
      </c>
      <c r="EB28">
        <v>999.9</v>
      </c>
      <c r="EC28">
        <v>54.1</v>
      </c>
      <c r="ED28">
        <v>30.4</v>
      </c>
      <c r="EE28">
        <v>23.096499999999999</v>
      </c>
      <c r="EF28">
        <v>62.660600000000002</v>
      </c>
      <c r="EG28">
        <v>36.1218</v>
      </c>
      <c r="EH28">
        <v>1</v>
      </c>
      <c r="EI28">
        <v>-0.13753000000000001</v>
      </c>
      <c r="EJ28">
        <v>-0.89872799999999997</v>
      </c>
      <c r="EK28">
        <v>20.343</v>
      </c>
      <c r="EL28">
        <v>5.25251</v>
      </c>
      <c r="EM28">
        <v>11.962</v>
      </c>
      <c r="EN28">
        <v>4.9904799999999998</v>
      </c>
      <c r="EO28">
        <v>3.2917999999999998</v>
      </c>
      <c r="EP28">
        <v>9999</v>
      </c>
      <c r="EQ28">
        <v>9999</v>
      </c>
      <c r="ER28">
        <v>9999</v>
      </c>
      <c r="ES28">
        <v>999.9</v>
      </c>
      <c r="ET28">
        <v>4.9726499999999998</v>
      </c>
      <c r="EU28">
        <v>1.8718600000000001</v>
      </c>
      <c r="EV28">
        <v>1.8721000000000001</v>
      </c>
      <c r="EW28">
        <v>1.87714</v>
      </c>
      <c r="EX28">
        <v>1.87134</v>
      </c>
      <c r="EY28">
        <v>1.8721000000000001</v>
      </c>
      <c r="EZ28">
        <v>1.87178</v>
      </c>
      <c r="FA28">
        <v>1.86859</v>
      </c>
      <c r="FB28">
        <v>0</v>
      </c>
      <c r="FC28">
        <v>0</v>
      </c>
      <c r="FD28">
        <v>0</v>
      </c>
      <c r="FE28">
        <v>0</v>
      </c>
      <c r="FF28" t="s">
        <v>339</v>
      </c>
      <c r="FG28" t="s">
        <v>340</v>
      </c>
      <c r="FH28" t="s">
        <v>341</v>
      </c>
      <c r="FI28" t="s">
        <v>341</v>
      </c>
      <c r="FJ28" t="s">
        <v>341</v>
      </c>
      <c r="FK28" t="s">
        <v>341</v>
      </c>
      <c r="FL28">
        <v>0</v>
      </c>
      <c r="FM28">
        <v>100</v>
      </c>
      <c r="FN28">
        <v>100</v>
      </c>
      <c r="FO28">
        <v>15.05</v>
      </c>
      <c r="FP28">
        <v>0.25359999999999999</v>
      </c>
      <c r="FQ28">
        <v>2.4079072826054929E-2</v>
      </c>
      <c r="FR28">
        <v>7.6898218637449396E-3</v>
      </c>
      <c r="FS28">
        <v>1.5097418776848419E-6</v>
      </c>
      <c r="FT28">
        <v>-9.8458676114205118E-11</v>
      </c>
      <c r="FU28">
        <v>0.25358499999999401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352.6</v>
      </c>
      <c r="GD28">
        <v>352.6</v>
      </c>
      <c r="GE28">
        <v>3.0932599999999999</v>
      </c>
      <c r="GF28">
        <v>2.5915499999999998</v>
      </c>
      <c r="GG28">
        <v>1.7981</v>
      </c>
      <c r="GH28">
        <v>2.3730500000000001</v>
      </c>
      <c r="GI28">
        <v>1.5979000000000001</v>
      </c>
      <c r="GJ28">
        <v>2.5</v>
      </c>
      <c r="GK28">
        <v>33.266300000000001</v>
      </c>
      <c r="GL28">
        <v>24.1751</v>
      </c>
      <c r="GM28">
        <v>18</v>
      </c>
      <c r="GN28">
        <v>363.63</v>
      </c>
      <c r="GO28">
        <v>693.71</v>
      </c>
      <c r="GP28">
        <v>25.8306</v>
      </c>
      <c r="GQ28">
        <v>25.347799999999999</v>
      </c>
      <c r="GR28">
        <v>30.0002</v>
      </c>
      <c r="GS28">
        <v>25.277999999999999</v>
      </c>
      <c r="GT28">
        <v>25.291699999999999</v>
      </c>
      <c r="GU28">
        <v>61.842300000000002</v>
      </c>
      <c r="GV28">
        <v>22.686699999999998</v>
      </c>
      <c r="GW28">
        <v>22.691700000000001</v>
      </c>
      <c r="GX28">
        <v>25.83</v>
      </c>
      <c r="GY28">
        <v>1600</v>
      </c>
      <c r="GZ28">
        <v>19.5</v>
      </c>
      <c r="HA28">
        <v>100.825</v>
      </c>
      <c r="HB28">
        <v>71.263000000000005</v>
      </c>
    </row>
    <row r="29" spans="1:210" x14ac:dyDescent="0.3">
      <c r="A29">
        <v>13</v>
      </c>
      <c r="B29">
        <v>1749565850.5</v>
      </c>
      <c r="C29">
        <v>2166.400000095367</v>
      </c>
      <c r="D29" t="s">
        <v>365</v>
      </c>
      <c r="E29" t="s">
        <v>366</v>
      </c>
      <c r="F29">
        <v>15</v>
      </c>
      <c r="G29">
        <v>1749565842.75</v>
      </c>
      <c r="H29">
        <f t="shared" si="0"/>
        <v>1.0078221885408461E-3</v>
      </c>
      <c r="I29">
        <f t="shared" si="1"/>
        <v>1.007822188540846</v>
      </c>
      <c r="J29">
        <f t="shared" si="2"/>
        <v>11.007351276617495</v>
      </c>
      <c r="K29">
        <f t="shared" si="3"/>
        <v>424.25956666666667</v>
      </c>
      <c r="L29">
        <f t="shared" si="4"/>
        <v>246.74147626575672</v>
      </c>
      <c r="M29">
        <f t="shared" si="5"/>
        <v>25.219192243276574</v>
      </c>
      <c r="N29">
        <f t="shared" si="6"/>
        <v>43.363133489935983</v>
      </c>
      <c r="O29">
        <f t="shared" si="7"/>
        <v>0.10559294647743231</v>
      </c>
      <c r="P29">
        <f t="shared" si="8"/>
        <v>2.4270622497559597</v>
      </c>
      <c r="Q29">
        <f t="shared" si="9"/>
        <v>0.10172064638408951</v>
      </c>
      <c r="R29">
        <f t="shared" si="10"/>
        <v>6.3911661739912515E-2</v>
      </c>
      <c r="S29">
        <f t="shared" si="11"/>
        <v>87.945470999999984</v>
      </c>
      <c r="T29">
        <f t="shared" si="12"/>
        <v>25.820192942837295</v>
      </c>
      <c r="U29">
        <f t="shared" si="13"/>
        <v>25.13696333333333</v>
      </c>
      <c r="V29">
        <f t="shared" si="14"/>
        <v>3.2057344814732791</v>
      </c>
      <c r="W29">
        <f t="shared" si="15"/>
        <v>67.711774432230285</v>
      </c>
      <c r="X29">
        <f t="shared" si="16"/>
        <v>2.2199522626832984</v>
      </c>
      <c r="Y29">
        <f t="shared" si="17"/>
        <v>3.2785321036079922</v>
      </c>
      <c r="Z29">
        <f t="shared" si="18"/>
        <v>0.98578221878998074</v>
      </c>
      <c r="AA29">
        <f t="shared" si="19"/>
        <v>-44.444958514651312</v>
      </c>
      <c r="AB29">
        <f t="shared" si="20"/>
        <v>49.4024516608727</v>
      </c>
      <c r="AC29">
        <f t="shared" si="21"/>
        <v>4.3196758183414019</v>
      </c>
      <c r="AD29">
        <f t="shared" si="22"/>
        <v>97.222639964562774</v>
      </c>
      <c r="AE29">
        <f t="shared" si="23"/>
        <v>11.007351276617495</v>
      </c>
      <c r="AF29">
        <f t="shared" si="24"/>
        <v>1.007822188540846</v>
      </c>
      <c r="AG29">
        <f t="shared" si="25"/>
        <v>11.036548630491144</v>
      </c>
      <c r="AH29">
        <v>458.92614972603951</v>
      </c>
      <c r="AI29">
        <v>433.61000606060588</v>
      </c>
      <c r="AJ29">
        <v>-9.5692616913487655E-4</v>
      </c>
      <c r="AK29">
        <v>83.958596376727243</v>
      </c>
      <c r="AL29">
        <f t="shared" si="26"/>
        <v>1.0092562555316877</v>
      </c>
      <c r="AM29">
        <v>19.501000397689289</v>
      </c>
      <c r="AN29">
        <v>21.722347969924801</v>
      </c>
      <c r="AO29">
        <v>-5.0966135088384528E-8</v>
      </c>
      <c r="AP29">
        <v>90.545189892898478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54218.487426733438</v>
      </c>
      <c r="AV29">
        <f t="shared" si="30"/>
        <v>462.87089999999989</v>
      </c>
      <c r="AW29">
        <f t="shared" si="31"/>
        <v>370.29671999999994</v>
      </c>
      <c r="AX29">
        <f t="shared" si="32"/>
        <v>0.8</v>
      </c>
      <c r="AY29">
        <f t="shared" si="33"/>
        <v>0.19</v>
      </c>
      <c r="AZ29">
        <v>9</v>
      </c>
      <c r="BA29">
        <v>14.19</v>
      </c>
      <c r="BB29" t="s">
        <v>336</v>
      </c>
      <c r="BC29">
        <v>2</v>
      </c>
      <c r="BD29" t="b">
        <v>0</v>
      </c>
      <c r="BE29">
        <v>1749565842.75</v>
      </c>
      <c r="BF29">
        <v>424.25956666666667</v>
      </c>
      <c r="BG29">
        <v>449.98639999999989</v>
      </c>
      <c r="BH29">
        <v>21.719740000000002</v>
      </c>
      <c r="BI29">
        <v>19.501543333333331</v>
      </c>
      <c r="BJ29">
        <v>420.73989999999992</v>
      </c>
      <c r="BK29">
        <v>21.46614666666667</v>
      </c>
      <c r="BL29">
        <v>400.02733333333327</v>
      </c>
      <c r="BM29">
        <v>102.1089333333334</v>
      </c>
      <c r="BN29">
        <v>0.1000370633333333</v>
      </c>
      <c r="BO29">
        <v>25.514520000000001</v>
      </c>
      <c r="BP29">
        <v>25.13696333333333</v>
      </c>
      <c r="BQ29">
        <v>999.9000000000002</v>
      </c>
      <c r="BR29">
        <v>0</v>
      </c>
      <c r="BS29">
        <v>0</v>
      </c>
      <c r="BT29">
        <v>9991.8333333333339</v>
      </c>
      <c r="BU29">
        <v>462.87089999999989</v>
      </c>
      <c r="BV29">
        <v>11.345800000000001</v>
      </c>
      <c r="BW29">
        <v>-25.727026666666671</v>
      </c>
      <c r="BX29">
        <v>433.67876666666672</v>
      </c>
      <c r="BY29">
        <v>458.93636666666657</v>
      </c>
      <c r="BZ29">
        <v>2.2181903333333328</v>
      </c>
      <c r="CA29">
        <v>449.98639999999989</v>
      </c>
      <c r="CB29">
        <v>19.501543333333331</v>
      </c>
      <c r="CC29">
        <v>2.2177776666666671</v>
      </c>
      <c r="CD29">
        <v>1.991281333333333</v>
      </c>
      <c r="CE29">
        <v>19.09131</v>
      </c>
      <c r="CF29">
        <v>17.375176666666668</v>
      </c>
      <c r="CG29">
        <v>1749544513.0999999</v>
      </c>
      <c r="CH29" t="s">
        <v>337</v>
      </c>
      <c r="CI29">
        <v>1749544513.0999999</v>
      </c>
      <c r="CJ29">
        <v>1749544511.5999999</v>
      </c>
      <c r="CK29">
        <v>2</v>
      </c>
      <c r="CL29">
        <v>-1E-3</v>
      </c>
      <c r="CM29">
        <v>-1E-3</v>
      </c>
      <c r="CN29">
        <v>3.7469999999999999</v>
      </c>
      <c r="CO29">
        <v>0.254</v>
      </c>
      <c r="CP29">
        <v>450</v>
      </c>
      <c r="CQ29">
        <v>19</v>
      </c>
      <c r="CR29">
        <v>0.37</v>
      </c>
      <c r="CS29">
        <v>0.18</v>
      </c>
      <c r="CT29">
        <v>-25.693055000000001</v>
      </c>
      <c r="CU29">
        <v>-0.55753846153844322</v>
      </c>
      <c r="CV29">
        <v>5.5547146416355227E-2</v>
      </c>
      <c r="CW29">
        <v>0</v>
      </c>
      <c r="CX29">
        <v>0</v>
      </c>
      <c r="CY29">
        <v>0</v>
      </c>
      <c r="CZ29">
        <v>0</v>
      </c>
      <c r="DA29">
        <v>-1</v>
      </c>
      <c r="DB29">
        <v>2.2175772500000002</v>
      </c>
      <c r="DC29">
        <v>5.7344465290796983E-3</v>
      </c>
      <c r="DD29">
        <v>2.0640166999082101E-3</v>
      </c>
      <c r="DE29">
        <v>1</v>
      </c>
      <c r="DF29">
        <v>1</v>
      </c>
      <c r="DG29">
        <v>2</v>
      </c>
      <c r="DH29" t="s">
        <v>348</v>
      </c>
      <c r="DI29">
        <v>3.0247099999999998</v>
      </c>
      <c r="DJ29">
        <v>2.6913499999999999</v>
      </c>
      <c r="DK29">
        <v>9.8213400000000006E-2</v>
      </c>
      <c r="DL29">
        <v>0.10384599999999999</v>
      </c>
      <c r="DM29">
        <v>0.112805</v>
      </c>
      <c r="DN29">
        <v>0.10581500000000001</v>
      </c>
      <c r="DO29">
        <v>25225.3</v>
      </c>
      <c r="DP29">
        <v>17000.7</v>
      </c>
      <c r="DQ29">
        <v>26530.400000000001</v>
      </c>
      <c r="DR29">
        <v>17237</v>
      </c>
      <c r="DS29">
        <v>33468.699999999997</v>
      </c>
      <c r="DT29">
        <v>20107.099999999999</v>
      </c>
      <c r="DU29">
        <v>38648</v>
      </c>
      <c r="DV29">
        <v>22820.6</v>
      </c>
      <c r="DW29">
        <v>1.8242</v>
      </c>
      <c r="DX29">
        <v>2.2446799999999998</v>
      </c>
      <c r="DY29">
        <v>8.6784399999999998E-2</v>
      </c>
      <c r="DZ29">
        <v>0</v>
      </c>
      <c r="EA29">
        <v>23.718800000000002</v>
      </c>
      <c r="EB29">
        <v>999.9</v>
      </c>
      <c r="EC29">
        <v>54.4</v>
      </c>
      <c r="ED29">
        <v>30.4</v>
      </c>
      <c r="EE29">
        <v>23.2212</v>
      </c>
      <c r="EF29">
        <v>62.690600000000003</v>
      </c>
      <c r="EG29">
        <v>35.845399999999998</v>
      </c>
      <c r="EH29">
        <v>1</v>
      </c>
      <c r="EI29">
        <v>-0.12965399999999999</v>
      </c>
      <c r="EJ29">
        <v>-0.84814199999999995</v>
      </c>
      <c r="EK29">
        <v>20.3429</v>
      </c>
      <c r="EL29">
        <v>5.2523900000000001</v>
      </c>
      <c r="EM29">
        <v>11.962</v>
      </c>
      <c r="EN29">
        <v>4.9896799999999999</v>
      </c>
      <c r="EO29">
        <v>3.2919399999999999</v>
      </c>
      <c r="EP29">
        <v>9999</v>
      </c>
      <c r="EQ29">
        <v>9999</v>
      </c>
      <c r="ER29">
        <v>9999</v>
      </c>
      <c r="ES29">
        <v>999.9</v>
      </c>
      <c r="ET29">
        <v>4.9726600000000003</v>
      </c>
      <c r="EU29">
        <v>1.87185</v>
      </c>
      <c r="EV29">
        <v>1.8721000000000001</v>
      </c>
      <c r="EW29">
        <v>1.8771500000000001</v>
      </c>
      <c r="EX29">
        <v>1.87134</v>
      </c>
      <c r="EY29">
        <v>1.8721000000000001</v>
      </c>
      <c r="EZ29">
        <v>1.87178</v>
      </c>
      <c r="FA29">
        <v>1.86859</v>
      </c>
      <c r="FB29">
        <v>0</v>
      </c>
      <c r="FC29">
        <v>0</v>
      </c>
      <c r="FD29">
        <v>0</v>
      </c>
      <c r="FE29">
        <v>0</v>
      </c>
      <c r="FF29" t="s">
        <v>339</v>
      </c>
      <c r="FG29" t="s">
        <v>340</v>
      </c>
      <c r="FH29" t="s">
        <v>341</v>
      </c>
      <c r="FI29" t="s">
        <v>341</v>
      </c>
      <c r="FJ29" t="s">
        <v>341</v>
      </c>
      <c r="FK29" t="s">
        <v>341</v>
      </c>
      <c r="FL29">
        <v>0</v>
      </c>
      <c r="FM29">
        <v>100</v>
      </c>
      <c r="FN29">
        <v>100</v>
      </c>
      <c r="FO29">
        <v>3.5190000000000001</v>
      </c>
      <c r="FP29">
        <v>0.25359999999999999</v>
      </c>
      <c r="FQ29">
        <v>2.4079072826054929E-2</v>
      </c>
      <c r="FR29">
        <v>7.6898218637449396E-3</v>
      </c>
      <c r="FS29">
        <v>1.5097418776848419E-6</v>
      </c>
      <c r="FT29">
        <v>-9.8458676114205118E-11</v>
      </c>
      <c r="FU29">
        <v>0.25358499999999401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355.6</v>
      </c>
      <c r="GD29">
        <v>355.6</v>
      </c>
      <c r="GE29">
        <v>1.10107</v>
      </c>
      <c r="GF29">
        <v>2.6196299999999999</v>
      </c>
      <c r="GG29">
        <v>1.7981</v>
      </c>
      <c r="GH29">
        <v>2.3730500000000001</v>
      </c>
      <c r="GI29">
        <v>1.5979000000000001</v>
      </c>
      <c r="GJ29">
        <v>2.5573700000000001</v>
      </c>
      <c r="GK29">
        <v>33.266300000000001</v>
      </c>
      <c r="GL29">
        <v>24.1751</v>
      </c>
      <c r="GM29">
        <v>18</v>
      </c>
      <c r="GN29">
        <v>363.33300000000003</v>
      </c>
      <c r="GO29">
        <v>691.08100000000002</v>
      </c>
      <c r="GP29">
        <v>25.830300000000001</v>
      </c>
      <c r="GQ29">
        <v>25.448899999999998</v>
      </c>
      <c r="GR29">
        <v>30.0002</v>
      </c>
      <c r="GS29">
        <v>25.3642</v>
      </c>
      <c r="GT29">
        <v>25.375499999999999</v>
      </c>
      <c r="GU29">
        <v>21.991</v>
      </c>
      <c r="GV29">
        <v>22.959900000000001</v>
      </c>
      <c r="GW29">
        <v>22.691700000000001</v>
      </c>
      <c r="GX29">
        <v>25.83</v>
      </c>
      <c r="GY29">
        <v>450</v>
      </c>
      <c r="GZ29">
        <v>19.5</v>
      </c>
      <c r="HA29">
        <v>100.812</v>
      </c>
      <c r="HB29">
        <v>71.260099999999994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2025-06-10T14:38:17Z</dcterms:created>
  <dcterms:modified xsi:type="dcterms:W3CDTF">2025-12-01T11:38:22Z</dcterms:modified>
</cp:coreProperties>
</file>