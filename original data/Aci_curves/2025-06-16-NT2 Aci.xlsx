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7E83D980BD3E75D6E11DDE172CD4FF00" xr6:coauthVersionLast="47" xr6:coauthVersionMax="47" xr10:uidLastSave="{83DF4A63-4B8D-4638-BC26-2BFBCB851DD0}"/>
  <bookViews>
    <workbookView xWindow="2580" yWindow="2580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S29" i="1"/>
  <c r="K29" i="1" s="1"/>
  <c r="AL29" i="1"/>
  <c r="AG29" i="1"/>
  <c r="Y29" i="1"/>
  <c r="X29" i="1"/>
  <c r="W29" i="1" s="1"/>
  <c r="S29" i="1"/>
  <c r="P29" i="1"/>
  <c r="AY28" i="1"/>
  <c r="AX28" i="1"/>
  <c r="AW28" i="1"/>
  <c r="AV28" i="1"/>
  <c r="AU28" i="1"/>
  <c r="AS28" i="1" s="1"/>
  <c r="AT28" i="1"/>
  <c r="AL28" i="1"/>
  <c r="AG28" i="1"/>
  <c r="Y28" i="1"/>
  <c r="X28" i="1"/>
  <c r="W28" i="1"/>
  <c r="S28" i="1"/>
  <c r="P28" i="1"/>
  <c r="AY27" i="1"/>
  <c r="AX27" i="1"/>
  <c r="AW27" i="1"/>
  <c r="AV27" i="1"/>
  <c r="S27" i="1" s="1"/>
  <c r="AU27" i="1"/>
  <c r="AS27" i="1" s="1"/>
  <c r="AL27" i="1"/>
  <c r="AG27" i="1"/>
  <c r="Y27" i="1"/>
  <c r="X27" i="1"/>
  <c r="W27" i="1"/>
  <c r="P27" i="1"/>
  <c r="AY26" i="1"/>
  <c r="AX26" i="1"/>
  <c r="AV26" i="1"/>
  <c r="AW26" i="1" s="1"/>
  <c r="AU26" i="1"/>
  <c r="AT26" i="1"/>
  <c r="AS26" i="1"/>
  <c r="AE26" i="1" s="1"/>
  <c r="J26" i="1" s="1"/>
  <c r="AL26" i="1"/>
  <c r="AG26" i="1"/>
  <c r="AF26" i="1"/>
  <c r="I26" i="1" s="1"/>
  <c r="H26" i="1" s="1"/>
  <c r="Y26" i="1"/>
  <c r="X26" i="1"/>
  <c r="W26" i="1" s="1"/>
  <c r="P26" i="1"/>
  <c r="N26" i="1"/>
  <c r="K26" i="1"/>
  <c r="AY25" i="1"/>
  <c r="AX25" i="1"/>
  <c r="AV25" i="1"/>
  <c r="AW25" i="1" s="1"/>
  <c r="AU25" i="1"/>
  <c r="AS25" i="1"/>
  <c r="AL25" i="1"/>
  <c r="AG25" i="1"/>
  <c r="Y25" i="1"/>
  <c r="X25" i="1"/>
  <c r="W25" i="1" s="1"/>
  <c r="S25" i="1"/>
  <c r="P25" i="1"/>
  <c r="K25" i="1"/>
  <c r="AY24" i="1"/>
  <c r="AX24" i="1"/>
  <c r="AV24" i="1"/>
  <c r="S24" i="1" s="1"/>
  <c r="AU24" i="1"/>
  <c r="AS24" i="1" s="1"/>
  <c r="AL24" i="1"/>
  <c r="AG24" i="1"/>
  <c r="Y24" i="1"/>
  <c r="X24" i="1"/>
  <c r="W24" i="1"/>
  <c r="P24" i="1"/>
  <c r="AY23" i="1"/>
  <c r="AX23" i="1"/>
  <c r="AV23" i="1"/>
  <c r="S23" i="1" s="1"/>
  <c r="AU23" i="1"/>
  <c r="AS23" i="1" s="1"/>
  <c r="N23" i="1" s="1"/>
  <c r="AT23" i="1"/>
  <c r="AL23" i="1"/>
  <c r="AG23" i="1"/>
  <c r="Y23" i="1"/>
  <c r="X23" i="1"/>
  <c r="W23" i="1"/>
  <c r="P23" i="1"/>
  <c r="AY22" i="1"/>
  <c r="AX22" i="1"/>
  <c r="AV22" i="1"/>
  <c r="AU22" i="1"/>
  <c r="AS22" i="1"/>
  <c r="AE22" i="1" s="1"/>
  <c r="J22" i="1" s="1"/>
  <c r="AL22" i="1"/>
  <c r="AG22" i="1"/>
  <c r="AF22" i="1"/>
  <c r="Y22" i="1"/>
  <c r="X22" i="1"/>
  <c r="P22" i="1"/>
  <c r="N22" i="1"/>
  <c r="K22" i="1"/>
  <c r="I22" i="1"/>
  <c r="H22" i="1"/>
  <c r="AA22" i="1" s="1"/>
  <c r="AY21" i="1"/>
  <c r="AX21" i="1"/>
  <c r="AV21" i="1"/>
  <c r="AU21" i="1"/>
  <c r="AS21" i="1"/>
  <c r="AL21" i="1"/>
  <c r="AG21" i="1"/>
  <c r="AF21" i="1"/>
  <c r="I21" i="1" s="1"/>
  <c r="H21" i="1" s="1"/>
  <c r="Y21" i="1"/>
  <c r="X21" i="1"/>
  <c r="W21" i="1" s="1"/>
  <c r="S21" i="1"/>
  <c r="T21" i="1" s="1"/>
  <c r="U21" i="1" s="1"/>
  <c r="P21" i="1"/>
  <c r="AY20" i="1"/>
  <c r="AX20" i="1"/>
  <c r="AV20" i="1"/>
  <c r="AU20" i="1"/>
  <c r="AS20" i="1" s="1"/>
  <c r="AT20" i="1"/>
  <c r="AL20" i="1"/>
  <c r="AG20" i="1"/>
  <c r="Y20" i="1"/>
  <c r="X20" i="1"/>
  <c r="W20" i="1"/>
  <c r="P20" i="1"/>
  <c r="N20" i="1"/>
  <c r="AY19" i="1"/>
  <c r="AX19" i="1"/>
  <c r="AV19" i="1"/>
  <c r="S19" i="1" s="1"/>
  <c r="AU19" i="1"/>
  <c r="AS19" i="1" s="1"/>
  <c r="K19" i="1" s="1"/>
  <c r="AT19" i="1"/>
  <c r="AL19" i="1"/>
  <c r="AG19" i="1"/>
  <c r="Y19" i="1"/>
  <c r="X19" i="1"/>
  <c r="W19" i="1" s="1"/>
  <c r="P19" i="1"/>
  <c r="AY18" i="1"/>
  <c r="AX18" i="1"/>
  <c r="AV18" i="1"/>
  <c r="AU18" i="1"/>
  <c r="AS18" i="1"/>
  <c r="AE18" i="1" s="1"/>
  <c r="J18" i="1" s="1"/>
  <c r="AL18" i="1"/>
  <c r="AG18" i="1"/>
  <c r="AF18" i="1"/>
  <c r="I18" i="1" s="1"/>
  <c r="H18" i="1" s="1"/>
  <c r="Y18" i="1"/>
  <c r="X18" i="1"/>
  <c r="W18" i="1" s="1"/>
  <c r="P18" i="1"/>
  <c r="N18" i="1"/>
  <c r="AY17" i="1"/>
  <c r="AX17" i="1"/>
  <c r="AV17" i="1"/>
  <c r="AW17" i="1" s="1"/>
  <c r="AU17" i="1"/>
  <c r="AS17" i="1"/>
  <c r="AL17" i="1"/>
  <c r="AG17" i="1"/>
  <c r="AF17" i="1"/>
  <c r="I17" i="1" s="1"/>
  <c r="H17" i="1" s="1"/>
  <c r="Y17" i="1"/>
  <c r="X17" i="1"/>
  <c r="W17" i="1" s="1"/>
  <c r="S17" i="1"/>
  <c r="P17" i="1"/>
  <c r="K17" i="1"/>
  <c r="AA17" i="1" l="1"/>
  <c r="AA26" i="1"/>
  <c r="T19" i="1"/>
  <c r="U19" i="1" s="1"/>
  <c r="AA18" i="1"/>
  <c r="V21" i="1"/>
  <c r="Z21" i="1" s="1"/>
  <c r="AC21" i="1"/>
  <c r="AB21" i="1"/>
  <c r="T17" i="1"/>
  <c r="U17" i="1" s="1"/>
  <c r="Q21" i="1"/>
  <c r="O21" i="1" s="1"/>
  <c r="R21" i="1" s="1"/>
  <c r="L21" i="1" s="1"/>
  <c r="M21" i="1" s="1"/>
  <c r="AA21" i="1"/>
  <c r="AD21" i="1" s="1"/>
  <c r="K24" i="1"/>
  <c r="AF24" i="1"/>
  <c r="I24" i="1" s="1"/>
  <c r="H24" i="1" s="1"/>
  <c r="AE24" i="1"/>
  <c r="J24" i="1" s="1"/>
  <c r="N24" i="1"/>
  <c r="AT27" i="1"/>
  <c r="K27" i="1"/>
  <c r="AF27" i="1"/>
  <c r="I27" i="1" s="1"/>
  <c r="H27" i="1" s="1"/>
  <c r="K20" i="1"/>
  <c r="AF20" i="1"/>
  <c r="I20" i="1" s="1"/>
  <c r="H20" i="1" s="1"/>
  <c r="AE20" i="1"/>
  <c r="J20" i="1" s="1"/>
  <c r="W22" i="1"/>
  <c r="AW22" i="1"/>
  <c r="S22" i="1"/>
  <c r="T27" i="1"/>
  <c r="U27" i="1" s="1"/>
  <c r="S20" i="1"/>
  <c r="AW20" i="1"/>
  <c r="AE19" i="1"/>
  <c r="J19" i="1" s="1"/>
  <c r="N19" i="1"/>
  <c r="K28" i="1"/>
  <c r="AF28" i="1"/>
  <c r="I28" i="1" s="1"/>
  <c r="H28" i="1" s="1"/>
  <c r="AE28" i="1"/>
  <c r="J28" i="1" s="1"/>
  <c r="N28" i="1"/>
  <c r="AW18" i="1"/>
  <c r="S18" i="1"/>
  <c r="AF19" i="1"/>
  <c r="I19" i="1" s="1"/>
  <c r="H19" i="1" s="1"/>
  <c r="AE21" i="1"/>
  <c r="J21" i="1" s="1"/>
  <c r="N21" i="1"/>
  <c r="AT21" i="1"/>
  <c r="AW23" i="1"/>
  <c r="T24" i="1"/>
  <c r="U24" i="1" s="1"/>
  <c r="N27" i="1"/>
  <c r="AE27" i="1"/>
  <c r="J27" i="1" s="1"/>
  <c r="AW19" i="1"/>
  <c r="AF29" i="1"/>
  <c r="I29" i="1" s="1"/>
  <c r="H29" i="1" s="1"/>
  <c r="AE29" i="1"/>
  <c r="J29" i="1" s="1"/>
  <c r="N29" i="1"/>
  <c r="AT29" i="1"/>
  <c r="K23" i="1"/>
  <c r="AF23" i="1"/>
  <c r="I23" i="1" s="1"/>
  <c r="H23" i="1" s="1"/>
  <c r="AE17" i="1"/>
  <c r="J17" i="1" s="1"/>
  <c r="N17" i="1"/>
  <c r="AT17" i="1"/>
  <c r="K21" i="1"/>
  <c r="AW21" i="1"/>
  <c r="AE23" i="1"/>
  <c r="J23" i="1" s="1"/>
  <c r="AT24" i="1"/>
  <c r="AF25" i="1"/>
  <c r="I25" i="1" s="1"/>
  <c r="H25" i="1" s="1"/>
  <c r="AE25" i="1"/>
  <c r="J25" i="1" s="1"/>
  <c r="N25" i="1"/>
  <c r="AT25" i="1"/>
  <c r="AW24" i="1"/>
  <c r="S26" i="1"/>
  <c r="K18" i="1"/>
  <c r="AT18" i="1"/>
  <c r="AT22" i="1"/>
  <c r="V24" i="1" l="1"/>
  <c r="Z24" i="1" s="1"/>
  <c r="AB24" i="1"/>
  <c r="AC24" i="1"/>
  <c r="AA25" i="1"/>
  <c r="AA20" i="1"/>
  <c r="Q20" i="1"/>
  <c r="O20" i="1" s="1"/>
  <c r="R20" i="1" s="1"/>
  <c r="L20" i="1" s="1"/>
  <c r="M20" i="1" s="1"/>
  <c r="Q29" i="1"/>
  <c r="O29" i="1" s="1"/>
  <c r="R29" i="1" s="1"/>
  <c r="L29" i="1" s="1"/>
  <c r="M29" i="1" s="1"/>
  <c r="AA29" i="1"/>
  <c r="T20" i="1"/>
  <c r="U20" i="1" s="1"/>
  <c r="AA28" i="1"/>
  <c r="T28" i="1"/>
  <c r="U28" i="1" s="1"/>
  <c r="T25" i="1"/>
  <c r="U25" i="1" s="1"/>
  <c r="Q25" i="1" s="1"/>
  <c r="O25" i="1" s="1"/>
  <c r="R25" i="1" s="1"/>
  <c r="L25" i="1" s="1"/>
  <c r="M25" i="1" s="1"/>
  <c r="AC27" i="1"/>
  <c r="AD27" i="1" s="1"/>
  <c r="AB27" i="1"/>
  <c r="V27" i="1"/>
  <c r="Z27" i="1" s="1"/>
  <c r="V17" i="1"/>
  <c r="Z17" i="1" s="1"/>
  <c r="AC17" i="1"/>
  <c r="AD17" i="1" s="1"/>
  <c r="T26" i="1"/>
  <c r="U26" i="1" s="1"/>
  <c r="AA19" i="1"/>
  <c r="Q19" i="1"/>
  <c r="O19" i="1" s="1"/>
  <c r="R19" i="1" s="1"/>
  <c r="L19" i="1" s="1"/>
  <c r="M19" i="1" s="1"/>
  <c r="AB17" i="1"/>
  <c r="AC19" i="1"/>
  <c r="V19" i="1"/>
  <c r="Z19" i="1" s="1"/>
  <c r="AB19" i="1"/>
  <c r="AA23" i="1"/>
  <c r="T23" i="1"/>
  <c r="U23" i="1" s="1"/>
  <c r="Q23" i="1" s="1"/>
  <c r="O23" i="1" s="1"/>
  <c r="R23" i="1" s="1"/>
  <c r="L23" i="1" s="1"/>
  <c r="M23" i="1" s="1"/>
  <c r="T18" i="1"/>
  <c r="U18" i="1" s="1"/>
  <c r="T29" i="1"/>
  <c r="U29" i="1" s="1"/>
  <c r="T22" i="1"/>
  <c r="U22" i="1" s="1"/>
  <c r="AA27" i="1"/>
  <c r="Q27" i="1"/>
  <c r="O27" i="1" s="1"/>
  <c r="R27" i="1" s="1"/>
  <c r="L27" i="1" s="1"/>
  <c r="M27" i="1" s="1"/>
  <c r="AA24" i="1"/>
  <c r="Q24" i="1"/>
  <c r="O24" i="1" s="1"/>
  <c r="R24" i="1" s="1"/>
  <c r="L24" i="1" s="1"/>
  <c r="M24" i="1" s="1"/>
  <c r="Q17" i="1"/>
  <c r="O17" i="1" s="1"/>
  <c r="R17" i="1" s="1"/>
  <c r="L17" i="1" s="1"/>
  <c r="M17" i="1" s="1"/>
  <c r="V26" i="1" l="1"/>
  <c r="Z26" i="1" s="1"/>
  <c r="AC26" i="1"/>
  <c r="Q26" i="1"/>
  <c r="O26" i="1" s="1"/>
  <c r="R26" i="1" s="1"/>
  <c r="L26" i="1" s="1"/>
  <c r="M26" i="1" s="1"/>
  <c r="AB26" i="1"/>
  <c r="V28" i="1"/>
  <c r="Z28" i="1" s="1"/>
  <c r="AC28" i="1"/>
  <c r="AD28" i="1" s="1"/>
  <c r="AB28" i="1"/>
  <c r="Q28" i="1"/>
  <c r="O28" i="1" s="1"/>
  <c r="R28" i="1" s="1"/>
  <c r="L28" i="1" s="1"/>
  <c r="M28" i="1" s="1"/>
  <c r="V20" i="1"/>
  <c r="Z20" i="1" s="1"/>
  <c r="AB20" i="1"/>
  <c r="AC20" i="1"/>
  <c r="AD20" i="1" s="1"/>
  <c r="AD24" i="1"/>
  <c r="AC18" i="1"/>
  <c r="V18" i="1"/>
  <c r="Z18" i="1" s="1"/>
  <c r="AB18" i="1"/>
  <c r="Q18" i="1"/>
  <c r="O18" i="1" s="1"/>
  <c r="R18" i="1" s="1"/>
  <c r="L18" i="1" s="1"/>
  <c r="M18" i="1" s="1"/>
  <c r="AC23" i="1"/>
  <c r="AB23" i="1"/>
  <c r="V23" i="1"/>
  <c r="Z23" i="1" s="1"/>
  <c r="V25" i="1"/>
  <c r="Z25" i="1" s="1"/>
  <c r="AC25" i="1"/>
  <c r="AB25" i="1"/>
  <c r="AC22" i="1"/>
  <c r="AD22" i="1" s="1"/>
  <c r="V22" i="1"/>
  <c r="Z22" i="1" s="1"/>
  <c r="Q22" i="1"/>
  <c r="O22" i="1" s="1"/>
  <c r="R22" i="1" s="1"/>
  <c r="L22" i="1" s="1"/>
  <c r="M22" i="1" s="1"/>
  <c r="AB22" i="1"/>
  <c r="V29" i="1"/>
  <c r="Z29" i="1" s="1"/>
  <c r="AC29" i="1"/>
  <c r="AB29" i="1"/>
  <c r="AD19" i="1"/>
  <c r="AD25" i="1" l="1"/>
  <c r="AD29" i="1"/>
  <c r="AD18" i="1"/>
  <c r="AD26" i="1"/>
  <c r="AD23" i="1"/>
</calcChain>
</file>

<file path=xl/sharedStrings.xml><?xml version="1.0" encoding="utf-8"?>
<sst xmlns="http://schemas.openxmlformats.org/spreadsheetml/2006/main" count="822" uniqueCount="371">
  <si>
    <t>File opened</t>
  </si>
  <si>
    <t>2025-06-16 15:20:32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</si>
  <si>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</si>
  <si>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</si>
  <si>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</si>
  <si>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</si>
  <si>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</si>
  <si>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</si>
  <si>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</si>
  <si>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</si>
  <si>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</si>
  <si>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</si>
  <si>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</si>
  <si>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</si>
  <si>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</si>
  <si>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</si>
  <si>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</si>
  <si>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</si>
  <si>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</si>
  <si>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</si>
  <si>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</si>
  <si>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</si>
  <si>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</si>
  <si>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</si>
  <si>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</si>
  <si>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</si>
  <si>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</si>
  <si>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</si>
  <si>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15:20:32</t>
  </si>
  <si>
    <t>Stability Definition:	F (FlrLS): Per=20	ΔH2O (Meas2): Slp&lt;0.1 Per=20	ΔCO2 (Meas2): Slp&lt;0.5 Per=20</t>
  </si>
  <si>
    <t>16:03:25</t>
  </si>
  <si>
    <t>Config file loaded: 18 topics from file /home/licor/configs/Tinko/configs aci curve</t>
  </si>
  <si>
    <t>16:03:28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</si>
  <si>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</si>
  <si>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</si>
  <si>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</si>
  <si>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</si>
  <si>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</si>
  <si>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</si>
  <si>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</si>
  <si>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</si>
  <si>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</si>
  <si>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</si>
  <si>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</si>
  <si>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</si>
  <si>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</si>
  <si>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</si>
  <si>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</si>
  <si>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</si>
  <si>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</si>
  <si>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</si>
  <si>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</si>
  <si>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</si>
  <si>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</si>
  <si>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</si>
  <si>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</si>
  <si>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</si>
  <si>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</si>
  <si>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</si>
  <si>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</si>
  <si>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</si>
  <si>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</si>
  <si>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</si>
  <si>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</si>
  <si>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</si>
  <si>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</si>
  <si>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</si>
  <si>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</si>
  <si>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</si>
  <si>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</si>
  <si>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</si>
  <si>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</si>
  <si>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</si>
  <si>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</si>
  <si>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</si>
  <si>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</si>
  <si>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</si>
  <si>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</si>
  <si>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</si>
  <si>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</si>
  <si>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</si>
  <si>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</si>
  <si>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</si>
  <si>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2.66235 161.504 338.922 587.29 851.003 1058.84 1303.06 1495.31</t>
  </si>
  <si>
    <t>Fs_true</t>
  </si>
  <si>
    <t>-0.858296 203.85 383.506 594.574 807.337 1001.36 1200.94 1400.96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</si>
  <si>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</si>
  <si>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</si>
  <si>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</si>
  <si>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</si>
  <si>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</si>
  <si>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</si>
  <si>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</si>
  <si>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</si>
  <si>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</si>
  <si>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</si>
  <si>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</si>
  <si>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</si>
  <si>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</si>
  <si>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</si>
  <si>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</si>
  <si>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</si>
  <si>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</si>
  <si>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</si>
  <si>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</si>
  <si>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</si>
  <si>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</si>
  <si>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</si>
  <si>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</si>
  <si>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</si>
  <si>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</si>
  <si>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</si>
  <si>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</si>
  <si>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</si>
  <si>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</si>
  <si>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</si>
  <si>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</si>
  <si>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</si>
  <si>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</si>
  <si>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</si>
  <si>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</si>
  <si>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</si>
  <si>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</si>
  <si>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</si>
  <si>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</si>
  <si>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</si>
  <si>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</si>
  <si>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</si>
  <si>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</si>
  <si>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</si>
  <si>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</si>
  <si>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</si>
  <si>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</si>
  <si>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</si>
  <si>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</si>
  <si>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</si>
  <si>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</si>
  <si>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</si>
  <si>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</si>
  <si>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</si>
  <si>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</si>
  <si>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</si>
  <si>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</si>
  <si>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</si>
  <si>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</si>
  <si>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</si>
  <si>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</si>
  <si>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</si>
  <si>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</si>
  <si>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</si>
  <si>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</si>
  <si>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</si>
  <si>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</si>
  <si>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</si>
  <si>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</si>
  <si>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</si>
  <si>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</si>
  <si>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</si>
  <si>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</si>
  <si>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</si>
  <si>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</si>
  <si>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</si>
  <si>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</si>
  <si>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</si>
  <si>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</si>
  <si>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</si>
  <si>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</si>
  <si>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</si>
  <si>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</si>
  <si>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</si>
  <si>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</si>
  <si>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</si>
  <si>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</si>
  <si>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</si>
  <si>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</si>
  <si>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</si>
  <si>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</si>
  <si>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</si>
  <si>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</si>
  <si>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</si>
  <si>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</si>
  <si>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</si>
  <si>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</si>
  <si>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</si>
  <si>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</si>
  <si>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</si>
  <si>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</si>
  <si>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</si>
  <si>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</si>
  <si>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</si>
  <si>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</si>
  <si>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</si>
  <si>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</si>
  <si>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</si>
  <si>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</si>
  <si>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</si>
  <si>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</si>
  <si>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</si>
  <si>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</si>
  <si>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</si>
  <si>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</si>
  <si>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</si>
  <si>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</si>
  <si>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</si>
  <si>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</si>
  <si>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</si>
  <si>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</si>
  <si>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</si>
  <si>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</si>
  <si>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</si>
  <si>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</si>
  <si>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</si>
  <si>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</si>
  <si>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</si>
  <si>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</si>
  <si>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</si>
  <si>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</si>
  <si>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</si>
  <si>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</si>
  <si>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</si>
  <si>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</si>
  <si>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</si>
  <si>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</si>
  <si>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</si>
  <si>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</si>
  <si>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</si>
  <si>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</si>
  <si>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</si>
  <si>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</si>
  <si>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</si>
  <si>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</si>
  <si>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</si>
  <si>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</si>
  <si>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</si>
  <si>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</si>
  <si>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</si>
  <si>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</si>
  <si>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</si>
  <si>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</si>
  <si>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</si>
  <si>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</si>
  <si>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</si>
  <si>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</si>
  <si>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</si>
  <si>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</si>
  <si>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</si>
  <si>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</si>
  <si>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</si>
  <si>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</si>
  <si>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</si>
  <si>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</si>
  <si>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</si>
  <si>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</si>
  <si>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</si>
  <si>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</si>
  <si>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</si>
  <si>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</si>
  <si>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</si>
  <si>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</si>
  <si>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</si>
  <si>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</si>
  <si>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</si>
  <si>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</si>
  <si>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</si>
  <si>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</si>
  <si>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</si>
  <si>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</si>
  <si>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</si>
  <si>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</si>
  <si>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</si>
  <si>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</si>
  <si>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</si>
  <si>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</si>
  <si>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</si>
  <si>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</si>
  <si>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</si>
  <si>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</si>
  <si>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</si>
  <si>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</si>
  <si>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</si>
  <si>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</si>
  <si>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</si>
  <si>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</si>
  <si>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</si>
  <si>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</si>
  <si>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</si>
  <si>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</si>
  <si>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</si>
  <si>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</si>
  <si>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</si>
  <si>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</si>
  <si>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</si>
  <si>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</si>
  <si>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</si>
  <si>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</si>
  <si>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</si>
  <si>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</si>
  <si>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</si>
  <si>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</si>
  <si>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</si>
  <si>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</si>
  <si>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</si>
  <si>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</si>
  <si>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</si>
  <si>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</si>
  <si>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</si>
  <si>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</si>
  <si>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</si>
  <si>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</si>
  <si>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</si>
  <si>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</si>
  <si>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</si>
  <si>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</si>
  <si>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</si>
  <si>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</si>
  <si>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</si>
  <si>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</si>
  <si>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</si>
  <si>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</si>
  <si>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</si>
  <si>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</si>
  <si>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</si>
  <si>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</si>
  <si>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</si>
  <si>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</si>
  <si>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</si>
  <si>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</si>
  <si>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</si>
  <si>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</si>
  <si>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</si>
  <si>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</si>
  <si>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</si>
  <si>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</si>
  <si>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</si>
  <si>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</si>
  <si>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</si>
  <si>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</si>
  <si>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20250616 16:07:55</t>
  </si>
  <si>
    <t>16:07:55</t>
  </si>
  <si>
    <t>0: Broadleaf</t>
  </si>
  <si>
    <t>16:02:38</t>
  </si>
  <si>
    <t>2/2</t>
  </si>
  <si>
    <t>11111111</t>
  </si>
  <si>
    <t>oooooooo</t>
  </si>
  <si>
    <t>on</t>
  </si>
  <si>
    <t>20250616 16:10:56</t>
  </si>
  <si>
    <t>16:10:56</t>
  </si>
  <si>
    <t>20250616 16:13:56</t>
  </si>
  <si>
    <t>16:13:56</t>
  </si>
  <si>
    <t>20250616 16:16:57</t>
  </si>
  <si>
    <t>16:16:57</t>
  </si>
  <si>
    <t>20250616 16:19:57</t>
  </si>
  <si>
    <t>16:19:57</t>
  </si>
  <si>
    <t>20250616 16:22:58</t>
  </si>
  <si>
    <t>16:22:58</t>
  </si>
  <si>
    <t>20250616 16:25:58</t>
  </si>
  <si>
    <t>16:25:58</t>
  </si>
  <si>
    <t>20250616 16:28:59</t>
  </si>
  <si>
    <t>16:28:59</t>
  </si>
  <si>
    <t>20250616 16:31:59</t>
  </si>
  <si>
    <t>16:31:59</t>
  </si>
  <si>
    <t>20250616 16:35:00</t>
  </si>
  <si>
    <t>16:35:00</t>
  </si>
  <si>
    <t>1/2</t>
  </si>
  <si>
    <t>20250616 16:38:00</t>
  </si>
  <si>
    <t>16:38:00</t>
  </si>
  <si>
    <t>20250616 16:41:01</t>
  </si>
  <si>
    <t>16:41:01</t>
  </si>
  <si>
    <t>0/2</t>
  </si>
  <si>
    <t>20250616 16:44:01</t>
  </si>
  <si>
    <t>16:44:01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</si>
</sst>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W10" workbookViewId="0">
      <selection activeCell="BC15" sqref="BC15"/>
    </sheetView>
  </sheetViews>
  <sheetFormatPr defaultRowHeight="14.4" x14ac:dyDescent="0.3"/>
  <sheetData>
    <row r="2" spans="1:210" x14ac:dyDescent="0.3">
      <c r="A2" t="s">
        <v>33</v>
      </c>
      <c r="B2" t="s">
        <v>34</v>
      </c>
      <c r="C2" t="s">
        <v>35</v>
      </c>
    </row>
    <row r="3" spans="1:210" x14ac:dyDescent="0.3">
      <c r="B3">
        <v>5</v>
      </c>
      <c r="C3">
        <v>21</v>
      </c>
    </row>
    <row r="4" spans="1:210" x14ac:dyDescent="0.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0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1.5</v>
      </c>
    </row>
    <row r="14" spans="1:210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91</v>
      </c>
      <c r="AW14" t="s">
        <v>91</v>
      </c>
      <c r="AX14" t="s">
        <v>91</v>
      </c>
      <c r="AY14" t="s">
        <v>91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95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95</v>
      </c>
      <c r="CS14" t="s">
        <v>95</v>
      </c>
      <c r="CT14" t="s">
        <v>96</v>
      </c>
      <c r="CU14" t="s">
        <v>96</v>
      </c>
      <c r="CV14" t="s">
        <v>96</v>
      </c>
      <c r="CW14" t="s">
        <v>96</v>
      </c>
      <c r="CX14" t="s">
        <v>96</v>
      </c>
      <c r="CY14" t="s">
        <v>96</v>
      </c>
      <c r="CZ14" t="s">
        <v>96</v>
      </c>
      <c r="DA14" t="s">
        <v>96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96</v>
      </c>
      <c r="DI14" t="s">
        <v>97</v>
      </c>
      <c r="DJ14" t="s">
        <v>97</v>
      </c>
      <c r="DK14" t="s">
        <v>97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98</v>
      </c>
      <c r="ER14" t="s">
        <v>98</v>
      </c>
      <c r="ES14" t="s">
        <v>98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100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102</v>
      </c>
      <c r="GN14" t="s">
        <v>102</v>
      </c>
      <c r="GO14" t="s">
        <v>102</v>
      </c>
      <c r="GP14" t="s">
        <v>102</v>
      </c>
      <c r="GQ14" t="s">
        <v>102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</row>
    <row r="15" spans="1:210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133</v>
      </c>
      <c r="AF15" t="s">
        <v>134</v>
      </c>
      <c r="AG15" t="s">
        <v>135</v>
      </c>
      <c r="AH15" t="s">
        <v>136</v>
      </c>
      <c r="AI15" t="s">
        <v>137</v>
      </c>
      <c r="AJ15" t="s">
        <v>138</v>
      </c>
      <c r="AK15" t="s">
        <v>139</v>
      </c>
      <c r="AL15" t="s">
        <v>140</v>
      </c>
      <c r="AM15" t="s">
        <v>141</v>
      </c>
      <c r="AN15" t="s">
        <v>142</v>
      </c>
      <c r="AO15" t="s">
        <v>143</v>
      </c>
      <c r="AP15" t="s">
        <v>144</v>
      </c>
      <c r="AQ15" t="s">
        <v>90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109</v>
      </c>
      <c r="BF15" t="s">
        <v>158</v>
      </c>
      <c r="BG15" t="s">
        <v>159</v>
      </c>
      <c r="BH15" t="s">
        <v>160</v>
      </c>
      <c r="BI15" t="s">
        <v>161</v>
      </c>
      <c r="BJ15" t="s">
        <v>162</v>
      </c>
      <c r="BK15" t="s">
        <v>163</v>
      </c>
      <c r="BL15" t="s">
        <v>164</v>
      </c>
      <c r="BM15" t="s">
        <v>165</v>
      </c>
      <c r="BN15" t="s">
        <v>166</v>
      </c>
      <c r="BO15" t="s">
        <v>167</v>
      </c>
      <c r="BP15" t="s">
        <v>168</v>
      </c>
      <c r="BQ15" t="s">
        <v>169</v>
      </c>
      <c r="BR15" t="s">
        <v>170</v>
      </c>
      <c r="BS15" t="s">
        <v>171</v>
      </c>
      <c r="BT15" t="s">
        <v>172</v>
      </c>
      <c r="BU15" t="s">
        <v>173</v>
      </c>
      <c r="BV15" t="s">
        <v>174</v>
      </c>
      <c r="BW15" t="s">
        <v>175</v>
      </c>
      <c r="BX15" t="s">
        <v>176</v>
      </c>
      <c r="BY15" t="s">
        <v>177</v>
      </c>
      <c r="BZ15" t="s">
        <v>178</v>
      </c>
      <c r="CA15" t="s">
        <v>179</v>
      </c>
      <c r="CB15" t="s">
        <v>180</v>
      </c>
      <c r="CC15" t="s">
        <v>181</v>
      </c>
      <c r="CD15" t="s">
        <v>182</v>
      </c>
      <c r="CE15" t="s">
        <v>183</v>
      </c>
      <c r="CF15" t="s">
        <v>184</v>
      </c>
      <c r="CG15" t="s">
        <v>104</v>
      </c>
      <c r="CH15" t="s">
        <v>107</v>
      </c>
      <c r="CI15" t="s">
        <v>185</v>
      </c>
      <c r="CJ15" t="s">
        <v>186</v>
      </c>
      <c r="CK15" t="s">
        <v>187</v>
      </c>
      <c r="CL15" t="s">
        <v>188</v>
      </c>
      <c r="CM15" t="s">
        <v>189</v>
      </c>
      <c r="CN15" t="s">
        <v>190</v>
      </c>
      <c r="CO15" t="s">
        <v>191</v>
      </c>
      <c r="CP15" t="s">
        <v>192</v>
      </c>
      <c r="CQ15" t="s">
        <v>193</v>
      </c>
      <c r="CR15" t="s">
        <v>194</v>
      </c>
      <c r="CS15" t="s">
        <v>195</v>
      </c>
      <c r="CT15" t="s">
        <v>196</v>
      </c>
      <c r="CU15" t="s">
        <v>197</v>
      </c>
      <c r="CV15" t="s">
        <v>198</v>
      </c>
      <c r="CW15" t="s">
        <v>199</v>
      </c>
      <c r="CX15" t="s">
        <v>200</v>
      </c>
      <c r="CY15" t="s">
        <v>201</v>
      </c>
      <c r="CZ15" t="s">
        <v>202</v>
      </c>
      <c r="DA15" t="s">
        <v>203</v>
      </c>
      <c r="DB15" t="s">
        <v>204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245</v>
      </c>
      <c r="ER15" t="s">
        <v>246</v>
      </c>
      <c r="ES15" t="s">
        <v>247</v>
      </c>
      <c r="ET15" t="s">
        <v>248</v>
      </c>
      <c r="EU15" t="s">
        <v>249</v>
      </c>
      <c r="EV15" t="s">
        <v>250</v>
      </c>
      <c r="EW15" t="s">
        <v>251</v>
      </c>
      <c r="EX15" t="s">
        <v>252</v>
      </c>
      <c r="EY15" t="s">
        <v>253</v>
      </c>
      <c r="EZ15" t="s">
        <v>254</v>
      </c>
      <c r="FA15" t="s">
        <v>255</v>
      </c>
      <c r="FB15" t="s">
        <v>256</v>
      </c>
      <c r="FC15" t="s">
        <v>257</v>
      </c>
      <c r="FD15" t="s">
        <v>258</v>
      </c>
      <c r="FE15" t="s">
        <v>259</v>
      </c>
      <c r="FF15" t="s">
        <v>260</v>
      </c>
      <c r="FG15" t="s">
        <v>261</v>
      </c>
      <c r="FH15" t="s">
        <v>262</v>
      </c>
      <c r="FI15" t="s">
        <v>263</v>
      </c>
      <c r="FJ15" t="s">
        <v>264</v>
      </c>
      <c r="FK15" t="s">
        <v>265</v>
      </c>
      <c r="FL15" t="s">
        <v>266</v>
      </c>
      <c r="FM15" t="s">
        <v>267</v>
      </c>
      <c r="FN15" t="s">
        <v>268</v>
      </c>
      <c r="FO15" t="s">
        <v>269</v>
      </c>
      <c r="FP15" t="s">
        <v>270</v>
      </c>
      <c r="FQ15" t="s">
        <v>271</v>
      </c>
      <c r="FR15" t="s">
        <v>272</v>
      </c>
      <c r="FS15" t="s">
        <v>273</v>
      </c>
      <c r="FT15" t="s">
        <v>274</v>
      </c>
      <c r="FU15" t="s">
        <v>275</v>
      </c>
      <c r="FV15" t="s">
        <v>276</v>
      </c>
      <c r="FW15" t="s">
        <v>277</v>
      </c>
      <c r="FX15" t="s">
        <v>278</v>
      </c>
      <c r="FY15" t="s">
        <v>279</v>
      </c>
      <c r="FZ15" t="s">
        <v>280</v>
      </c>
      <c r="GA15" t="s">
        <v>281</v>
      </c>
      <c r="GB15" t="s">
        <v>282</v>
      </c>
      <c r="GC15" t="s">
        <v>283</v>
      </c>
      <c r="GD15" t="s">
        <v>284</v>
      </c>
      <c r="GE15" t="s">
        <v>285</v>
      </c>
      <c r="GF15" t="s">
        <v>286</v>
      </c>
      <c r="GG15" t="s">
        <v>287</v>
      </c>
      <c r="GH15" t="s">
        <v>288</v>
      </c>
      <c r="GI15" t="s">
        <v>289</v>
      </c>
      <c r="GJ15" t="s">
        <v>290</v>
      </c>
      <c r="GK15" t="s">
        <v>291</v>
      </c>
      <c r="GL15" t="s">
        <v>292</v>
      </c>
      <c r="GM15" t="s">
        <v>293</v>
      </c>
      <c r="GN15" t="s">
        <v>294</v>
      </c>
      <c r="GO15" t="s">
        <v>295</v>
      </c>
      <c r="GP15" t="s">
        <v>296</v>
      </c>
      <c r="GQ15" t="s">
        <v>297</v>
      </c>
      <c r="GR15" t="s">
        <v>298</v>
      </c>
      <c r="GS15" t="s">
        <v>299</v>
      </c>
      <c r="GT15" t="s">
        <v>300</v>
      </c>
      <c r="GU15" t="s">
        <v>301</v>
      </c>
      <c r="GV15" t="s">
        <v>302</v>
      </c>
      <c r="GW15" t="s">
        <v>303</v>
      </c>
      <c r="GX15" t="s">
        <v>304</v>
      </c>
      <c r="GY15" t="s">
        <v>305</v>
      </c>
      <c r="GZ15" t="s">
        <v>306</v>
      </c>
      <c r="HA15" t="s">
        <v>307</v>
      </c>
      <c r="HB15" t="s">
        <v>308</v>
      </c>
    </row>
    <row r="16" spans="1:210" x14ac:dyDescent="0.3">
      <c r="B16" t="s">
        <v>309</v>
      </c>
      <c r="C16" t="s">
        <v>309</v>
      </c>
      <c r="F16" t="s">
        <v>309</v>
      </c>
      <c r="G16" t="s">
        <v>309</v>
      </c>
      <c r="H16" t="s">
        <v>310</v>
      </c>
      <c r="I16" t="s">
        <v>311</v>
      </c>
      <c r="J16" t="s">
        <v>312</v>
      </c>
      <c r="K16" t="s">
        <v>313</v>
      </c>
      <c r="L16" t="s">
        <v>313</v>
      </c>
      <c r="M16" t="s">
        <v>165</v>
      </c>
      <c r="N16" t="s">
        <v>165</v>
      </c>
      <c r="O16" t="s">
        <v>310</v>
      </c>
      <c r="P16" t="s">
        <v>310</v>
      </c>
      <c r="Q16" t="s">
        <v>310</v>
      </c>
      <c r="R16" t="s">
        <v>310</v>
      </c>
      <c r="S16" t="s">
        <v>314</v>
      </c>
      <c r="T16" t="s">
        <v>315</v>
      </c>
      <c r="U16" t="s">
        <v>315</v>
      </c>
      <c r="V16" t="s">
        <v>316</v>
      </c>
      <c r="W16" t="s">
        <v>317</v>
      </c>
      <c r="X16" t="s">
        <v>316</v>
      </c>
      <c r="Y16" t="s">
        <v>316</v>
      </c>
      <c r="Z16" t="s">
        <v>316</v>
      </c>
      <c r="AA16" t="s">
        <v>314</v>
      </c>
      <c r="AB16" t="s">
        <v>314</v>
      </c>
      <c r="AC16" t="s">
        <v>314</v>
      </c>
      <c r="AD16" t="s">
        <v>314</v>
      </c>
      <c r="AE16" t="s">
        <v>312</v>
      </c>
      <c r="AF16" t="s">
        <v>311</v>
      </c>
      <c r="AG16" t="s">
        <v>312</v>
      </c>
      <c r="AH16" t="s">
        <v>313</v>
      </c>
      <c r="AI16" t="s">
        <v>313</v>
      </c>
      <c r="AJ16" t="s">
        <v>318</v>
      </c>
      <c r="AK16" t="s">
        <v>319</v>
      </c>
      <c r="AL16" t="s">
        <v>311</v>
      </c>
      <c r="AM16" t="s">
        <v>320</v>
      </c>
      <c r="AN16" t="s">
        <v>320</v>
      </c>
      <c r="AO16" t="s">
        <v>321</v>
      </c>
      <c r="AP16" t="s">
        <v>319</v>
      </c>
      <c r="AQ16" t="s">
        <v>322</v>
      </c>
      <c r="AR16" t="s">
        <v>317</v>
      </c>
      <c r="AT16" t="s">
        <v>317</v>
      </c>
      <c r="AU16" t="s">
        <v>322</v>
      </c>
      <c r="AV16" t="s">
        <v>312</v>
      </c>
      <c r="AW16" t="s">
        <v>312</v>
      </c>
      <c r="AY16" t="s">
        <v>323</v>
      </c>
      <c r="AZ16" t="s">
        <v>324</v>
      </c>
      <c r="BC16" t="s">
        <v>310</v>
      </c>
      <c r="BE16" t="s">
        <v>309</v>
      </c>
      <c r="BF16" t="s">
        <v>313</v>
      </c>
      <c r="BG16" t="s">
        <v>313</v>
      </c>
      <c r="BH16" t="s">
        <v>320</v>
      </c>
      <c r="BI16" t="s">
        <v>320</v>
      </c>
      <c r="BJ16" t="s">
        <v>313</v>
      </c>
      <c r="BK16" t="s">
        <v>320</v>
      </c>
      <c r="BL16" t="s">
        <v>322</v>
      </c>
      <c r="BM16" t="s">
        <v>316</v>
      </c>
      <c r="BN16" t="s">
        <v>316</v>
      </c>
      <c r="BO16" t="s">
        <v>315</v>
      </c>
      <c r="BP16" t="s">
        <v>315</v>
      </c>
      <c r="BQ16" t="s">
        <v>315</v>
      </c>
      <c r="BR16" t="s">
        <v>315</v>
      </c>
      <c r="BS16" t="s">
        <v>315</v>
      </c>
      <c r="BT16" t="s">
        <v>325</v>
      </c>
      <c r="BU16" t="s">
        <v>312</v>
      </c>
      <c r="BV16" t="s">
        <v>312</v>
      </c>
      <c r="BW16" t="s">
        <v>313</v>
      </c>
      <c r="BX16" t="s">
        <v>313</v>
      </c>
      <c r="BY16" t="s">
        <v>313</v>
      </c>
      <c r="BZ16" t="s">
        <v>320</v>
      </c>
      <c r="CA16" t="s">
        <v>313</v>
      </c>
      <c r="CB16" t="s">
        <v>320</v>
      </c>
      <c r="CC16" t="s">
        <v>316</v>
      </c>
      <c r="CD16" t="s">
        <v>316</v>
      </c>
      <c r="CE16" t="s">
        <v>315</v>
      </c>
      <c r="CF16" t="s">
        <v>315</v>
      </c>
      <c r="CG16" t="s">
        <v>326</v>
      </c>
      <c r="CI16" t="s">
        <v>309</v>
      </c>
      <c r="CJ16" t="s">
        <v>309</v>
      </c>
      <c r="CL16" t="s">
        <v>327</v>
      </c>
      <c r="CM16" t="s">
        <v>328</v>
      </c>
      <c r="CN16" t="s">
        <v>327</v>
      </c>
      <c r="CO16" t="s">
        <v>328</v>
      </c>
      <c r="CP16" t="s">
        <v>327</v>
      </c>
      <c r="CQ16" t="s">
        <v>328</v>
      </c>
      <c r="CR16" t="s">
        <v>317</v>
      </c>
      <c r="CS16" t="s">
        <v>317</v>
      </c>
      <c r="CT16" t="s">
        <v>313</v>
      </c>
      <c r="CU16" t="s">
        <v>329</v>
      </c>
      <c r="CV16" t="s">
        <v>313</v>
      </c>
      <c r="CY16" t="s">
        <v>330</v>
      </c>
      <c r="DB16" t="s">
        <v>320</v>
      </c>
      <c r="DC16" t="s">
        <v>331</v>
      </c>
      <c r="DD16" t="s">
        <v>320</v>
      </c>
      <c r="DI16" t="s">
        <v>332</v>
      </c>
      <c r="DJ16" t="s">
        <v>332</v>
      </c>
      <c r="DW16" t="s">
        <v>332</v>
      </c>
      <c r="DX16" t="s">
        <v>332</v>
      </c>
      <c r="DY16" t="s">
        <v>333</v>
      </c>
      <c r="DZ16" t="s">
        <v>333</v>
      </c>
      <c r="EA16" t="s">
        <v>315</v>
      </c>
      <c r="EB16" t="s">
        <v>315</v>
      </c>
      <c r="EC16" t="s">
        <v>317</v>
      </c>
      <c r="ED16" t="s">
        <v>315</v>
      </c>
      <c r="EE16" t="s">
        <v>320</v>
      </c>
      <c r="EF16" t="s">
        <v>317</v>
      </c>
      <c r="EG16" t="s">
        <v>317</v>
      </c>
      <c r="EI16" t="s">
        <v>332</v>
      </c>
      <c r="EJ16" t="s">
        <v>332</v>
      </c>
      <c r="EK16" t="s">
        <v>332</v>
      </c>
      <c r="EL16" t="s">
        <v>332</v>
      </c>
      <c r="EM16" t="s">
        <v>332</v>
      </c>
      <c r="EN16" t="s">
        <v>332</v>
      </c>
      <c r="EO16" t="s">
        <v>332</v>
      </c>
      <c r="EP16" t="s">
        <v>334</v>
      </c>
      <c r="EQ16" t="s">
        <v>334</v>
      </c>
      <c r="ER16" t="s">
        <v>334</v>
      </c>
      <c r="ES16" t="s">
        <v>335</v>
      </c>
      <c r="ET16" t="s">
        <v>332</v>
      </c>
      <c r="EU16" t="s">
        <v>332</v>
      </c>
      <c r="EV16" t="s">
        <v>332</v>
      </c>
      <c r="EW16" t="s">
        <v>332</v>
      </c>
      <c r="EX16" t="s">
        <v>332</v>
      </c>
      <c r="EY16" t="s">
        <v>332</v>
      </c>
      <c r="EZ16" t="s">
        <v>332</v>
      </c>
      <c r="FA16" t="s">
        <v>332</v>
      </c>
      <c r="FB16" t="s">
        <v>332</v>
      </c>
      <c r="FC16" t="s">
        <v>332</v>
      </c>
      <c r="FD16" t="s">
        <v>332</v>
      </c>
      <c r="FE16" t="s">
        <v>332</v>
      </c>
      <c r="FL16" t="s">
        <v>332</v>
      </c>
      <c r="FM16" t="s">
        <v>317</v>
      </c>
      <c r="FN16" t="s">
        <v>317</v>
      </c>
      <c r="FO16" t="s">
        <v>327</v>
      </c>
      <c r="FP16" t="s">
        <v>328</v>
      </c>
      <c r="FQ16" t="s">
        <v>327</v>
      </c>
      <c r="FU16" t="s">
        <v>328</v>
      </c>
      <c r="FY16" t="s">
        <v>313</v>
      </c>
      <c r="FZ16" t="s">
        <v>313</v>
      </c>
      <c r="GA16" t="s">
        <v>320</v>
      </c>
      <c r="GB16" t="s">
        <v>320</v>
      </c>
      <c r="GC16" t="s">
        <v>336</v>
      </c>
      <c r="GD16" t="s">
        <v>336</v>
      </c>
      <c r="GE16" t="s">
        <v>332</v>
      </c>
      <c r="GF16" t="s">
        <v>332</v>
      </c>
      <c r="GG16" t="s">
        <v>332</v>
      </c>
      <c r="GH16" t="s">
        <v>332</v>
      </c>
      <c r="GI16" t="s">
        <v>332</v>
      </c>
      <c r="GJ16" t="s">
        <v>332</v>
      </c>
      <c r="GK16" t="s">
        <v>315</v>
      </c>
      <c r="GL16" t="s">
        <v>332</v>
      </c>
      <c r="GN16" t="s">
        <v>322</v>
      </c>
      <c r="GO16" t="s">
        <v>322</v>
      </c>
      <c r="GP16" t="s">
        <v>315</v>
      </c>
      <c r="GQ16" t="s">
        <v>315</v>
      </c>
      <c r="GR16" t="s">
        <v>315</v>
      </c>
      <c r="GS16" t="s">
        <v>315</v>
      </c>
      <c r="GT16" t="s">
        <v>315</v>
      </c>
      <c r="GU16" t="s">
        <v>317</v>
      </c>
      <c r="GV16" t="s">
        <v>317</v>
      </c>
      <c r="GW16" t="s">
        <v>317</v>
      </c>
      <c r="GX16" t="s">
        <v>315</v>
      </c>
      <c r="GY16" t="s">
        <v>313</v>
      </c>
      <c r="GZ16" t="s">
        <v>320</v>
      </c>
      <c r="HA16" t="s">
        <v>317</v>
      </c>
      <c r="HB16" t="s">
        <v>317</v>
      </c>
    </row>
    <row r="17" spans="1:210" x14ac:dyDescent="0.3">
      <c r="A17">
        <v>1</v>
      </c>
      <c r="B17">
        <v>1750082875.5</v>
      </c>
      <c r="C17">
        <v>0</v>
      </c>
      <c r="D17" t="s">
        <v>337</v>
      </c>
      <c r="E17" t="s">
        <v>338</v>
      </c>
      <c r="F17">
        <v>15</v>
      </c>
      <c r="G17">
        <v>1750082867.5</v>
      </c>
      <c r="H17">
        <f t="shared" ref="H17:H29" si="0">(I17)/1000</f>
        <v>2.4073440079453506E-3</v>
      </c>
      <c r="I17">
        <f t="shared" ref="I17:I29" si="1">IF(BD17, AL17, AF17)</f>
        <v>2.4073440079453508</v>
      </c>
      <c r="J17">
        <f t="shared" ref="J17:J29" si="2">IF(BD17, AG17, AE17)</f>
        <v>19.895074382656091</v>
      </c>
      <c r="K17">
        <f t="shared" ref="K17:K29" si="3">BF17 - IF(AS17&gt;1, J17*AZ17*100/(AU17), 0)</f>
        <v>403.05887096774188</v>
      </c>
      <c r="L17">
        <f t="shared" ref="L17:L29" si="4">((R17-H17/2)*K17-J17)/(R17+H17/2)</f>
        <v>284.83045373641465</v>
      </c>
      <c r="M17">
        <f t="shared" ref="M17:M29" si="5">L17*(BM17+BN17)/1000</f>
        <v>29.263129745887664</v>
      </c>
      <c r="N17">
        <f t="shared" ref="N17:N29" si="6">(BF17 - IF(AS17&gt;1, J17*AZ17*100/(AU17), 0))*(BM17+BN17)/1000</f>
        <v>41.409771608463728</v>
      </c>
      <c r="O17">
        <f t="shared" ref="O17:O29" si="7">2/((1/Q17-1/P17)+SIGN(Q17)*SQRT((1/Q17-1/P17)*(1/Q17-1/P17) + 4*BA17/((BA17+1)*(BA17+1))*(2*1/Q17*1/P17-1/P17*1/P17)))</f>
        <v>0.29636002997711708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2.4355797525239384</v>
      </c>
      <c r="Q17">
        <f t="shared" ref="Q17:Q29" si="9">H17*(1000-(1000*0.61365*EXP(17.502*U17/(240.97+U17))/(BM17+BN17)+BH17)/2)/(1000*0.61365*EXP(17.502*U17/(240.97+U17))/(BM17+BN17)-BH17)</f>
        <v>0.27795312826257285</v>
      </c>
      <c r="R17">
        <f t="shared" ref="R17:R29" si="10">1/((BA17+1)/(O17/1.6)+1/(P17/1.37)) + BA17/((BA17+1)/(O17/1.6) + BA17/(P17/1.37))</f>
        <v>0.17527991992049713</v>
      </c>
      <c r="S17">
        <f t="shared" ref="S17:S29" si="11">(AV17*AY17)</f>
        <v>177.8295377419355</v>
      </c>
      <c r="T17">
        <f t="shared" ref="T17:T29" si="12">(BO17+(S17+2*0.95*0.0000000567*(((BO17+$B$7)+273)^4-(BO17+273)^4)-44100*H17)/(1.84*29.3*P17+8*0.95*0.0000000567*(BO17+273)^3))</f>
        <v>27.270369658711004</v>
      </c>
      <c r="U17">
        <f t="shared" ref="U17:U29" si="13">($C$7*BP17+$D$7*BQ17+$E$7*T17)</f>
        <v>26.170680645161291</v>
      </c>
      <c r="V17">
        <f t="shared" ref="V17:V29" si="14">0.61365*EXP(17.502*U17/(240.97+U17))</f>
        <v>3.408488238513431</v>
      </c>
      <c r="W17">
        <f t="shared" ref="W17:W29" si="15">(X17/Y17*100)</f>
        <v>72.062992154218591</v>
      </c>
      <c r="X17">
        <f t="shared" ref="X17:X29" si="16">BH17*(BM17+BN17)/1000</f>
        <v>2.544449856386708</v>
      </c>
      <c r="Y17">
        <f t="shared" ref="Y17:Y29" si="17">0.61365*EXP(17.502*BO17/(240.97+BO17))</f>
        <v>3.530869008244137</v>
      </c>
      <c r="Z17">
        <f t="shared" ref="Z17:Z29" si="18">(V17-BH17*(BM17+BN17)/1000)</f>
        <v>0.86403838212672301</v>
      </c>
      <c r="AA17">
        <f t="shared" ref="AA17:AA29" si="19">(-H17*44100)</f>
        <v>-106.16387075038996</v>
      </c>
      <c r="AB17">
        <f t="shared" ref="AB17:AB29" si="20">2*29.3*P17*0.92*(BO17-U17)</f>
        <v>78.552068523621259</v>
      </c>
      <c r="AC17">
        <f t="shared" ref="AC17:AC29" si="21">2*0.95*0.0000000567*(((BO17+$B$7)+273)^4-(U17+273)^4)</f>
        <v>6.9235047668826963</v>
      </c>
      <c r="AD17">
        <f t="shared" ref="AD17:AD29" si="22">S17+AC17+AA17+AB17</f>
        <v>157.14124028204949</v>
      </c>
      <c r="AE17">
        <f t="shared" ref="AE17:AE29" si="23">BL17*AS17*(BG17-BF17*(1000-AS17*BI17)/(1000-AS17*BH17))/(100*AZ17)</f>
        <v>19.895074382656091</v>
      </c>
      <c r="AF17">
        <f t="shared" ref="AF17:AF29" si="24">1000*BL17*AS17*(BH17-BI17)/(100*AZ17*(1000-AS17*BH17))</f>
        <v>2.4073440079453508</v>
      </c>
      <c r="AG17">
        <f t="shared" ref="AG17:AG29" si="25">(AH17 - AI17 - BM17*1000/(8.314*(BO17+273.15)) * AK17/BL17 * AJ17) * BL17/(100*AZ17) * (1000 - BI17)/1000</f>
        <v>19.905334332839207</v>
      </c>
      <c r="AH17">
        <v>458.96958636375689</v>
      </c>
      <c r="AI17">
        <v>413.29153939393939</v>
      </c>
      <c r="AJ17">
        <v>9.511308480906117E-6</v>
      </c>
      <c r="AK17">
        <v>83.944004845823216</v>
      </c>
      <c r="AL17">
        <f t="shared" ref="AL17:AL29" si="26">(AN17 - AM17 + BM17*1000/(8.314*(BO17+273.15)) * AP17/BL17 * AO17) * BL17/(100*AZ17) * 1000/(1000 - AN17)</f>
        <v>2.4041534795584614</v>
      </c>
      <c r="AM17">
        <v>19.48358391648086</v>
      </c>
      <c r="AN17">
        <v>24.759216996047439</v>
      </c>
      <c r="AO17">
        <v>-1.1025464207763941E-5</v>
      </c>
      <c r="AP17">
        <v>90.567877275144056</v>
      </c>
      <c r="AQ17">
        <v>0</v>
      </c>
      <c r="AR17">
        <v>0</v>
      </c>
      <c r="AS17">
        <f t="shared" ref="AS17:AS29" si="27">IF(AQ17*$H$13&gt;=AU17,1,(AU17/(AU17-AQ17*$H$13)))</f>
        <v>1</v>
      </c>
      <c r="AT17">
        <f t="shared" ref="AT17:AT29" si="28">(AS17-1)*100</f>
        <v>0</v>
      </c>
      <c r="AU17">
        <f t="shared" ref="AU17:AU29" si="29">MAX(0,($B$13+$C$13*BT17)/(1+$D$13*BT17)*BM17/(BO17+273)*$E$13)</f>
        <v>54289.445772249608</v>
      </c>
      <c r="AV17">
        <f t="shared" ref="AV17:AV29" si="30">$B$11*BU17+$C$11*BV17</f>
        <v>935.94493548387106</v>
      </c>
      <c r="AW17">
        <f t="shared" ref="AW17:AW29" si="31">AV17*AX17</f>
        <v>748.75594838709685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1.88</v>
      </c>
      <c r="BB17" t="s">
        <v>339</v>
      </c>
      <c r="BC17">
        <v>2</v>
      </c>
      <c r="BD17" t="b">
        <v>0</v>
      </c>
      <c r="BE17">
        <v>1750082867.5</v>
      </c>
      <c r="BF17">
        <v>403.05887096774188</v>
      </c>
      <c r="BG17">
        <v>450.00699999999989</v>
      </c>
      <c r="BH17">
        <v>24.766209677419351</v>
      </c>
      <c r="BI17">
        <v>19.48371612903226</v>
      </c>
      <c r="BJ17">
        <v>401.29964516129041</v>
      </c>
      <c r="BK17">
        <v>24.604500000000002</v>
      </c>
      <c r="BL17">
        <v>399.99119354838712</v>
      </c>
      <c r="BM17">
        <v>102.6387741935484</v>
      </c>
      <c r="BN17">
        <v>9.9993245161290323E-2</v>
      </c>
      <c r="BO17">
        <v>26.768912903225811</v>
      </c>
      <c r="BP17">
        <v>26.170680645161291</v>
      </c>
      <c r="BQ17">
        <v>999.90000000000032</v>
      </c>
      <c r="BR17">
        <v>0</v>
      </c>
      <c r="BS17">
        <v>0</v>
      </c>
      <c r="BT17">
        <v>9995.2258064516136</v>
      </c>
      <c r="BU17">
        <v>935.94493548387106</v>
      </c>
      <c r="BV17">
        <v>16.819099999999999</v>
      </c>
      <c r="BW17">
        <v>-46.948090322580647</v>
      </c>
      <c r="BX17">
        <v>413.29470967741918</v>
      </c>
      <c r="BY17">
        <v>458.94900000000001</v>
      </c>
      <c r="BZ17">
        <v>5.2824974193548391</v>
      </c>
      <c r="CA17">
        <v>450.00699999999989</v>
      </c>
      <c r="CB17">
        <v>19.48371612903226</v>
      </c>
      <c r="CC17">
        <v>2.5419741935483859</v>
      </c>
      <c r="CD17">
        <v>1.9997854838709681</v>
      </c>
      <c r="CE17">
        <v>21.297777419354841</v>
      </c>
      <c r="CF17">
        <v>17.44263225806451</v>
      </c>
      <c r="CG17">
        <v>1750082558</v>
      </c>
      <c r="CH17" t="s">
        <v>340</v>
      </c>
      <c r="CI17">
        <v>1750082558</v>
      </c>
      <c r="CJ17">
        <v>1750082553</v>
      </c>
      <c r="CK17">
        <v>5</v>
      </c>
      <c r="CL17">
        <v>-0.48299999999999998</v>
      </c>
      <c r="CM17">
        <v>-2.4E-2</v>
      </c>
      <c r="CN17">
        <v>2.1739999999999999</v>
      </c>
      <c r="CO17">
        <v>0.16200000000000001</v>
      </c>
      <c r="CP17">
        <v>450</v>
      </c>
      <c r="CQ17">
        <v>19</v>
      </c>
      <c r="CR17">
        <v>0.03</v>
      </c>
      <c r="CS17">
        <v>0.02</v>
      </c>
      <c r="CT17">
        <v>-46.948025000000001</v>
      </c>
      <c r="CU17">
        <v>-4.7182739211904023E-2</v>
      </c>
      <c r="CV17">
        <v>4.0477492202457263E-2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5.2874237500000003</v>
      </c>
      <c r="DC17">
        <v>-8.9235084427773267E-2</v>
      </c>
      <c r="DD17">
        <v>8.6989759993633935E-3</v>
      </c>
      <c r="DE17">
        <v>1</v>
      </c>
      <c r="DF17">
        <v>2</v>
      </c>
      <c r="DG17">
        <v>2</v>
      </c>
      <c r="DH17" t="s">
        <v>341</v>
      </c>
      <c r="DI17">
        <v>3.0242300000000002</v>
      </c>
      <c r="DJ17">
        <v>2.6913</v>
      </c>
      <c r="DK17">
        <v>9.4803299999999993E-2</v>
      </c>
      <c r="DL17">
        <v>0.103857</v>
      </c>
      <c r="DM17">
        <v>0.12413399999999999</v>
      </c>
      <c r="DN17">
        <v>0.10577499999999999</v>
      </c>
      <c r="DO17">
        <v>25226.400000000001</v>
      </c>
      <c r="DP17">
        <v>16856.3</v>
      </c>
      <c r="DQ17">
        <v>26441.4</v>
      </c>
      <c r="DR17">
        <v>17095.3</v>
      </c>
      <c r="DS17">
        <v>32934.6</v>
      </c>
      <c r="DT17">
        <v>19939</v>
      </c>
      <c r="DU17">
        <v>38520.800000000003</v>
      </c>
      <c r="DV17">
        <v>22622.9</v>
      </c>
      <c r="DW17">
        <v>1.8069</v>
      </c>
      <c r="DX17">
        <v>2.2052399999999999</v>
      </c>
      <c r="DY17">
        <v>7.5340299999999999E-2</v>
      </c>
      <c r="DZ17">
        <v>0</v>
      </c>
      <c r="EA17">
        <v>24.938700000000001</v>
      </c>
      <c r="EB17">
        <v>999.9</v>
      </c>
      <c r="EC17">
        <v>53.7</v>
      </c>
      <c r="ED17">
        <v>31.4</v>
      </c>
      <c r="EE17">
        <v>24.146699999999999</v>
      </c>
      <c r="EF17">
        <v>62.772300000000001</v>
      </c>
      <c r="EG17">
        <v>34.7196</v>
      </c>
      <c r="EH17">
        <v>1</v>
      </c>
      <c r="EI17">
        <v>3.1886200000000003E-2</v>
      </c>
      <c r="EJ17">
        <v>-6.8054500000000004E-2</v>
      </c>
      <c r="EK17">
        <v>20.327300000000001</v>
      </c>
      <c r="EL17">
        <v>5.25251</v>
      </c>
      <c r="EM17">
        <v>11.962</v>
      </c>
      <c r="EN17">
        <v>4.9897200000000002</v>
      </c>
      <c r="EO17">
        <v>3.2912599999999999</v>
      </c>
      <c r="EP17">
        <v>9999</v>
      </c>
      <c r="EQ17">
        <v>9999</v>
      </c>
      <c r="ER17">
        <v>9999</v>
      </c>
      <c r="ES17">
        <v>999.9</v>
      </c>
      <c r="ET17">
        <v>4.9726600000000003</v>
      </c>
      <c r="EU17">
        <v>1.87195</v>
      </c>
      <c r="EV17">
        <v>1.87215</v>
      </c>
      <c r="EW17">
        <v>1.87723</v>
      </c>
      <c r="EX17">
        <v>1.87134</v>
      </c>
      <c r="EY17">
        <v>1.8721000000000001</v>
      </c>
      <c r="EZ17">
        <v>1.8717999999999999</v>
      </c>
      <c r="FA17">
        <v>1.86873</v>
      </c>
      <c r="FB17">
        <v>0</v>
      </c>
      <c r="FC17">
        <v>0</v>
      </c>
      <c r="FD17">
        <v>0</v>
      </c>
      <c r="FE17">
        <v>0</v>
      </c>
      <c r="FF17" t="s">
        <v>342</v>
      </c>
      <c r="FG17" t="s">
        <v>343</v>
      </c>
      <c r="FH17" t="s">
        <v>344</v>
      </c>
      <c r="FI17" t="s">
        <v>344</v>
      </c>
      <c r="FJ17" t="s">
        <v>344</v>
      </c>
      <c r="FK17" t="s">
        <v>344</v>
      </c>
      <c r="FL17">
        <v>0</v>
      </c>
      <c r="FM17">
        <v>100</v>
      </c>
      <c r="FN17">
        <v>100</v>
      </c>
      <c r="FO17">
        <v>1.7589999999999999</v>
      </c>
      <c r="FP17">
        <v>0.16170000000000001</v>
      </c>
      <c r="FQ17">
        <v>-1.5635263302789351</v>
      </c>
      <c r="FR17">
        <v>7.6898218637449396E-3</v>
      </c>
      <c r="FS17">
        <v>1.5097418776848419E-6</v>
      </c>
      <c r="FT17">
        <v>-9.8458676114205118E-11</v>
      </c>
      <c r="FU17">
        <v>0.1617099999999958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5.3</v>
      </c>
      <c r="GD17">
        <v>5.4</v>
      </c>
      <c r="GE17">
        <v>1.10107</v>
      </c>
      <c r="GF17">
        <v>2.6232899999999999</v>
      </c>
      <c r="GG17">
        <v>1.7981</v>
      </c>
      <c r="GH17">
        <v>2.3718300000000001</v>
      </c>
      <c r="GI17">
        <v>1.5979000000000001</v>
      </c>
      <c r="GJ17">
        <v>2.5671400000000002</v>
      </c>
      <c r="GK17">
        <v>34.875500000000002</v>
      </c>
      <c r="GL17">
        <v>24.1663</v>
      </c>
      <c r="GM17">
        <v>18</v>
      </c>
      <c r="GN17">
        <v>368.19799999999998</v>
      </c>
      <c r="GO17">
        <v>683.13599999999997</v>
      </c>
      <c r="GP17">
        <v>25.830200000000001</v>
      </c>
      <c r="GQ17">
        <v>27.467400000000001</v>
      </c>
      <c r="GR17">
        <v>30.0001</v>
      </c>
      <c r="GS17">
        <v>27.3948</v>
      </c>
      <c r="GT17">
        <v>27.413599999999999</v>
      </c>
      <c r="GU17">
        <v>21.985499999999998</v>
      </c>
      <c r="GV17">
        <v>24.634</v>
      </c>
      <c r="GW17">
        <v>0</v>
      </c>
      <c r="GX17">
        <v>25.83</v>
      </c>
      <c r="GY17">
        <v>450</v>
      </c>
      <c r="GZ17">
        <v>19.5</v>
      </c>
      <c r="HA17">
        <v>100.47799999999999</v>
      </c>
      <c r="HB17">
        <v>70.656300000000002</v>
      </c>
    </row>
    <row r="18" spans="1:210" x14ac:dyDescent="0.3">
      <c r="A18">
        <v>2</v>
      </c>
      <c r="B18">
        <v>1750083056</v>
      </c>
      <c r="C18">
        <v>180.5</v>
      </c>
      <c r="D18" t="s">
        <v>345</v>
      </c>
      <c r="E18" t="s">
        <v>346</v>
      </c>
      <c r="F18">
        <v>15</v>
      </c>
      <c r="G18">
        <v>1750083048.25</v>
      </c>
      <c r="H18">
        <f t="shared" si="0"/>
        <v>2.3918276824408022E-3</v>
      </c>
      <c r="I18">
        <f t="shared" si="1"/>
        <v>2.3918276824408022</v>
      </c>
      <c r="J18">
        <f t="shared" si="2"/>
        <v>12.680537918994805</v>
      </c>
      <c r="K18">
        <f t="shared" si="3"/>
        <v>270.01836666666662</v>
      </c>
      <c r="L18">
        <f t="shared" si="4"/>
        <v>192.46669414972902</v>
      </c>
      <c r="M18">
        <f t="shared" si="5"/>
        <v>19.773029358732551</v>
      </c>
      <c r="N18">
        <f t="shared" si="6"/>
        <v>27.740285741820266</v>
      </c>
      <c r="O18">
        <f t="shared" si="7"/>
        <v>0.28807287510875162</v>
      </c>
      <c r="P18">
        <f t="shared" si="8"/>
        <v>2.4380296342637608</v>
      </c>
      <c r="Q18">
        <f t="shared" si="9"/>
        <v>0.27066518585978089</v>
      </c>
      <c r="R18">
        <f t="shared" si="10"/>
        <v>0.17064274405806673</v>
      </c>
      <c r="S18">
        <f t="shared" si="11"/>
        <v>177.85165333333333</v>
      </c>
      <c r="T18">
        <f t="shared" si="12"/>
        <v>27.353972688267163</v>
      </c>
      <c r="U18">
        <f t="shared" si="13"/>
        <v>26.273213333333331</v>
      </c>
      <c r="V18">
        <f t="shared" si="14"/>
        <v>3.4291965189904769</v>
      </c>
      <c r="W18">
        <f t="shared" si="15"/>
        <v>71.8213697088201</v>
      </c>
      <c r="X18">
        <f t="shared" si="16"/>
        <v>2.5477530992714663</v>
      </c>
      <c r="Y18">
        <f t="shared" si="17"/>
        <v>3.5473468545651903</v>
      </c>
      <c r="Z18">
        <f t="shared" si="18"/>
        <v>0.88144341971901063</v>
      </c>
      <c r="AA18">
        <f t="shared" si="19"/>
        <v>-105.47960079563939</v>
      </c>
      <c r="AB18">
        <f t="shared" si="20"/>
        <v>75.559054376885754</v>
      </c>
      <c r="AC18">
        <f t="shared" si="21"/>
        <v>6.6590673190276481</v>
      </c>
      <c r="AD18">
        <f t="shared" si="22"/>
        <v>154.59017423360734</v>
      </c>
      <c r="AE18">
        <f t="shared" si="23"/>
        <v>12.680537918994805</v>
      </c>
      <c r="AF18">
        <f t="shared" si="24"/>
        <v>2.3918276824408022</v>
      </c>
      <c r="AG18">
        <f t="shared" si="25"/>
        <v>12.688614963716329</v>
      </c>
      <c r="AH18">
        <v>305.99623508016208</v>
      </c>
      <c r="AI18">
        <v>276.87984848484848</v>
      </c>
      <c r="AJ18">
        <v>-1.608537536366475E-4</v>
      </c>
      <c r="AK18">
        <v>83.944004845823216</v>
      </c>
      <c r="AL18">
        <f t="shared" si="26"/>
        <v>2.3901668941861027</v>
      </c>
      <c r="AM18">
        <v>19.551984182838169</v>
      </c>
      <c r="AN18">
        <v>24.79634025974028</v>
      </c>
      <c r="AO18">
        <v>2.797795147445288E-7</v>
      </c>
      <c r="AP18">
        <v>90.567877275144056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54357.514428884628</v>
      </c>
      <c r="AV18">
        <f t="shared" si="30"/>
        <v>936.06133333333332</v>
      </c>
      <c r="AW18">
        <f t="shared" si="31"/>
        <v>748.84906666666666</v>
      </c>
      <c r="AX18">
        <f t="shared" si="32"/>
        <v>0.8</v>
      </c>
      <c r="AY18">
        <f t="shared" si="33"/>
        <v>0.19</v>
      </c>
      <c r="AZ18">
        <v>9</v>
      </c>
      <c r="BA18">
        <v>1.88</v>
      </c>
      <c r="BB18" t="s">
        <v>339</v>
      </c>
      <c r="BC18">
        <v>2</v>
      </c>
      <c r="BD18" t="b">
        <v>0</v>
      </c>
      <c r="BE18">
        <v>1750083048.25</v>
      </c>
      <c r="BF18">
        <v>270.01836666666662</v>
      </c>
      <c r="BG18">
        <v>300.0017666666667</v>
      </c>
      <c r="BH18">
        <v>24.79931666666667</v>
      </c>
      <c r="BI18">
        <v>19.55133</v>
      </c>
      <c r="BJ18">
        <v>269.40256666666659</v>
      </c>
      <c r="BK18">
        <v>24.63760666666667</v>
      </c>
      <c r="BL18">
        <v>400.01260000000002</v>
      </c>
      <c r="BM18">
        <v>102.6348333333334</v>
      </c>
      <c r="BN18">
        <v>9.9977206666666693E-2</v>
      </c>
      <c r="BO18">
        <v>26.848073333333328</v>
      </c>
      <c r="BP18">
        <v>26.273213333333331</v>
      </c>
      <c r="BQ18">
        <v>999.9000000000002</v>
      </c>
      <c r="BR18">
        <v>0</v>
      </c>
      <c r="BS18">
        <v>0</v>
      </c>
      <c r="BT18">
        <v>10011.450000000001</v>
      </c>
      <c r="BU18">
        <v>936.06133333333332</v>
      </c>
      <c r="BV18">
        <v>16.819099999999999</v>
      </c>
      <c r="BW18">
        <v>-29.983440000000002</v>
      </c>
      <c r="BX18">
        <v>276.88496666666663</v>
      </c>
      <c r="BY18">
        <v>305.9842666666666</v>
      </c>
      <c r="BZ18">
        <v>5.247986666666665</v>
      </c>
      <c r="CA18">
        <v>300.0017666666667</v>
      </c>
      <c r="CB18">
        <v>19.55133</v>
      </c>
      <c r="CC18">
        <v>2.5452736666666671</v>
      </c>
      <c r="CD18">
        <v>2.0066476666666668</v>
      </c>
      <c r="CE18">
        <v>21.31893333333333</v>
      </c>
      <c r="CF18">
        <v>17.49688333333334</v>
      </c>
      <c r="CG18">
        <v>1750082558</v>
      </c>
      <c r="CH18" t="s">
        <v>340</v>
      </c>
      <c r="CI18">
        <v>1750082558</v>
      </c>
      <c r="CJ18">
        <v>1750082553</v>
      </c>
      <c r="CK18">
        <v>5</v>
      </c>
      <c r="CL18">
        <v>-0.48299999999999998</v>
      </c>
      <c r="CM18">
        <v>-2.4E-2</v>
      </c>
      <c r="CN18">
        <v>2.1739999999999999</v>
      </c>
      <c r="CO18">
        <v>0.16200000000000001</v>
      </c>
      <c r="CP18">
        <v>450</v>
      </c>
      <c r="CQ18">
        <v>19</v>
      </c>
      <c r="CR18">
        <v>0.03</v>
      </c>
      <c r="CS18">
        <v>0.02</v>
      </c>
      <c r="CT18">
        <v>-29.9723325</v>
      </c>
      <c r="CU18">
        <v>-0.176112945590924</v>
      </c>
      <c r="CV18">
        <v>3.9854406202451703E-2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5.247045</v>
      </c>
      <c r="DC18">
        <v>4.6784240149890348E-3</v>
      </c>
      <c r="DD18">
        <v>4.3939976103771657E-3</v>
      </c>
      <c r="DE18">
        <v>1</v>
      </c>
      <c r="DF18">
        <v>2</v>
      </c>
      <c r="DG18">
        <v>2</v>
      </c>
      <c r="DH18" t="s">
        <v>341</v>
      </c>
      <c r="DI18">
        <v>3.0242800000000001</v>
      </c>
      <c r="DJ18">
        <v>2.6912799999999999</v>
      </c>
      <c r="DK18">
        <v>6.8981899999999999E-2</v>
      </c>
      <c r="DL18">
        <v>7.5739500000000001E-2</v>
      </c>
      <c r="DM18">
        <v>0.12424499999999999</v>
      </c>
      <c r="DN18">
        <v>0.106014</v>
      </c>
      <c r="DO18">
        <v>25942.9</v>
      </c>
      <c r="DP18">
        <v>17382.2</v>
      </c>
      <c r="DQ18">
        <v>26438.6</v>
      </c>
      <c r="DR18">
        <v>17092.5</v>
      </c>
      <c r="DS18">
        <v>32926.800000000003</v>
      </c>
      <c r="DT18">
        <v>19929.8</v>
      </c>
      <c r="DU18">
        <v>38516.9</v>
      </c>
      <c r="DV18">
        <v>22618.9</v>
      </c>
      <c r="DW18">
        <v>1.8061400000000001</v>
      </c>
      <c r="DX18">
        <v>2.2037800000000001</v>
      </c>
      <c r="DY18">
        <v>7.1942800000000001E-2</v>
      </c>
      <c r="DZ18">
        <v>0</v>
      </c>
      <c r="EA18">
        <v>25.089600000000001</v>
      </c>
      <c r="EB18">
        <v>999.9</v>
      </c>
      <c r="EC18">
        <v>53.8</v>
      </c>
      <c r="ED18">
        <v>31.4</v>
      </c>
      <c r="EE18">
        <v>24.191800000000001</v>
      </c>
      <c r="EF18">
        <v>62.4923</v>
      </c>
      <c r="EG18">
        <v>34.6875</v>
      </c>
      <c r="EH18">
        <v>1</v>
      </c>
      <c r="EI18">
        <v>3.6223600000000002E-2</v>
      </c>
      <c r="EJ18">
        <v>-2.8895400000000002E-2</v>
      </c>
      <c r="EK18">
        <v>20.327200000000001</v>
      </c>
      <c r="EL18">
        <v>5.25251</v>
      </c>
      <c r="EM18">
        <v>11.962</v>
      </c>
      <c r="EN18">
        <v>4.9896000000000003</v>
      </c>
      <c r="EO18">
        <v>3.29122</v>
      </c>
      <c r="EP18">
        <v>9999</v>
      </c>
      <c r="EQ18">
        <v>9999</v>
      </c>
      <c r="ER18">
        <v>9999</v>
      </c>
      <c r="ES18">
        <v>999.9</v>
      </c>
      <c r="ET18">
        <v>4.9726999999999997</v>
      </c>
      <c r="EU18">
        <v>1.87195</v>
      </c>
      <c r="EV18">
        <v>1.87212</v>
      </c>
      <c r="EW18">
        <v>1.87721</v>
      </c>
      <c r="EX18">
        <v>1.8713500000000001</v>
      </c>
      <c r="EY18">
        <v>1.8721000000000001</v>
      </c>
      <c r="EZ18">
        <v>1.8717999999999999</v>
      </c>
      <c r="FA18">
        <v>1.8687199999999999</v>
      </c>
      <c r="FB18">
        <v>0</v>
      </c>
      <c r="FC18">
        <v>0</v>
      </c>
      <c r="FD18">
        <v>0</v>
      </c>
      <c r="FE18">
        <v>0</v>
      </c>
      <c r="FF18" t="s">
        <v>342</v>
      </c>
      <c r="FG18" t="s">
        <v>343</v>
      </c>
      <c r="FH18" t="s">
        <v>344</v>
      </c>
      <c r="FI18" t="s">
        <v>344</v>
      </c>
      <c r="FJ18" t="s">
        <v>344</v>
      </c>
      <c r="FK18" t="s">
        <v>344</v>
      </c>
      <c r="FL18">
        <v>0</v>
      </c>
      <c r="FM18">
        <v>100</v>
      </c>
      <c r="FN18">
        <v>100</v>
      </c>
      <c r="FO18">
        <v>0.61499999999999999</v>
      </c>
      <c r="FP18">
        <v>0.16170000000000001</v>
      </c>
      <c r="FQ18">
        <v>-1.5635263302789351</v>
      </c>
      <c r="FR18">
        <v>7.6898218637449396E-3</v>
      </c>
      <c r="FS18">
        <v>1.5097418776848419E-6</v>
      </c>
      <c r="FT18">
        <v>-9.8458676114205118E-11</v>
      </c>
      <c r="FU18">
        <v>0.1617099999999958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8.3000000000000007</v>
      </c>
      <c r="GD18">
        <v>8.4</v>
      </c>
      <c r="GE18">
        <v>0.79956099999999997</v>
      </c>
      <c r="GF18">
        <v>2.6440399999999999</v>
      </c>
      <c r="GG18">
        <v>1.7981</v>
      </c>
      <c r="GH18">
        <v>2.3718300000000001</v>
      </c>
      <c r="GI18">
        <v>1.5979000000000001</v>
      </c>
      <c r="GJ18">
        <v>2.4865699999999999</v>
      </c>
      <c r="GK18">
        <v>34.944400000000002</v>
      </c>
      <c r="GL18">
        <v>24.157499999999999</v>
      </c>
      <c r="GM18">
        <v>18</v>
      </c>
      <c r="GN18">
        <v>368.18400000000003</v>
      </c>
      <c r="GO18">
        <v>682.57100000000003</v>
      </c>
      <c r="GP18">
        <v>25.830200000000001</v>
      </c>
      <c r="GQ18">
        <v>27.528300000000002</v>
      </c>
      <c r="GR18">
        <v>30.0002</v>
      </c>
      <c r="GS18">
        <v>27.451799999999999</v>
      </c>
      <c r="GT18">
        <v>27.469799999999999</v>
      </c>
      <c r="GU18">
        <v>15.944900000000001</v>
      </c>
      <c r="GV18">
        <v>24.904499999999999</v>
      </c>
      <c r="GW18">
        <v>0</v>
      </c>
      <c r="GX18">
        <v>25.83</v>
      </c>
      <c r="GY18">
        <v>300</v>
      </c>
      <c r="GZ18">
        <v>19.5</v>
      </c>
      <c r="HA18">
        <v>100.468</v>
      </c>
      <c r="HB18">
        <v>70.644400000000005</v>
      </c>
    </row>
    <row r="19" spans="1:210" x14ac:dyDescent="0.3">
      <c r="A19">
        <v>3</v>
      </c>
      <c r="B19">
        <v>1750083236.5</v>
      </c>
      <c r="C19">
        <v>361</v>
      </c>
      <c r="D19" t="s">
        <v>347</v>
      </c>
      <c r="E19" t="s">
        <v>348</v>
      </c>
      <c r="F19">
        <v>15</v>
      </c>
      <c r="G19">
        <v>1750083228.75</v>
      </c>
      <c r="H19">
        <f t="shared" si="0"/>
        <v>2.4258556963031698E-3</v>
      </c>
      <c r="I19">
        <f t="shared" si="1"/>
        <v>2.4258556963031697</v>
      </c>
      <c r="J19">
        <f t="shared" si="2"/>
        <v>7.6216234903876972</v>
      </c>
      <c r="K19">
        <f t="shared" si="3"/>
        <v>181.8538666666667</v>
      </c>
      <c r="L19">
        <f t="shared" si="4"/>
        <v>135.48374848447565</v>
      </c>
      <c r="M19">
        <f t="shared" si="5"/>
        <v>13.918904687020689</v>
      </c>
      <c r="N19">
        <f t="shared" si="6"/>
        <v>18.682732544778535</v>
      </c>
      <c r="O19">
        <f t="shared" si="7"/>
        <v>0.29169123567601241</v>
      </c>
      <c r="P19">
        <f t="shared" si="8"/>
        <v>2.4360171185564368</v>
      </c>
      <c r="Q19">
        <f t="shared" si="9"/>
        <v>0.27384413148772663</v>
      </c>
      <c r="R19">
        <f t="shared" si="10"/>
        <v>0.17266574757503045</v>
      </c>
      <c r="S19">
        <f t="shared" si="11"/>
        <v>177.86661900000004</v>
      </c>
      <c r="T19">
        <f t="shared" si="12"/>
        <v>27.397908476809935</v>
      </c>
      <c r="U19">
        <f t="shared" si="13"/>
        <v>26.32585666666666</v>
      </c>
      <c r="V19">
        <f t="shared" si="14"/>
        <v>3.4398713888832058</v>
      </c>
      <c r="W19">
        <f t="shared" si="15"/>
        <v>71.835471090797512</v>
      </c>
      <c r="X19">
        <f t="shared" si="16"/>
        <v>2.556350632546712</v>
      </c>
      <c r="Y19">
        <f t="shared" si="17"/>
        <v>3.5586188741152331</v>
      </c>
      <c r="Z19">
        <f t="shared" si="18"/>
        <v>0.88352075633649374</v>
      </c>
      <c r="AA19">
        <f t="shared" si="19"/>
        <v>-106.98023620696979</v>
      </c>
      <c r="AB19">
        <f t="shared" si="20"/>
        <v>75.670476888273825</v>
      </c>
      <c r="AC19">
        <f t="shared" si="21"/>
        <v>6.6779602223988244</v>
      </c>
      <c r="AD19">
        <f t="shared" si="22"/>
        <v>153.23481990370291</v>
      </c>
      <c r="AE19">
        <f t="shared" si="23"/>
        <v>7.6216234903876972</v>
      </c>
      <c r="AF19">
        <f t="shared" si="24"/>
        <v>2.4258556963031697</v>
      </c>
      <c r="AG19">
        <f t="shared" si="25"/>
        <v>7.6346191324405552</v>
      </c>
      <c r="AH19">
        <v>204.01826916470631</v>
      </c>
      <c r="AI19">
        <v>186.49762424242419</v>
      </c>
      <c r="AJ19">
        <v>1.1672003579055039E-4</v>
      </c>
      <c r="AK19">
        <v>83.944004845823216</v>
      </c>
      <c r="AL19">
        <f t="shared" si="26"/>
        <v>2.42575139431746</v>
      </c>
      <c r="AM19">
        <v>19.56521885926789</v>
      </c>
      <c r="AN19">
        <v>24.887003500846991</v>
      </c>
      <c r="AO19">
        <v>3.0016760212539948E-6</v>
      </c>
      <c r="AP19">
        <v>90.567877275144056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54279.983557617379</v>
      </c>
      <c r="AV19">
        <f t="shared" si="30"/>
        <v>936.14010000000019</v>
      </c>
      <c r="AW19">
        <f t="shared" si="31"/>
        <v>748.91208000000017</v>
      </c>
      <c r="AX19">
        <f t="shared" si="32"/>
        <v>0.8</v>
      </c>
      <c r="AY19">
        <f t="shared" si="33"/>
        <v>0.19</v>
      </c>
      <c r="AZ19">
        <v>9</v>
      </c>
      <c r="BA19">
        <v>1.88</v>
      </c>
      <c r="BB19" t="s">
        <v>339</v>
      </c>
      <c r="BC19">
        <v>2</v>
      </c>
      <c r="BD19" t="b">
        <v>0</v>
      </c>
      <c r="BE19">
        <v>1750083228.75</v>
      </c>
      <c r="BF19">
        <v>181.8538666666667</v>
      </c>
      <c r="BG19">
        <v>199.9941</v>
      </c>
      <c r="BH19">
        <v>24.882989999999999</v>
      </c>
      <c r="BI19">
        <v>19.560926666666671</v>
      </c>
      <c r="BJ19">
        <v>181.96863333333329</v>
      </c>
      <c r="BK19">
        <v>24.721273333333329</v>
      </c>
      <c r="BL19">
        <v>400.02226666666661</v>
      </c>
      <c r="BM19">
        <v>102.6348666666667</v>
      </c>
      <c r="BN19">
        <v>9.9998899999999974E-2</v>
      </c>
      <c r="BO19">
        <v>26.90204000000001</v>
      </c>
      <c r="BP19">
        <v>26.32585666666666</v>
      </c>
      <c r="BQ19">
        <v>999.9000000000002</v>
      </c>
      <c r="BR19">
        <v>0</v>
      </c>
      <c r="BS19">
        <v>0</v>
      </c>
      <c r="BT19">
        <v>9998.4333333333325</v>
      </c>
      <c r="BU19">
        <v>936.14010000000019</v>
      </c>
      <c r="BV19">
        <v>16.81716333333333</v>
      </c>
      <c r="BW19">
        <v>-18.140260000000001</v>
      </c>
      <c r="BX19">
        <v>186.49430000000001</v>
      </c>
      <c r="BY19">
        <v>203.98419999999999</v>
      </c>
      <c r="BZ19">
        <v>5.3220533333333329</v>
      </c>
      <c r="CA19">
        <v>199.9941</v>
      </c>
      <c r="CB19">
        <v>19.560926666666671</v>
      </c>
      <c r="CC19">
        <v>2.5538630000000002</v>
      </c>
      <c r="CD19">
        <v>2.007633666666667</v>
      </c>
      <c r="CE19">
        <v>21.37390000000001</v>
      </c>
      <c r="CF19">
        <v>17.50468</v>
      </c>
      <c r="CG19">
        <v>1750082558</v>
      </c>
      <c r="CH19" t="s">
        <v>340</v>
      </c>
      <c r="CI19">
        <v>1750082558</v>
      </c>
      <c r="CJ19">
        <v>1750082553</v>
      </c>
      <c r="CK19">
        <v>5</v>
      </c>
      <c r="CL19">
        <v>-0.48299999999999998</v>
      </c>
      <c r="CM19">
        <v>-2.4E-2</v>
      </c>
      <c r="CN19">
        <v>2.1739999999999999</v>
      </c>
      <c r="CO19">
        <v>0.16200000000000001</v>
      </c>
      <c r="CP19">
        <v>450</v>
      </c>
      <c r="CQ19">
        <v>19</v>
      </c>
      <c r="CR19">
        <v>0.03</v>
      </c>
      <c r="CS19">
        <v>0.02</v>
      </c>
      <c r="CT19">
        <v>-18.134370000000001</v>
      </c>
      <c r="CU19">
        <v>-0.191790619136949</v>
      </c>
      <c r="CV19">
        <v>2.9620729228025139E-2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5.3203085000000003</v>
      </c>
      <c r="DC19">
        <v>5.4667091932457203E-2</v>
      </c>
      <c r="DD19">
        <v>6.5936744498041357E-3</v>
      </c>
      <c r="DE19">
        <v>1</v>
      </c>
      <c r="DF19">
        <v>2</v>
      </c>
      <c r="DG19">
        <v>2</v>
      </c>
      <c r="DH19" t="s">
        <v>341</v>
      </c>
      <c r="DI19">
        <v>3.0241799999999999</v>
      </c>
      <c r="DJ19">
        <v>2.6912400000000001</v>
      </c>
      <c r="DK19">
        <v>4.9072600000000001E-2</v>
      </c>
      <c r="DL19">
        <v>5.3630400000000002E-2</v>
      </c>
      <c r="DM19">
        <v>0.124543</v>
      </c>
      <c r="DN19">
        <v>0.10595300000000001</v>
      </c>
      <c r="DO19">
        <v>26493.8</v>
      </c>
      <c r="DP19">
        <v>17795.400000000001</v>
      </c>
      <c r="DQ19">
        <v>26435.200000000001</v>
      </c>
      <c r="DR19">
        <v>17090.2</v>
      </c>
      <c r="DS19">
        <v>32911.300000000003</v>
      </c>
      <c r="DT19">
        <v>19928.7</v>
      </c>
      <c r="DU19">
        <v>38512.1</v>
      </c>
      <c r="DV19">
        <v>22616.3</v>
      </c>
      <c r="DW19">
        <v>1.8051600000000001</v>
      </c>
      <c r="DX19">
        <v>2.2019799999999998</v>
      </c>
      <c r="DY19">
        <v>7.0601700000000003E-2</v>
      </c>
      <c r="DZ19">
        <v>0</v>
      </c>
      <c r="EA19">
        <v>25.1631</v>
      </c>
      <c r="EB19">
        <v>999.9</v>
      </c>
      <c r="EC19">
        <v>53.9</v>
      </c>
      <c r="ED19">
        <v>31.5</v>
      </c>
      <c r="EE19">
        <v>24.377600000000001</v>
      </c>
      <c r="EF19">
        <v>62.612299999999998</v>
      </c>
      <c r="EG19">
        <v>34.543300000000002</v>
      </c>
      <c r="EH19">
        <v>1</v>
      </c>
      <c r="EI19">
        <v>4.1308900000000003E-2</v>
      </c>
      <c r="EJ19">
        <v>3.9825700000000004E-3</v>
      </c>
      <c r="EK19">
        <v>20.326899999999998</v>
      </c>
      <c r="EL19">
        <v>5.2478400000000001</v>
      </c>
      <c r="EM19">
        <v>11.962</v>
      </c>
      <c r="EN19">
        <v>4.9899199999999997</v>
      </c>
      <c r="EO19">
        <v>3.2913199999999998</v>
      </c>
      <c r="EP19">
        <v>9999</v>
      </c>
      <c r="EQ19">
        <v>9999</v>
      </c>
      <c r="ER19">
        <v>9999</v>
      </c>
      <c r="ES19">
        <v>999.9</v>
      </c>
      <c r="ET19">
        <v>4.9726800000000004</v>
      </c>
      <c r="EU19">
        <v>1.8719399999999999</v>
      </c>
      <c r="EV19">
        <v>1.87216</v>
      </c>
      <c r="EW19">
        <v>1.87717</v>
      </c>
      <c r="EX19">
        <v>1.87134</v>
      </c>
      <c r="EY19">
        <v>1.8721000000000001</v>
      </c>
      <c r="EZ19">
        <v>1.8717999999999999</v>
      </c>
      <c r="FA19">
        <v>1.8687400000000001</v>
      </c>
      <c r="FB19">
        <v>0</v>
      </c>
      <c r="FC19">
        <v>0</v>
      </c>
      <c r="FD19">
        <v>0</v>
      </c>
      <c r="FE19">
        <v>0</v>
      </c>
      <c r="FF19" t="s">
        <v>342</v>
      </c>
      <c r="FG19" t="s">
        <v>343</v>
      </c>
      <c r="FH19" t="s">
        <v>344</v>
      </c>
      <c r="FI19" t="s">
        <v>344</v>
      </c>
      <c r="FJ19" t="s">
        <v>344</v>
      </c>
      <c r="FK19" t="s">
        <v>344</v>
      </c>
      <c r="FL19">
        <v>0</v>
      </c>
      <c r="FM19">
        <v>100</v>
      </c>
      <c r="FN19">
        <v>100</v>
      </c>
      <c r="FO19">
        <v>-0.115</v>
      </c>
      <c r="FP19">
        <v>0.16170000000000001</v>
      </c>
      <c r="FQ19">
        <v>-1.5635263302789351</v>
      </c>
      <c r="FR19">
        <v>7.6898218637449396E-3</v>
      </c>
      <c r="FS19">
        <v>1.5097418776848419E-6</v>
      </c>
      <c r="FT19">
        <v>-9.8458676114205118E-11</v>
      </c>
      <c r="FU19">
        <v>0.1617099999999958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11.3</v>
      </c>
      <c r="GD19">
        <v>11.4</v>
      </c>
      <c r="GE19">
        <v>0.58593799999999996</v>
      </c>
      <c r="GF19">
        <v>2.63184</v>
      </c>
      <c r="GG19">
        <v>1.7981</v>
      </c>
      <c r="GH19">
        <v>2.3730500000000001</v>
      </c>
      <c r="GI19">
        <v>1.5979000000000001</v>
      </c>
      <c r="GJ19">
        <v>2.5134300000000001</v>
      </c>
      <c r="GK19">
        <v>35.059399999999997</v>
      </c>
      <c r="GL19">
        <v>24.157499999999999</v>
      </c>
      <c r="GM19">
        <v>18</v>
      </c>
      <c r="GN19">
        <v>368.11399999999998</v>
      </c>
      <c r="GO19">
        <v>681.822</v>
      </c>
      <c r="GP19">
        <v>25.830200000000001</v>
      </c>
      <c r="GQ19">
        <v>27.5992</v>
      </c>
      <c r="GR19">
        <v>30.000299999999999</v>
      </c>
      <c r="GS19">
        <v>27.517499999999998</v>
      </c>
      <c r="GT19">
        <v>27.5351</v>
      </c>
      <c r="GU19">
        <v>11.692500000000001</v>
      </c>
      <c r="GV19">
        <v>25.459299999999999</v>
      </c>
      <c r="GW19">
        <v>0</v>
      </c>
      <c r="GX19">
        <v>25.83</v>
      </c>
      <c r="GY19">
        <v>200</v>
      </c>
      <c r="GZ19">
        <v>19.5</v>
      </c>
      <c r="HA19">
        <v>100.455</v>
      </c>
      <c r="HB19">
        <v>70.635599999999997</v>
      </c>
    </row>
    <row r="20" spans="1:210" x14ac:dyDescent="0.3">
      <c r="A20">
        <v>4</v>
      </c>
      <c r="B20">
        <v>1750083417</v>
      </c>
      <c r="C20">
        <v>541.5</v>
      </c>
      <c r="D20" t="s">
        <v>349</v>
      </c>
      <c r="E20" t="s">
        <v>350</v>
      </c>
      <c r="F20">
        <v>15</v>
      </c>
      <c r="G20">
        <v>1750083409.25</v>
      </c>
      <c r="H20">
        <f t="shared" si="0"/>
        <v>2.4924838452918185E-3</v>
      </c>
      <c r="I20">
        <f t="shared" si="1"/>
        <v>2.4924838452918183</v>
      </c>
      <c r="J20">
        <f t="shared" si="2"/>
        <v>3.7736946225820764</v>
      </c>
      <c r="K20">
        <f t="shared" si="3"/>
        <v>115.8610333333333</v>
      </c>
      <c r="L20">
        <f t="shared" si="4"/>
        <v>93.135190920618385</v>
      </c>
      <c r="M20">
        <f t="shared" si="5"/>
        <v>9.5686084253167518</v>
      </c>
      <c r="N20">
        <f t="shared" si="6"/>
        <v>11.903436807942468</v>
      </c>
      <c r="O20">
        <f t="shared" si="7"/>
        <v>0.30034544970534205</v>
      </c>
      <c r="P20">
        <f t="shared" si="8"/>
        <v>2.4367435556138171</v>
      </c>
      <c r="Q20">
        <f t="shared" si="9"/>
        <v>0.28146535702711639</v>
      </c>
      <c r="R20">
        <f t="shared" si="10"/>
        <v>0.17751396870837155</v>
      </c>
      <c r="S20">
        <f t="shared" si="11"/>
        <v>177.84502233333333</v>
      </c>
      <c r="T20">
        <f t="shared" si="12"/>
        <v>27.419073524199366</v>
      </c>
      <c r="U20">
        <f t="shared" si="13"/>
        <v>26.363336666666669</v>
      </c>
      <c r="V20">
        <f t="shared" si="14"/>
        <v>3.4474891533216203</v>
      </c>
      <c r="W20">
        <f t="shared" si="15"/>
        <v>71.881570235592136</v>
      </c>
      <c r="X20">
        <f t="shared" si="16"/>
        <v>2.5643150208765428</v>
      </c>
      <c r="Y20">
        <f t="shared" si="17"/>
        <v>3.5674165331558427</v>
      </c>
      <c r="Z20">
        <f t="shared" si="18"/>
        <v>0.88317413244507748</v>
      </c>
      <c r="AA20">
        <f t="shared" si="19"/>
        <v>-109.91853757736919</v>
      </c>
      <c r="AB20">
        <f t="shared" si="20"/>
        <v>76.289022968115802</v>
      </c>
      <c r="AC20">
        <f t="shared" si="21"/>
        <v>6.7332193295113925</v>
      </c>
      <c r="AD20">
        <f t="shared" si="22"/>
        <v>150.94872705359134</v>
      </c>
      <c r="AE20">
        <f t="shared" si="23"/>
        <v>3.7736946225820764</v>
      </c>
      <c r="AF20">
        <f t="shared" si="24"/>
        <v>2.4924838452918183</v>
      </c>
      <c r="AG20">
        <f t="shared" si="25"/>
        <v>3.7746201200125351</v>
      </c>
      <c r="AH20">
        <v>127.4918180847399</v>
      </c>
      <c r="AI20">
        <v>118.8293575757576</v>
      </c>
      <c r="AJ20">
        <v>6.7619224694365698E-5</v>
      </c>
      <c r="AK20">
        <v>83.944004845823216</v>
      </c>
      <c r="AL20">
        <f t="shared" si="26"/>
        <v>2.4950695083600696</v>
      </c>
      <c r="AM20">
        <v>19.491164283121169</v>
      </c>
      <c r="AN20">
        <v>24.964998136645971</v>
      </c>
      <c r="AO20">
        <v>1.9412796235771812E-6</v>
      </c>
      <c r="AP20">
        <v>90.567877275144056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54296.917484124941</v>
      </c>
      <c r="AV20">
        <f t="shared" si="30"/>
        <v>936.02643333333333</v>
      </c>
      <c r="AW20">
        <f t="shared" si="31"/>
        <v>748.82114666666666</v>
      </c>
      <c r="AX20">
        <f t="shared" si="32"/>
        <v>0.8</v>
      </c>
      <c r="AY20">
        <f t="shared" si="33"/>
        <v>0.19</v>
      </c>
      <c r="AZ20">
        <v>9</v>
      </c>
      <c r="BA20">
        <v>1.88</v>
      </c>
      <c r="BB20" t="s">
        <v>339</v>
      </c>
      <c r="BC20">
        <v>2</v>
      </c>
      <c r="BD20" t="b">
        <v>0</v>
      </c>
      <c r="BE20">
        <v>1750083409.25</v>
      </c>
      <c r="BF20">
        <v>115.8610333333333</v>
      </c>
      <c r="BG20">
        <v>125.0017666666667</v>
      </c>
      <c r="BH20">
        <v>24.959530000000012</v>
      </c>
      <c r="BI20">
        <v>19.491320000000009</v>
      </c>
      <c r="BJ20">
        <v>116.50823333333329</v>
      </c>
      <c r="BK20">
        <v>24.797826666666669</v>
      </c>
      <c r="BL20">
        <v>399.99293333333333</v>
      </c>
      <c r="BM20">
        <v>102.6389333333333</v>
      </c>
      <c r="BN20">
        <v>9.9981256666666685E-2</v>
      </c>
      <c r="BO20">
        <v>26.944056666666661</v>
      </c>
      <c r="BP20">
        <v>26.363336666666669</v>
      </c>
      <c r="BQ20">
        <v>999.9000000000002</v>
      </c>
      <c r="BR20">
        <v>0</v>
      </c>
      <c r="BS20">
        <v>0</v>
      </c>
      <c r="BT20">
        <v>10002.73333333333</v>
      </c>
      <c r="BU20">
        <v>936.02643333333333</v>
      </c>
      <c r="BV20">
        <v>16.769713333333328</v>
      </c>
      <c r="BW20">
        <v>-9.1407433333333348</v>
      </c>
      <c r="BX20">
        <v>118.8269333333333</v>
      </c>
      <c r="BY20">
        <v>127.4867</v>
      </c>
      <c r="BZ20">
        <v>5.4682089999999999</v>
      </c>
      <c r="CA20">
        <v>125.0017666666667</v>
      </c>
      <c r="CB20">
        <v>19.491320000000009</v>
      </c>
      <c r="CC20">
        <v>2.5618180000000002</v>
      </c>
      <c r="CD20">
        <v>2.0005666666666668</v>
      </c>
      <c r="CE20">
        <v>21.424656666666671</v>
      </c>
      <c r="CF20">
        <v>17.448820000000001</v>
      </c>
      <c r="CG20">
        <v>1750082558</v>
      </c>
      <c r="CH20" t="s">
        <v>340</v>
      </c>
      <c r="CI20">
        <v>1750082558</v>
      </c>
      <c r="CJ20">
        <v>1750082553</v>
      </c>
      <c r="CK20">
        <v>5</v>
      </c>
      <c r="CL20">
        <v>-0.48299999999999998</v>
      </c>
      <c r="CM20">
        <v>-2.4E-2</v>
      </c>
      <c r="CN20">
        <v>2.1739999999999999</v>
      </c>
      <c r="CO20">
        <v>0.16200000000000001</v>
      </c>
      <c r="CP20">
        <v>450</v>
      </c>
      <c r="CQ20">
        <v>19</v>
      </c>
      <c r="CR20">
        <v>0.03</v>
      </c>
      <c r="CS20">
        <v>0.02</v>
      </c>
      <c r="CT20">
        <v>-9.1275780487804887</v>
      </c>
      <c r="CU20">
        <v>-0.17862480836238209</v>
      </c>
      <c r="CV20">
        <v>2.860717564933252E-2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5.4666553658536587</v>
      </c>
      <c r="DC20">
        <v>3.5119024390243218E-2</v>
      </c>
      <c r="DD20">
        <v>3.6084522035320791E-3</v>
      </c>
      <c r="DE20">
        <v>1</v>
      </c>
      <c r="DF20">
        <v>2</v>
      </c>
      <c r="DG20">
        <v>2</v>
      </c>
      <c r="DH20" t="s">
        <v>341</v>
      </c>
      <c r="DI20">
        <v>3.0243899999999999</v>
      </c>
      <c r="DJ20">
        <v>2.6913</v>
      </c>
      <c r="DK20">
        <v>3.2433799999999999E-2</v>
      </c>
      <c r="DL20">
        <v>3.4821199999999997E-2</v>
      </c>
      <c r="DM20">
        <v>0.124802</v>
      </c>
      <c r="DN20">
        <v>0.105758</v>
      </c>
      <c r="DO20">
        <v>26954</v>
      </c>
      <c r="DP20">
        <v>18148</v>
      </c>
      <c r="DQ20">
        <v>26432.2</v>
      </c>
      <c r="DR20">
        <v>17089.400000000001</v>
      </c>
      <c r="DS20">
        <v>32898.400000000001</v>
      </c>
      <c r="DT20">
        <v>19932.400000000001</v>
      </c>
      <c r="DU20">
        <v>38508.5</v>
      </c>
      <c r="DV20">
        <v>22615.7</v>
      </c>
      <c r="DW20">
        <v>1.80548</v>
      </c>
      <c r="DX20">
        <v>2.1997200000000001</v>
      </c>
      <c r="DY20">
        <v>7.0035500000000001E-2</v>
      </c>
      <c r="DZ20">
        <v>0</v>
      </c>
      <c r="EA20">
        <v>25.2182</v>
      </c>
      <c r="EB20">
        <v>999.9</v>
      </c>
      <c r="EC20">
        <v>53.9</v>
      </c>
      <c r="ED20">
        <v>31.6</v>
      </c>
      <c r="EE20">
        <v>24.513999999999999</v>
      </c>
      <c r="EF20">
        <v>62.872399999999999</v>
      </c>
      <c r="EG20">
        <v>34.743600000000001</v>
      </c>
      <c r="EH20">
        <v>1</v>
      </c>
      <c r="EI20">
        <v>4.5754099999999999E-2</v>
      </c>
      <c r="EJ20">
        <v>3.4712399999999997E-2</v>
      </c>
      <c r="EK20">
        <v>20.326799999999999</v>
      </c>
      <c r="EL20">
        <v>5.2517899999999997</v>
      </c>
      <c r="EM20">
        <v>11.962</v>
      </c>
      <c r="EN20">
        <v>4.9897200000000002</v>
      </c>
      <c r="EO20">
        <v>3.29114</v>
      </c>
      <c r="EP20">
        <v>9999</v>
      </c>
      <c r="EQ20">
        <v>9999</v>
      </c>
      <c r="ER20">
        <v>9999</v>
      </c>
      <c r="ES20">
        <v>999.9</v>
      </c>
      <c r="ET20">
        <v>4.9726900000000001</v>
      </c>
      <c r="EU20">
        <v>1.87195</v>
      </c>
      <c r="EV20">
        <v>1.8721699999999999</v>
      </c>
      <c r="EW20">
        <v>1.8771899999999999</v>
      </c>
      <c r="EX20">
        <v>1.87134</v>
      </c>
      <c r="EY20">
        <v>1.8721099999999999</v>
      </c>
      <c r="EZ20">
        <v>1.8717999999999999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342</v>
      </c>
      <c r="FG20" t="s">
        <v>343</v>
      </c>
      <c r="FH20" t="s">
        <v>344</v>
      </c>
      <c r="FI20" t="s">
        <v>344</v>
      </c>
      <c r="FJ20" t="s">
        <v>344</v>
      </c>
      <c r="FK20" t="s">
        <v>344</v>
      </c>
      <c r="FL20">
        <v>0</v>
      </c>
      <c r="FM20">
        <v>100</v>
      </c>
      <c r="FN20">
        <v>100</v>
      </c>
      <c r="FO20">
        <v>-0.64700000000000002</v>
      </c>
      <c r="FP20">
        <v>0.16170000000000001</v>
      </c>
      <c r="FQ20">
        <v>-1.5635263302789351</v>
      </c>
      <c r="FR20">
        <v>7.6898218637449396E-3</v>
      </c>
      <c r="FS20">
        <v>1.5097418776848419E-6</v>
      </c>
      <c r="FT20">
        <v>-9.8458676114205118E-11</v>
      </c>
      <c r="FU20">
        <v>0.1617099999999958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14.3</v>
      </c>
      <c r="GD20">
        <v>14.4</v>
      </c>
      <c r="GE20">
        <v>0.42236299999999999</v>
      </c>
      <c r="GF20">
        <v>2.65137</v>
      </c>
      <c r="GG20">
        <v>1.7981</v>
      </c>
      <c r="GH20">
        <v>2.3730500000000001</v>
      </c>
      <c r="GI20">
        <v>1.5979000000000001</v>
      </c>
      <c r="GJ20">
        <v>2.5512700000000001</v>
      </c>
      <c r="GK20">
        <v>35.174700000000001</v>
      </c>
      <c r="GL20">
        <v>24.1663</v>
      </c>
      <c r="GM20">
        <v>18</v>
      </c>
      <c r="GN20">
        <v>368.67899999999997</v>
      </c>
      <c r="GO20">
        <v>680.60799999999995</v>
      </c>
      <c r="GP20">
        <v>25.830200000000001</v>
      </c>
      <c r="GQ20">
        <v>27.66</v>
      </c>
      <c r="GR20">
        <v>30.0001</v>
      </c>
      <c r="GS20">
        <v>27.5779</v>
      </c>
      <c r="GT20">
        <v>27.596</v>
      </c>
      <c r="GU20">
        <v>8.4068000000000005</v>
      </c>
      <c r="GV20">
        <v>25.7301</v>
      </c>
      <c r="GW20">
        <v>0</v>
      </c>
      <c r="GX20">
        <v>25.83</v>
      </c>
      <c r="GY20">
        <v>125</v>
      </c>
      <c r="GZ20">
        <v>19.5</v>
      </c>
      <c r="HA20">
        <v>100.44499999999999</v>
      </c>
      <c r="HB20">
        <v>70.632999999999996</v>
      </c>
    </row>
    <row r="21" spans="1:210" x14ac:dyDescent="0.3">
      <c r="A21">
        <v>5</v>
      </c>
      <c r="B21">
        <v>1750083597.5</v>
      </c>
      <c r="C21">
        <v>722</v>
      </c>
      <c r="D21" t="s">
        <v>351</v>
      </c>
      <c r="E21" t="s">
        <v>352</v>
      </c>
      <c r="F21">
        <v>15</v>
      </c>
      <c r="G21">
        <v>1750083589.75</v>
      </c>
      <c r="H21">
        <f t="shared" si="0"/>
        <v>2.5411643468977738E-3</v>
      </c>
      <c r="I21">
        <f t="shared" si="1"/>
        <v>2.5411643468977738</v>
      </c>
      <c r="J21">
        <f t="shared" si="2"/>
        <v>1.1094758310431447</v>
      </c>
      <c r="K21">
        <f t="shared" si="3"/>
        <v>72.101643333333342</v>
      </c>
      <c r="L21">
        <f t="shared" si="4"/>
        <v>65.071553460408168</v>
      </c>
      <c r="M21">
        <f t="shared" si="5"/>
        <v>6.6853202583980194</v>
      </c>
      <c r="N21">
        <f t="shared" si="6"/>
        <v>7.4075775236163901</v>
      </c>
      <c r="O21">
        <f t="shared" si="7"/>
        <v>0.30948240223110146</v>
      </c>
      <c r="P21">
        <f t="shared" si="8"/>
        <v>2.4359503862617196</v>
      </c>
      <c r="Q21">
        <f t="shared" si="9"/>
        <v>0.28947075574257985</v>
      </c>
      <c r="R21">
        <f t="shared" si="10"/>
        <v>0.18261013340788257</v>
      </c>
      <c r="S21">
        <f t="shared" si="11"/>
        <v>177.84560500000001</v>
      </c>
      <c r="T21">
        <f t="shared" si="12"/>
        <v>27.434497655534212</v>
      </c>
      <c r="U21">
        <f t="shared" si="13"/>
        <v>26.395620000000001</v>
      </c>
      <c r="V21">
        <f t="shared" si="14"/>
        <v>3.4540625064418369</v>
      </c>
      <c r="W21">
        <f t="shared" si="15"/>
        <v>72.154548232419501</v>
      </c>
      <c r="X21">
        <f t="shared" si="16"/>
        <v>2.578640538570744</v>
      </c>
      <c r="Y21">
        <f t="shared" si="17"/>
        <v>3.5737740748713387</v>
      </c>
      <c r="Z21">
        <f t="shared" si="18"/>
        <v>0.87542196787109283</v>
      </c>
      <c r="AA21">
        <f t="shared" si="19"/>
        <v>-112.06534769819183</v>
      </c>
      <c r="AB21">
        <f t="shared" si="20"/>
        <v>76.004600980426062</v>
      </c>
      <c r="AC21">
        <f t="shared" si="21"/>
        <v>6.7124032501681539</v>
      </c>
      <c r="AD21">
        <f t="shared" si="22"/>
        <v>148.4972615324024</v>
      </c>
      <c r="AE21">
        <f t="shared" si="23"/>
        <v>1.1094758310431447</v>
      </c>
      <c r="AF21">
        <f t="shared" si="24"/>
        <v>2.5411643468977738</v>
      </c>
      <c r="AG21">
        <f t="shared" si="25"/>
        <v>1.1316845289612187</v>
      </c>
      <c r="AH21">
        <v>76.52638274814322</v>
      </c>
      <c r="AI21">
        <v>73.930393333333313</v>
      </c>
      <c r="AJ21">
        <v>-1.0603019271522E-4</v>
      </c>
      <c r="AK21">
        <v>83.944004845823216</v>
      </c>
      <c r="AL21">
        <f t="shared" si="26"/>
        <v>2.5439838029109239</v>
      </c>
      <c r="AM21">
        <v>19.527672735498019</v>
      </c>
      <c r="AN21">
        <v>25.10772196499153</v>
      </c>
      <c r="AO21">
        <v>-4.0824296602094667E-8</v>
      </c>
      <c r="AP21">
        <v>90.567877275144056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54264.718006638381</v>
      </c>
      <c r="AV21">
        <f t="shared" si="30"/>
        <v>936.02949999999998</v>
      </c>
      <c r="AW21">
        <f t="shared" si="31"/>
        <v>748.82360000000006</v>
      </c>
      <c r="AX21">
        <f t="shared" si="32"/>
        <v>0.8</v>
      </c>
      <c r="AY21">
        <f t="shared" si="33"/>
        <v>0.19</v>
      </c>
      <c r="AZ21">
        <v>9</v>
      </c>
      <c r="BA21">
        <v>1.88</v>
      </c>
      <c r="BB21" t="s">
        <v>339</v>
      </c>
      <c r="BC21">
        <v>2</v>
      </c>
      <c r="BD21" t="b">
        <v>0</v>
      </c>
      <c r="BE21">
        <v>1750083589.75</v>
      </c>
      <c r="BF21">
        <v>72.101643333333342</v>
      </c>
      <c r="BG21">
        <v>75.010109999999983</v>
      </c>
      <c r="BH21">
        <v>25.099193333333339</v>
      </c>
      <c r="BI21">
        <v>19.525279999999999</v>
      </c>
      <c r="BJ21">
        <v>73.095060000000004</v>
      </c>
      <c r="BK21">
        <v>24.937483333333329</v>
      </c>
      <c r="BL21">
        <v>400.01426666666669</v>
      </c>
      <c r="BM21">
        <v>102.6379666666667</v>
      </c>
      <c r="BN21">
        <v>0.10001794999999999</v>
      </c>
      <c r="BO21">
        <v>26.974363333333351</v>
      </c>
      <c r="BP21">
        <v>26.395620000000001</v>
      </c>
      <c r="BQ21">
        <v>999.9000000000002</v>
      </c>
      <c r="BR21">
        <v>0</v>
      </c>
      <c r="BS21">
        <v>0</v>
      </c>
      <c r="BT21">
        <v>9997.7000000000007</v>
      </c>
      <c r="BU21">
        <v>936.02949999999998</v>
      </c>
      <c r="BV21">
        <v>16.778759999999998</v>
      </c>
      <c r="BW21">
        <v>-2.908469666666667</v>
      </c>
      <c r="BX21">
        <v>73.957930000000005</v>
      </c>
      <c r="BY21">
        <v>76.50387666666667</v>
      </c>
      <c r="BZ21">
        <v>5.5739286666666663</v>
      </c>
      <c r="CA21">
        <v>75.010109999999983</v>
      </c>
      <c r="CB21">
        <v>19.525279999999999</v>
      </c>
      <c r="CC21">
        <v>2.5761336666666672</v>
      </c>
      <c r="CD21">
        <v>2.0040373333333328</v>
      </c>
      <c r="CE21">
        <v>21.51567</v>
      </c>
      <c r="CF21">
        <v>17.476263333333339</v>
      </c>
      <c r="CG21">
        <v>1750082558</v>
      </c>
      <c r="CH21" t="s">
        <v>340</v>
      </c>
      <c r="CI21">
        <v>1750082558</v>
      </c>
      <c r="CJ21">
        <v>1750082553</v>
      </c>
      <c r="CK21">
        <v>5</v>
      </c>
      <c r="CL21">
        <v>-0.48299999999999998</v>
      </c>
      <c r="CM21">
        <v>-2.4E-2</v>
      </c>
      <c r="CN21">
        <v>2.1739999999999999</v>
      </c>
      <c r="CO21">
        <v>0.16200000000000001</v>
      </c>
      <c r="CP21">
        <v>450</v>
      </c>
      <c r="CQ21">
        <v>19</v>
      </c>
      <c r="CR21">
        <v>0.03</v>
      </c>
      <c r="CS21">
        <v>0.02</v>
      </c>
      <c r="CT21">
        <v>-2.9013521951219512</v>
      </c>
      <c r="CU21">
        <v>-0.1566940766550588</v>
      </c>
      <c r="CV21">
        <v>2.1803615667064211E-2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5.5719882926829269</v>
      </c>
      <c r="DC21">
        <v>3.0263623693385509E-2</v>
      </c>
      <c r="DD21">
        <v>3.5171710517146429E-3</v>
      </c>
      <c r="DE21">
        <v>1</v>
      </c>
      <c r="DF21">
        <v>2</v>
      </c>
      <c r="DG21">
        <v>2</v>
      </c>
      <c r="DH21" t="s">
        <v>341</v>
      </c>
      <c r="DI21">
        <v>3.0243899999999999</v>
      </c>
      <c r="DJ21">
        <v>2.6913800000000001</v>
      </c>
      <c r="DK21">
        <v>2.06281E-2</v>
      </c>
      <c r="DL21">
        <v>2.1252900000000002E-2</v>
      </c>
      <c r="DM21">
        <v>0.125279</v>
      </c>
      <c r="DN21">
        <v>0.105861</v>
      </c>
      <c r="DO21">
        <v>27279.200000000001</v>
      </c>
      <c r="DP21">
        <v>18402.2</v>
      </c>
      <c r="DQ21">
        <v>26429</v>
      </c>
      <c r="DR21">
        <v>17088.7</v>
      </c>
      <c r="DS21">
        <v>32876.400000000001</v>
      </c>
      <c r="DT21">
        <v>19929.7</v>
      </c>
      <c r="DU21">
        <v>38504.199999999997</v>
      </c>
      <c r="DV21">
        <v>22615.200000000001</v>
      </c>
      <c r="DW21">
        <v>1.80508</v>
      </c>
      <c r="DX21">
        <v>2.19808</v>
      </c>
      <c r="DY21">
        <v>6.8053600000000006E-2</v>
      </c>
      <c r="DZ21">
        <v>0</v>
      </c>
      <c r="EA21">
        <v>25.270600000000002</v>
      </c>
      <c r="EB21">
        <v>999.9</v>
      </c>
      <c r="EC21">
        <v>53.8</v>
      </c>
      <c r="ED21">
        <v>31.6</v>
      </c>
      <c r="EE21">
        <v>24.4693</v>
      </c>
      <c r="EF21">
        <v>62.7224</v>
      </c>
      <c r="EG21">
        <v>34.819699999999997</v>
      </c>
      <c r="EH21">
        <v>1</v>
      </c>
      <c r="EI21">
        <v>5.0091499999999997E-2</v>
      </c>
      <c r="EJ21">
        <v>6.0991299999999998E-2</v>
      </c>
      <c r="EK21">
        <v>20.327100000000002</v>
      </c>
      <c r="EL21">
        <v>5.2516699999999998</v>
      </c>
      <c r="EM21">
        <v>11.962</v>
      </c>
      <c r="EN21">
        <v>4.98956</v>
      </c>
      <c r="EO21">
        <v>3.29128</v>
      </c>
      <c r="EP21">
        <v>9999</v>
      </c>
      <c r="EQ21">
        <v>9999</v>
      </c>
      <c r="ER21">
        <v>9999</v>
      </c>
      <c r="ES21">
        <v>999.9</v>
      </c>
      <c r="ET21">
        <v>4.9726999999999997</v>
      </c>
      <c r="EU21">
        <v>1.87195</v>
      </c>
      <c r="EV21">
        <v>1.87218</v>
      </c>
      <c r="EW21">
        <v>1.87724</v>
      </c>
      <c r="EX21">
        <v>1.87134</v>
      </c>
      <c r="EY21">
        <v>1.87212</v>
      </c>
      <c r="EZ21">
        <v>1.8717999999999999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342</v>
      </c>
      <c r="FG21" t="s">
        <v>343</v>
      </c>
      <c r="FH21" t="s">
        <v>344</v>
      </c>
      <c r="FI21" t="s">
        <v>344</v>
      </c>
      <c r="FJ21" t="s">
        <v>344</v>
      </c>
      <c r="FK21" t="s">
        <v>344</v>
      </c>
      <c r="FL21">
        <v>0</v>
      </c>
      <c r="FM21">
        <v>100</v>
      </c>
      <c r="FN21">
        <v>100</v>
      </c>
      <c r="FO21">
        <v>-0.99399999999999999</v>
      </c>
      <c r="FP21">
        <v>0.1618</v>
      </c>
      <c r="FQ21">
        <v>-1.5635263302789351</v>
      </c>
      <c r="FR21">
        <v>7.6898218637449396E-3</v>
      </c>
      <c r="FS21">
        <v>1.5097418776848419E-6</v>
      </c>
      <c r="FT21">
        <v>-9.8458676114205118E-11</v>
      </c>
      <c r="FU21">
        <v>0.1617099999999958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17.3</v>
      </c>
      <c r="GD21">
        <v>17.399999999999999</v>
      </c>
      <c r="GE21">
        <v>0.31127899999999997</v>
      </c>
      <c r="GF21">
        <v>2.66235</v>
      </c>
      <c r="GG21">
        <v>1.7981</v>
      </c>
      <c r="GH21">
        <v>2.3718300000000001</v>
      </c>
      <c r="GI21">
        <v>1.5979000000000001</v>
      </c>
      <c r="GJ21">
        <v>2.5866699999999998</v>
      </c>
      <c r="GK21">
        <v>35.267099999999999</v>
      </c>
      <c r="GL21">
        <v>24.1663</v>
      </c>
      <c r="GM21">
        <v>18</v>
      </c>
      <c r="GN21">
        <v>368.87</v>
      </c>
      <c r="GO21">
        <v>679.92200000000003</v>
      </c>
      <c r="GP21">
        <v>25.830200000000001</v>
      </c>
      <c r="GQ21">
        <v>27.7195</v>
      </c>
      <c r="GR21">
        <v>30.0002</v>
      </c>
      <c r="GS21">
        <v>27.637899999999998</v>
      </c>
      <c r="GT21">
        <v>27.6553</v>
      </c>
      <c r="GU21">
        <v>6.19773</v>
      </c>
      <c r="GV21">
        <v>25.7301</v>
      </c>
      <c r="GW21">
        <v>0</v>
      </c>
      <c r="GX21">
        <v>25.83</v>
      </c>
      <c r="GY21">
        <v>75</v>
      </c>
      <c r="GZ21">
        <v>19.5</v>
      </c>
      <c r="HA21">
        <v>100.43300000000001</v>
      </c>
      <c r="HB21">
        <v>70.631</v>
      </c>
    </row>
    <row r="22" spans="1:210" x14ac:dyDescent="0.3">
      <c r="A22">
        <v>6</v>
      </c>
      <c r="B22">
        <v>1750083778</v>
      </c>
      <c r="C22">
        <v>902.5</v>
      </c>
      <c r="D22" t="s">
        <v>353</v>
      </c>
      <c r="E22" t="s">
        <v>354</v>
      </c>
      <c r="F22">
        <v>15</v>
      </c>
      <c r="G22">
        <v>1750083770.25</v>
      </c>
      <c r="H22">
        <f t="shared" si="0"/>
        <v>2.5677576205576473E-3</v>
      </c>
      <c r="I22">
        <f t="shared" si="1"/>
        <v>2.5677576205576473</v>
      </c>
      <c r="J22">
        <f t="shared" si="2"/>
        <v>20.159053663006897</v>
      </c>
      <c r="K22">
        <f t="shared" si="3"/>
        <v>402.33229999999998</v>
      </c>
      <c r="L22">
        <f t="shared" si="4"/>
        <v>290.17525772893197</v>
      </c>
      <c r="M22">
        <f t="shared" si="5"/>
        <v>29.812979544893764</v>
      </c>
      <c r="N22">
        <f t="shared" si="6"/>
        <v>41.33613845655637</v>
      </c>
      <c r="O22">
        <f t="shared" si="7"/>
        <v>0.3185683260488551</v>
      </c>
      <c r="P22">
        <f t="shared" si="8"/>
        <v>2.4364853395851989</v>
      </c>
      <c r="Q22">
        <f t="shared" si="9"/>
        <v>0.29741146203826724</v>
      </c>
      <c r="R22">
        <f t="shared" si="10"/>
        <v>0.1876667663138134</v>
      </c>
      <c r="S22">
        <f t="shared" si="11"/>
        <v>177.82804266666665</v>
      </c>
      <c r="T22">
        <f t="shared" si="12"/>
        <v>27.433957276562481</v>
      </c>
      <c r="U22">
        <f t="shared" si="13"/>
        <v>26.365279999999998</v>
      </c>
      <c r="V22">
        <f t="shared" si="14"/>
        <v>3.4478845348477503</v>
      </c>
      <c r="W22">
        <f t="shared" si="15"/>
        <v>72.352151199742821</v>
      </c>
      <c r="X22">
        <f t="shared" si="16"/>
        <v>2.5868995869158802</v>
      </c>
      <c r="Y22">
        <f t="shared" si="17"/>
        <v>3.5754287108536942</v>
      </c>
      <c r="Z22">
        <f t="shared" si="18"/>
        <v>0.86098494793187008</v>
      </c>
      <c r="AA22">
        <f t="shared" si="19"/>
        <v>-113.23811106659224</v>
      </c>
      <c r="AB22">
        <f t="shared" si="20"/>
        <v>81.041710757054858</v>
      </c>
      <c r="AC22">
        <f t="shared" si="21"/>
        <v>7.1548844407375984</v>
      </c>
      <c r="AD22">
        <f t="shared" si="22"/>
        <v>152.78652679786686</v>
      </c>
      <c r="AE22">
        <f t="shared" si="23"/>
        <v>20.159053663006897</v>
      </c>
      <c r="AF22">
        <f t="shared" si="24"/>
        <v>2.5677576205576473</v>
      </c>
      <c r="AG22">
        <f t="shared" si="25"/>
        <v>20.172698340211667</v>
      </c>
      <c r="AH22">
        <v>458.94915683505059</v>
      </c>
      <c r="AI22">
        <v>412.67150909090901</v>
      </c>
      <c r="AJ22">
        <v>-1.4448290860551911E-3</v>
      </c>
      <c r="AK22">
        <v>83.944004845823216</v>
      </c>
      <c r="AL22">
        <f t="shared" si="26"/>
        <v>2.5689082242883927</v>
      </c>
      <c r="AM22">
        <v>19.546921035605429</v>
      </c>
      <c r="AN22">
        <v>25.180983681535871</v>
      </c>
      <c r="AO22">
        <v>2.6561936598184829E-6</v>
      </c>
      <c r="AP22">
        <v>90.567877275144056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54281.366894148414</v>
      </c>
      <c r="AV22">
        <f t="shared" si="30"/>
        <v>935.93706666666662</v>
      </c>
      <c r="AW22">
        <f t="shared" si="31"/>
        <v>748.7496533333333</v>
      </c>
      <c r="AX22">
        <f t="shared" si="32"/>
        <v>0.8</v>
      </c>
      <c r="AY22">
        <f t="shared" si="33"/>
        <v>0.19</v>
      </c>
      <c r="AZ22">
        <v>9</v>
      </c>
      <c r="BA22">
        <v>1.88</v>
      </c>
      <c r="BB22" t="s">
        <v>339</v>
      </c>
      <c r="BC22">
        <v>2</v>
      </c>
      <c r="BD22" t="b">
        <v>0</v>
      </c>
      <c r="BE22">
        <v>1750083770.25</v>
      </c>
      <c r="BF22">
        <v>402.33229999999998</v>
      </c>
      <c r="BG22">
        <v>450.01116666666661</v>
      </c>
      <c r="BH22">
        <v>25.178773333333329</v>
      </c>
      <c r="BI22">
        <v>19.547196666666672</v>
      </c>
      <c r="BJ22">
        <v>400.57960000000003</v>
      </c>
      <c r="BK22">
        <v>25.01707</v>
      </c>
      <c r="BL22">
        <v>400.0290333333333</v>
      </c>
      <c r="BM22">
        <v>102.6413</v>
      </c>
      <c r="BN22">
        <v>9.9987379999999987E-2</v>
      </c>
      <c r="BO22">
        <v>26.982243333333329</v>
      </c>
      <c r="BP22">
        <v>26.365279999999998</v>
      </c>
      <c r="BQ22">
        <v>999.9000000000002</v>
      </c>
      <c r="BR22">
        <v>0</v>
      </c>
      <c r="BS22">
        <v>0</v>
      </c>
      <c r="BT22">
        <v>10000.83333333333</v>
      </c>
      <c r="BU22">
        <v>935.93706666666662</v>
      </c>
      <c r="BV22">
        <v>16.797123333333332</v>
      </c>
      <c r="BW22">
        <v>-47.678703333333331</v>
      </c>
      <c r="BX22">
        <v>412.72426666666672</v>
      </c>
      <c r="BY22">
        <v>458.9828333333333</v>
      </c>
      <c r="BZ22">
        <v>5.6315719999999994</v>
      </c>
      <c r="CA22">
        <v>450.01116666666661</v>
      </c>
      <c r="CB22">
        <v>19.547196666666672</v>
      </c>
      <c r="CC22">
        <v>2.5843786666666668</v>
      </c>
      <c r="CD22">
        <v>2.0063476666666671</v>
      </c>
      <c r="CE22">
        <v>21.567879999999999</v>
      </c>
      <c r="CF22">
        <v>17.49452333333333</v>
      </c>
      <c r="CG22">
        <v>1750082558</v>
      </c>
      <c r="CH22" t="s">
        <v>340</v>
      </c>
      <c r="CI22">
        <v>1750082558</v>
      </c>
      <c r="CJ22">
        <v>1750082553</v>
      </c>
      <c r="CK22">
        <v>5</v>
      </c>
      <c r="CL22">
        <v>-0.48299999999999998</v>
      </c>
      <c r="CM22">
        <v>-2.4E-2</v>
      </c>
      <c r="CN22">
        <v>2.1739999999999999</v>
      </c>
      <c r="CO22">
        <v>0.16200000000000001</v>
      </c>
      <c r="CP22">
        <v>450</v>
      </c>
      <c r="CQ22">
        <v>19</v>
      </c>
      <c r="CR22">
        <v>0.03</v>
      </c>
      <c r="CS22">
        <v>0.02</v>
      </c>
      <c r="CT22">
        <v>-47.679543902439022</v>
      </c>
      <c r="CU22">
        <v>0.13093797909410021</v>
      </c>
      <c r="CV22">
        <v>3.7103658676874367E-2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5.6301221951219516</v>
      </c>
      <c r="DC22">
        <v>2.6240696864115409E-2</v>
      </c>
      <c r="DD22">
        <v>2.795551790896654E-3</v>
      </c>
      <c r="DE22">
        <v>1</v>
      </c>
      <c r="DF22">
        <v>2</v>
      </c>
      <c r="DG22">
        <v>2</v>
      </c>
      <c r="DH22" t="s">
        <v>341</v>
      </c>
      <c r="DI22">
        <v>3.0245299999999999</v>
      </c>
      <c r="DJ22">
        <v>2.69116</v>
      </c>
      <c r="DK22">
        <v>9.4596700000000006E-2</v>
      </c>
      <c r="DL22">
        <v>0.10377500000000001</v>
      </c>
      <c r="DM22">
        <v>0.125526</v>
      </c>
      <c r="DN22">
        <v>0.105943</v>
      </c>
      <c r="DO22">
        <v>25216.799999999999</v>
      </c>
      <c r="DP22">
        <v>16849.5</v>
      </c>
      <c r="DQ22">
        <v>26426.799999999999</v>
      </c>
      <c r="DR22">
        <v>17087.5</v>
      </c>
      <c r="DS22">
        <v>32866.400000000001</v>
      </c>
      <c r="DT22">
        <v>19928.3</v>
      </c>
      <c r="DU22">
        <v>38501</v>
      </c>
      <c r="DV22">
        <v>22614.2</v>
      </c>
      <c r="DW22">
        <v>1.8046</v>
      </c>
      <c r="DX22">
        <v>2.1974999999999998</v>
      </c>
      <c r="DY22">
        <v>6.6369800000000007E-2</v>
      </c>
      <c r="DZ22">
        <v>0</v>
      </c>
      <c r="EA22">
        <v>25.2713</v>
      </c>
      <c r="EB22">
        <v>999.9</v>
      </c>
      <c r="EC22">
        <v>53.7</v>
      </c>
      <c r="ED22">
        <v>31.7</v>
      </c>
      <c r="EE22">
        <v>24.557400000000001</v>
      </c>
      <c r="EF22">
        <v>62.712400000000002</v>
      </c>
      <c r="EG22">
        <v>34.366999999999997</v>
      </c>
      <c r="EH22">
        <v>1</v>
      </c>
      <c r="EI22">
        <v>5.4122000000000003E-2</v>
      </c>
      <c r="EJ22">
        <v>7.4681899999999996E-2</v>
      </c>
      <c r="EK22">
        <v>20.326799999999999</v>
      </c>
      <c r="EL22">
        <v>5.2531100000000004</v>
      </c>
      <c r="EM22">
        <v>11.962</v>
      </c>
      <c r="EN22">
        <v>4.9896799999999999</v>
      </c>
      <c r="EO22">
        <v>3.2910200000000001</v>
      </c>
      <c r="EP22">
        <v>9999</v>
      </c>
      <c r="EQ22">
        <v>9999</v>
      </c>
      <c r="ER22">
        <v>9999</v>
      </c>
      <c r="ES22">
        <v>999.9</v>
      </c>
      <c r="ET22">
        <v>4.9726999999999997</v>
      </c>
      <c r="EU22">
        <v>1.87195</v>
      </c>
      <c r="EV22">
        <v>1.87219</v>
      </c>
      <c r="EW22">
        <v>1.87723</v>
      </c>
      <c r="EX22">
        <v>1.87134</v>
      </c>
      <c r="EY22">
        <v>1.87212</v>
      </c>
      <c r="EZ22">
        <v>1.8717999999999999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342</v>
      </c>
      <c r="FG22" t="s">
        <v>343</v>
      </c>
      <c r="FH22" t="s">
        <v>344</v>
      </c>
      <c r="FI22" t="s">
        <v>344</v>
      </c>
      <c r="FJ22" t="s">
        <v>344</v>
      </c>
      <c r="FK22" t="s">
        <v>344</v>
      </c>
      <c r="FL22">
        <v>0</v>
      </c>
      <c r="FM22">
        <v>100</v>
      </c>
      <c r="FN22">
        <v>100</v>
      </c>
      <c r="FO22">
        <v>1.752</v>
      </c>
      <c r="FP22">
        <v>0.16170000000000001</v>
      </c>
      <c r="FQ22">
        <v>-1.5635263302789351</v>
      </c>
      <c r="FR22">
        <v>7.6898218637449396E-3</v>
      </c>
      <c r="FS22">
        <v>1.5097418776848419E-6</v>
      </c>
      <c r="FT22">
        <v>-9.8458676114205118E-11</v>
      </c>
      <c r="FU22">
        <v>0.1617099999999958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20.3</v>
      </c>
      <c r="GD22">
        <v>20.399999999999999</v>
      </c>
      <c r="GE22">
        <v>1.09985</v>
      </c>
      <c r="GF22">
        <v>2.65503</v>
      </c>
      <c r="GG22">
        <v>1.7981</v>
      </c>
      <c r="GH22">
        <v>2.3718300000000001</v>
      </c>
      <c r="GI22">
        <v>1.5979000000000001</v>
      </c>
      <c r="GJ22">
        <v>2.4035600000000001</v>
      </c>
      <c r="GK22">
        <v>35.3596</v>
      </c>
      <c r="GL22">
        <v>24.157499999999999</v>
      </c>
      <c r="GM22">
        <v>18</v>
      </c>
      <c r="GN22">
        <v>368.99599999999998</v>
      </c>
      <c r="GO22">
        <v>680.13300000000004</v>
      </c>
      <c r="GP22">
        <v>25.83</v>
      </c>
      <c r="GQ22">
        <v>27.775400000000001</v>
      </c>
      <c r="GR22">
        <v>30.000299999999999</v>
      </c>
      <c r="GS22">
        <v>27.694299999999998</v>
      </c>
      <c r="GT22">
        <v>27.712</v>
      </c>
      <c r="GU22">
        <v>21.982199999999999</v>
      </c>
      <c r="GV22">
        <v>26.004899999999999</v>
      </c>
      <c r="GW22">
        <v>0</v>
      </c>
      <c r="GX22">
        <v>25.83</v>
      </c>
      <c r="GY22">
        <v>450</v>
      </c>
      <c r="GZ22">
        <v>19.5</v>
      </c>
      <c r="HA22">
        <v>100.425</v>
      </c>
      <c r="HB22">
        <v>70.627099999999999</v>
      </c>
    </row>
    <row r="23" spans="1:210" x14ac:dyDescent="0.3">
      <c r="A23">
        <v>7</v>
      </c>
      <c r="B23">
        <v>1750083958.5999999</v>
      </c>
      <c r="C23">
        <v>1083.099999904633</v>
      </c>
      <c r="D23" t="s">
        <v>355</v>
      </c>
      <c r="E23" t="s">
        <v>356</v>
      </c>
      <c r="F23">
        <v>15</v>
      </c>
      <c r="G23">
        <v>1750083950.849999</v>
      </c>
      <c r="H23">
        <f t="shared" si="0"/>
        <v>2.5814697135487924E-3</v>
      </c>
      <c r="I23">
        <f t="shared" si="1"/>
        <v>2.5814697135487923</v>
      </c>
      <c r="J23">
        <f t="shared" si="2"/>
        <v>20.23380627460844</v>
      </c>
      <c r="K23">
        <f t="shared" si="3"/>
        <v>402.14463333333339</v>
      </c>
      <c r="L23">
        <f t="shared" si="4"/>
        <v>289.43476995778525</v>
      </c>
      <c r="M23">
        <f t="shared" si="5"/>
        <v>29.736857250529326</v>
      </c>
      <c r="N23">
        <f t="shared" si="6"/>
        <v>41.316796725023643</v>
      </c>
      <c r="O23">
        <f t="shared" si="7"/>
        <v>0.31815557382403226</v>
      </c>
      <c r="P23">
        <f t="shared" si="8"/>
        <v>2.4372835069512089</v>
      </c>
      <c r="Q23">
        <f t="shared" si="9"/>
        <v>0.29705799001717698</v>
      </c>
      <c r="R23">
        <f t="shared" si="10"/>
        <v>0.18744102143279504</v>
      </c>
      <c r="S23">
        <f t="shared" si="11"/>
        <v>177.81443233333331</v>
      </c>
      <c r="T23">
        <f t="shared" si="12"/>
        <v>27.443846574790197</v>
      </c>
      <c r="U23">
        <f t="shared" si="13"/>
        <v>26.382376666666669</v>
      </c>
      <c r="V23">
        <f t="shared" si="14"/>
        <v>3.4513646496823576</v>
      </c>
      <c r="W23">
        <f t="shared" si="15"/>
        <v>72.23136311963502</v>
      </c>
      <c r="X23">
        <f t="shared" si="16"/>
        <v>2.5847591184636496</v>
      </c>
      <c r="Y23">
        <f t="shared" si="17"/>
        <v>3.5784443305916533</v>
      </c>
      <c r="Z23">
        <f t="shared" si="18"/>
        <v>0.86660553121870798</v>
      </c>
      <c r="AA23">
        <f t="shared" si="19"/>
        <v>-113.84281436750175</v>
      </c>
      <c r="AB23">
        <f t="shared" si="20"/>
        <v>80.707788396280534</v>
      </c>
      <c r="AC23">
        <f t="shared" si="21"/>
        <v>7.1241914922290981</v>
      </c>
      <c r="AD23">
        <f t="shared" si="22"/>
        <v>151.80359785434121</v>
      </c>
      <c r="AE23">
        <f t="shared" si="23"/>
        <v>20.23380627460844</v>
      </c>
      <c r="AF23">
        <f t="shared" si="24"/>
        <v>2.5814697135487923</v>
      </c>
      <c r="AG23">
        <f t="shared" si="25"/>
        <v>20.230019588162222</v>
      </c>
      <c r="AH23">
        <v>458.90938899220419</v>
      </c>
      <c r="AI23">
        <v>412.49079393939388</v>
      </c>
      <c r="AJ23">
        <v>-9.2937641410562665E-5</v>
      </c>
      <c r="AK23">
        <v>83.944004845823216</v>
      </c>
      <c r="AL23">
        <f t="shared" si="26"/>
        <v>2.5794983725688039</v>
      </c>
      <c r="AM23">
        <v>19.495931174621148</v>
      </c>
      <c r="AN23">
        <v>25.15343099943534</v>
      </c>
      <c r="AO23">
        <v>-7.5959823507184115E-7</v>
      </c>
      <c r="AP23">
        <v>90.567877275144056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54305.626058477457</v>
      </c>
      <c r="AV23">
        <f t="shared" si="30"/>
        <v>935.86543333333327</v>
      </c>
      <c r="AW23">
        <f t="shared" si="31"/>
        <v>748.69234666666671</v>
      </c>
      <c r="AX23">
        <f t="shared" si="32"/>
        <v>0.8</v>
      </c>
      <c r="AY23">
        <f t="shared" si="33"/>
        <v>0.19</v>
      </c>
      <c r="AZ23">
        <v>9</v>
      </c>
      <c r="BA23">
        <v>1.88</v>
      </c>
      <c r="BB23" t="s">
        <v>339</v>
      </c>
      <c r="BC23">
        <v>2</v>
      </c>
      <c r="BD23" t="b">
        <v>0</v>
      </c>
      <c r="BE23">
        <v>1750083950.849999</v>
      </c>
      <c r="BF23">
        <v>402.14463333333339</v>
      </c>
      <c r="BG23">
        <v>450.00316666666657</v>
      </c>
      <c r="BH23">
        <v>25.157976666666659</v>
      </c>
      <c r="BI23">
        <v>19.49618666666667</v>
      </c>
      <c r="BJ23">
        <v>400.39350000000002</v>
      </c>
      <c r="BK23">
        <v>24.996269999999999</v>
      </c>
      <c r="BL23">
        <v>400.02766666666668</v>
      </c>
      <c r="BM23">
        <v>102.6410666666666</v>
      </c>
      <c r="BN23">
        <v>0.10006998</v>
      </c>
      <c r="BO23">
        <v>26.996596666666669</v>
      </c>
      <c r="BP23">
        <v>26.382376666666669</v>
      </c>
      <c r="BQ23">
        <v>999.9000000000002</v>
      </c>
      <c r="BR23">
        <v>0</v>
      </c>
      <c r="BS23">
        <v>0</v>
      </c>
      <c r="BT23">
        <v>10006.01666666667</v>
      </c>
      <c r="BU23">
        <v>935.86543333333327</v>
      </c>
      <c r="BV23">
        <v>16.76996999999999</v>
      </c>
      <c r="BW23">
        <v>-47.858533333333327</v>
      </c>
      <c r="BX23">
        <v>412.52286666666669</v>
      </c>
      <c r="BY23">
        <v>458.95093333333341</v>
      </c>
      <c r="BZ23">
        <v>5.6617916666666668</v>
      </c>
      <c r="CA23">
        <v>450.00316666666657</v>
      </c>
      <c r="CB23">
        <v>19.49618666666667</v>
      </c>
      <c r="CC23">
        <v>2.582240666666666</v>
      </c>
      <c r="CD23">
        <v>2.0011079999999999</v>
      </c>
      <c r="CE23">
        <v>21.554363333333331</v>
      </c>
      <c r="CF23">
        <v>17.453103333333331</v>
      </c>
      <c r="CG23">
        <v>1750082558</v>
      </c>
      <c r="CH23" t="s">
        <v>340</v>
      </c>
      <c r="CI23">
        <v>1750082558</v>
      </c>
      <c r="CJ23">
        <v>1750082553</v>
      </c>
      <c r="CK23">
        <v>5</v>
      </c>
      <c r="CL23">
        <v>-0.48299999999999998</v>
      </c>
      <c r="CM23">
        <v>-2.4E-2</v>
      </c>
      <c r="CN23">
        <v>2.1739999999999999</v>
      </c>
      <c r="CO23">
        <v>0.16200000000000001</v>
      </c>
      <c r="CP23">
        <v>450</v>
      </c>
      <c r="CQ23">
        <v>19</v>
      </c>
      <c r="CR23">
        <v>0.03</v>
      </c>
      <c r="CS23">
        <v>0.02</v>
      </c>
      <c r="CT23">
        <v>-47.853557500000001</v>
      </c>
      <c r="CU23">
        <v>-7.932833020545562E-3</v>
      </c>
      <c r="CV23">
        <v>2.4736611403949761E-2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5.6631079999999994</v>
      </c>
      <c r="DC23">
        <v>-2.7094559099458401E-2</v>
      </c>
      <c r="DD23">
        <v>3.208509155355537E-3</v>
      </c>
      <c r="DE23">
        <v>1</v>
      </c>
      <c r="DF23">
        <v>2</v>
      </c>
      <c r="DG23">
        <v>2</v>
      </c>
      <c r="DH23" t="s">
        <v>341</v>
      </c>
      <c r="DI23">
        <v>3.02467</v>
      </c>
      <c r="DJ23">
        <v>2.6913299999999998</v>
      </c>
      <c r="DK23">
        <v>9.45574E-2</v>
      </c>
      <c r="DL23">
        <v>0.103759</v>
      </c>
      <c r="DM23">
        <v>0.125421</v>
      </c>
      <c r="DN23">
        <v>0.105738</v>
      </c>
      <c r="DO23">
        <v>25215.7</v>
      </c>
      <c r="DP23">
        <v>16850.400000000001</v>
      </c>
      <c r="DQ23">
        <v>26424.799999999999</v>
      </c>
      <c r="DR23">
        <v>17088.2</v>
      </c>
      <c r="DS23">
        <v>32868.1</v>
      </c>
      <c r="DT23">
        <v>19934.599999999999</v>
      </c>
      <c r="DU23">
        <v>38497.599999999999</v>
      </c>
      <c r="DV23">
        <v>22616</v>
      </c>
      <c r="DW23">
        <v>1.8044800000000001</v>
      </c>
      <c r="DX23">
        <v>2.1960600000000001</v>
      </c>
      <c r="DY23">
        <v>6.5827399999999994E-2</v>
      </c>
      <c r="DZ23">
        <v>0</v>
      </c>
      <c r="EA23">
        <v>25.302199999999999</v>
      </c>
      <c r="EB23">
        <v>999.9</v>
      </c>
      <c r="EC23">
        <v>53.6</v>
      </c>
      <c r="ED23">
        <v>31.8</v>
      </c>
      <c r="EE23">
        <v>24.654599999999999</v>
      </c>
      <c r="EF23">
        <v>62.889600000000002</v>
      </c>
      <c r="EG23">
        <v>34.415100000000002</v>
      </c>
      <c r="EH23">
        <v>1</v>
      </c>
      <c r="EI23">
        <v>5.7443099999999997E-2</v>
      </c>
      <c r="EJ23">
        <v>8.8801699999999997E-2</v>
      </c>
      <c r="EK23">
        <v>20.327100000000002</v>
      </c>
      <c r="EL23">
        <v>5.25251</v>
      </c>
      <c r="EM23">
        <v>11.962</v>
      </c>
      <c r="EN23">
        <v>4.98956</v>
      </c>
      <c r="EO23">
        <v>3.29114</v>
      </c>
      <c r="EP23">
        <v>9999</v>
      </c>
      <c r="EQ23">
        <v>9999</v>
      </c>
      <c r="ER23">
        <v>9999</v>
      </c>
      <c r="ES23">
        <v>999.9</v>
      </c>
      <c r="ET23">
        <v>4.9727100000000002</v>
      </c>
      <c r="EU23">
        <v>1.87195</v>
      </c>
      <c r="EV23">
        <v>1.87222</v>
      </c>
      <c r="EW23">
        <v>1.87727</v>
      </c>
      <c r="EX23">
        <v>1.8713500000000001</v>
      </c>
      <c r="EY23">
        <v>1.87212</v>
      </c>
      <c r="EZ23">
        <v>1.8717999999999999</v>
      </c>
      <c r="FA23">
        <v>1.8687400000000001</v>
      </c>
      <c r="FB23">
        <v>0</v>
      </c>
      <c r="FC23">
        <v>0</v>
      </c>
      <c r="FD23">
        <v>0</v>
      </c>
      <c r="FE23">
        <v>0</v>
      </c>
      <c r="FF23" t="s">
        <v>342</v>
      </c>
      <c r="FG23" t="s">
        <v>343</v>
      </c>
      <c r="FH23" t="s">
        <v>344</v>
      </c>
      <c r="FI23" t="s">
        <v>344</v>
      </c>
      <c r="FJ23" t="s">
        <v>344</v>
      </c>
      <c r="FK23" t="s">
        <v>344</v>
      </c>
      <c r="FL23">
        <v>0</v>
      </c>
      <c r="FM23">
        <v>100</v>
      </c>
      <c r="FN23">
        <v>100</v>
      </c>
      <c r="FO23">
        <v>1.7509999999999999</v>
      </c>
      <c r="FP23">
        <v>0.16170000000000001</v>
      </c>
      <c r="FQ23">
        <v>-1.5635263302789351</v>
      </c>
      <c r="FR23">
        <v>7.6898218637449396E-3</v>
      </c>
      <c r="FS23">
        <v>1.5097418776848419E-6</v>
      </c>
      <c r="FT23">
        <v>-9.8458676114205118E-11</v>
      </c>
      <c r="FU23">
        <v>0.1617099999999958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23.3</v>
      </c>
      <c r="GD23">
        <v>23.4</v>
      </c>
      <c r="GE23">
        <v>1.09985</v>
      </c>
      <c r="GF23">
        <v>2.6415999999999999</v>
      </c>
      <c r="GG23">
        <v>1.7981</v>
      </c>
      <c r="GH23">
        <v>2.3718300000000001</v>
      </c>
      <c r="GI23">
        <v>1.5979000000000001</v>
      </c>
      <c r="GJ23">
        <v>2.52075</v>
      </c>
      <c r="GK23">
        <v>35.405900000000003</v>
      </c>
      <c r="GL23">
        <v>24.1663</v>
      </c>
      <c r="GM23">
        <v>18</v>
      </c>
      <c r="GN23">
        <v>369.26</v>
      </c>
      <c r="GO23">
        <v>679.49900000000002</v>
      </c>
      <c r="GP23">
        <v>25.83</v>
      </c>
      <c r="GQ23">
        <v>27.8231</v>
      </c>
      <c r="GR23">
        <v>30.0001</v>
      </c>
      <c r="GS23">
        <v>27.743600000000001</v>
      </c>
      <c r="GT23">
        <v>27.761800000000001</v>
      </c>
      <c r="GU23">
        <v>21.979099999999999</v>
      </c>
      <c r="GV23">
        <v>26.276800000000001</v>
      </c>
      <c r="GW23">
        <v>0</v>
      </c>
      <c r="GX23">
        <v>25.83</v>
      </c>
      <c r="GY23">
        <v>450</v>
      </c>
      <c r="GZ23">
        <v>19.5</v>
      </c>
      <c r="HA23">
        <v>100.416</v>
      </c>
      <c r="HB23">
        <v>70.631500000000003</v>
      </c>
    </row>
    <row r="24" spans="1:210" x14ac:dyDescent="0.3">
      <c r="A24">
        <v>8</v>
      </c>
      <c r="B24">
        <v>1750084139.0999999</v>
      </c>
      <c r="C24">
        <v>1263.599999904633</v>
      </c>
      <c r="D24" t="s">
        <v>357</v>
      </c>
      <c r="E24" t="s">
        <v>358</v>
      </c>
      <c r="F24">
        <v>15</v>
      </c>
      <c r="G24">
        <v>1750084131.349999</v>
      </c>
      <c r="H24">
        <f t="shared" si="0"/>
        <v>2.5245181276711283E-3</v>
      </c>
      <c r="I24">
        <f t="shared" si="1"/>
        <v>2.5245181276711284</v>
      </c>
      <c r="J24">
        <f t="shared" si="2"/>
        <v>19.974958440581489</v>
      </c>
      <c r="K24">
        <f t="shared" si="3"/>
        <v>402.75586666666669</v>
      </c>
      <c r="L24">
        <f t="shared" si="4"/>
        <v>287.40250420399769</v>
      </c>
      <c r="M24">
        <f t="shared" si="5"/>
        <v>29.52733276641095</v>
      </c>
      <c r="N24">
        <f t="shared" si="6"/>
        <v>41.378576472840237</v>
      </c>
      <c r="O24">
        <f t="shared" si="7"/>
        <v>0.30608634686755093</v>
      </c>
      <c r="P24">
        <f t="shared" si="8"/>
        <v>2.4355921909002038</v>
      </c>
      <c r="Q24">
        <f t="shared" si="9"/>
        <v>0.28649400646878498</v>
      </c>
      <c r="R24">
        <f t="shared" si="10"/>
        <v>0.18071529649984205</v>
      </c>
      <c r="S24">
        <f t="shared" si="11"/>
        <v>177.84041166666668</v>
      </c>
      <c r="T24">
        <f t="shared" si="12"/>
        <v>27.478014682926673</v>
      </c>
      <c r="U24">
        <f t="shared" si="13"/>
        <v>26.405100000000001</v>
      </c>
      <c r="V24">
        <f t="shared" si="14"/>
        <v>3.4559948489966628</v>
      </c>
      <c r="W24">
        <f t="shared" si="15"/>
        <v>71.953803235868875</v>
      </c>
      <c r="X24">
        <f t="shared" si="16"/>
        <v>2.577268147010944</v>
      </c>
      <c r="Y24">
        <f t="shared" si="17"/>
        <v>3.5818372776801035</v>
      </c>
      <c r="Z24">
        <f t="shared" si="18"/>
        <v>0.87872670198571878</v>
      </c>
      <c r="AA24">
        <f t="shared" si="19"/>
        <v>-111.33124943029677</v>
      </c>
      <c r="AB24">
        <f t="shared" si="20"/>
        <v>79.786902750114521</v>
      </c>
      <c r="AC24">
        <f t="shared" si="21"/>
        <v>7.0491650496016094</v>
      </c>
      <c r="AD24">
        <f t="shared" si="22"/>
        <v>153.34523003608604</v>
      </c>
      <c r="AE24">
        <f t="shared" si="23"/>
        <v>19.974958440581489</v>
      </c>
      <c r="AF24">
        <f t="shared" si="24"/>
        <v>2.5245181276711284</v>
      </c>
      <c r="AG24">
        <f t="shared" si="25"/>
        <v>19.890365990183337</v>
      </c>
      <c r="AH24">
        <v>458.96084337157117</v>
      </c>
      <c r="AI24">
        <v>413.18355757575728</v>
      </c>
      <c r="AJ24">
        <v>1.5023011412982311E-2</v>
      </c>
      <c r="AK24">
        <v>83.944004845823216</v>
      </c>
      <c r="AL24">
        <f t="shared" si="26"/>
        <v>2.5240142747873469</v>
      </c>
      <c r="AM24">
        <v>19.547431434625249</v>
      </c>
      <c r="AN24">
        <v>25.084264257481639</v>
      </c>
      <c r="AO24">
        <v>-1.078367362450052E-6</v>
      </c>
      <c r="AP24">
        <v>90.567877275144056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54245.740906611529</v>
      </c>
      <c r="AV24">
        <f t="shared" si="30"/>
        <v>936.00216666666677</v>
      </c>
      <c r="AW24">
        <f t="shared" si="31"/>
        <v>748.80173333333346</v>
      </c>
      <c r="AX24">
        <f t="shared" si="32"/>
        <v>0.8</v>
      </c>
      <c r="AY24">
        <f t="shared" si="33"/>
        <v>0.19</v>
      </c>
      <c r="AZ24">
        <v>9</v>
      </c>
      <c r="BA24">
        <v>1.88</v>
      </c>
      <c r="BB24" t="s">
        <v>339</v>
      </c>
      <c r="BC24">
        <v>2</v>
      </c>
      <c r="BD24" t="b">
        <v>0</v>
      </c>
      <c r="BE24">
        <v>1750084131.349999</v>
      </c>
      <c r="BF24">
        <v>402.75586666666669</v>
      </c>
      <c r="BG24">
        <v>449.98933333333332</v>
      </c>
      <c r="BH24">
        <v>25.085683333333328</v>
      </c>
      <c r="BI24">
        <v>19.547763333333329</v>
      </c>
      <c r="BJ24">
        <v>400.99933333333331</v>
      </c>
      <c r="BK24">
        <v>24.923963333333329</v>
      </c>
      <c r="BL24">
        <v>399.98230000000001</v>
      </c>
      <c r="BM24">
        <v>102.63866666666669</v>
      </c>
      <c r="BN24">
        <v>9.9939763333333334E-2</v>
      </c>
      <c r="BO24">
        <v>27.01273333333333</v>
      </c>
      <c r="BP24">
        <v>26.405100000000001</v>
      </c>
      <c r="BQ24">
        <v>999.9000000000002</v>
      </c>
      <c r="BR24">
        <v>0</v>
      </c>
      <c r="BS24">
        <v>0</v>
      </c>
      <c r="BT24">
        <v>9995.3166666666675</v>
      </c>
      <c r="BU24">
        <v>936.00216666666677</v>
      </c>
      <c r="BV24">
        <v>16.76209999999999</v>
      </c>
      <c r="BW24">
        <v>-47.233576666666671</v>
      </c>
      <c r="BX24">
        <v>413.11913333333342</v>
      </c>
      <c r="BY24">
        <v>458.96109999999987</v>
      </c>
      <c r="BZ24">
        <v>5.537913333333333</v>
      </c>
      <c r="CA24">
        <v>449.98933333333332</v>
      </c>
      <c r="CB24">
        <v>19.547763333333329</v>
      </c>
      <c r="CC24">
        <v>2.574758333333333</v>
      </c>
      <c r="CD24">
        <v>2.0063543333333329</v>
      </c>
      <c r="CE24">
        <v>21.506943333333329</v>
      </c>
      <c r="CF24">
        <v>17.494573333333339</v>
      </c>
      <c r="CG24">
        <v>1750082558</v>
      </c>
      <c r="CH24" t="s">
        <v>340</v>
      </c>
      <c r="CI24">
        <v>1750082558</v>
      </c>
      <c r="CJ24">
        <v>1750082553</v>
      </c>
      <c r="CK24">
        <v>5</v>
      </c>
      <c r="CL24">
        <v>-0.48299999999999998</v>
      </c>
      <c r="CM24">
        <v>-2.4E-2</v>
      </c>
      <c r="CN24">
        <v>2.1739999999999999</v>
      </c>
      <c r="CO24">
        <v>0.16200000000000001</v>
      </c>
      <c r="CP24">
        <v>450</v>
      </c>
      <c r="CQ24">
        <v>19</v>
      </c>
      <c r="CR24">
        <v>0.03</v>
      </c>
      <c r="CS24">
        <v>0.02</v>
      </c>
      <c r="CT24">
        <v>-47.2574325</v>
      </c>
      <c r="CU24">
        <v>0.47091444652914921</v>
      </c>
      <c r="CV24">
        <v>5.0237930826716792E-2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5.5410252499999997</v>
      </c>
      <c r="DC24">
        <v>-5.9367692307695813E-2</v>
      </c>
      <c r="DD24">
        <v>5.7696550969273752E-3</v>
      </c>
      <c r="DE24">
        <v>1</v>
      </c>
      <c r="DF24">
        <v>2</v>
      </c>
      <c r="DG24">
        <v>2</v>
      </c>
      <c r="DH24" t="s">
        <v>341</v>
      </c>
      <c r="DI24">
        <v>3.0242800000000001</v>
      </c>
      <c r="DJ24">
        <v>2.6910099999999999</v>
      </c>
      <c r="DK24">
        <v>9.4665799999999994E-2</v>
      </c>
      <c r="DL24">
        <v>0.103753</v>
      </c>
      <c r="DM24">
        <v>0.12515000000000001</v>
      </c>
      <c r="DN24">
        <v>0.10592500000000001</v>
      </c>
      <c r="DO24">
        <v>25210.3</v>
      </c>
      <c r="DP24">
        <v>16849</v>
      </c>
      <c r="DQ24">
        <v>26422.400000000001</v>
      </c>
      <c r="DR24">
        <v>17086.8</v>
      </c>
      <c r="DS24">
        <v>32876.1</v>
      </c>
      <c r="DT24">
        <v>19929.2</v>
      </c>
      <c r="DU24">
        <v>38494.400000000001</v>
      </c>
      <c r="DV24">
        <v>22614.5</v>
      </c>
      <c r="DW24">
        <v>1.80332</v>
      </c>
      <c r="DX24">
        <v>2.1952400000000001</v>
      </c>
      <c r="DY24">
        <v>6.5115099999999995E-2</v>
      </c>
      <c r="DZ24">
        <v>0</v>
      </c>
      <c r="EA24">
        <v>25.3354</v>
      </c>
      <c r="EB24">
        <v>999.9</v>
      </c>
      <c r="EC24">
        <v>53.6</v>
      </c>
      <c r="ED24">
        <v>31.8</v>
      </c>
      <c r="EE24">
        <v>24.6511</v>
      </c>
      <c r="EF24">
        <v>63.029699999999998</v>
      </c>
      <c r="EG24">
        <v>34.747599999999998</v>
      </c>
      <c r="EH24">
        <v>1</v>
      </c>
      <c r="EI24">
        <v>6.06504E-2</v>
      </c>
      <c r="EJ24">
        <v>0.101658</v>
      </c>
      <c r="EK24">
        <v>20.326699999999999</v>
      </c>
      <c r="EL24">
        <v>5.2529899999999996</v>
      </c>
      <c r="EM24">
        <v>11.962</v>
      </c>
      <c r="EN24">
        <v>4.9894400000000001</v>
      </c>
      <c r="EO24">
        <v>3.2911999999999999</v>
      </c>
      <c r="EP24">
        <v>9999</v>
      </c>
      <c r="EQ24">
        <v>9999</v>
      </c>
      <c r="ER24">
        <v>9999</v>
      </c>
      <c r="ES24">
        <v>999.9</v>
      </c>
      <c r="ET24">
        <v>4.9727100000000002</v>
      </c>
      <c r="EU24">
        <v>1.87195</v>
      </c>
      <c r="EV24">
        <v>1.87222</v>
      </c>
      <c r="EW24">
        <v>1.8772800000000001</v>
      </c>
      <c r="EX24">
        <v>1.87137</v>
      </c>
      <c r="EY24">
        <v>1.8721099999999999</v>
      </c>
      <c r="EZ24">
        <v>1.8717999999999999</v>
      </c>
      <c r="FA24">
        <v>1.8687400000000001</v>
      </c>
      <c r="FB24">
        <v>0</v>
      </c>
      <c r="FC24">
        <v>0</v>
      </c>
      <c r="FD24">
        <v>0</v>
      </c>
      <c r="FE24">
        <v>0</v>
      </c>
      <c r="FF24" t="s">
        <v>342</v>
      </c>
      <c r="FG24" t="s">
        <v>343</v>
      </c>
      <c r="FH24" t="s">
        <v>344</v>
      </c>
      <c r="FI24" t="s">
        <v>344</v>
      </c>
      <c r="FJ24" t="s">
        <v>344</v>
      </c>
      <c r="FK24" t="s">
        <v>344</v>
      </c>
      <c r="FL24">
        <v>0</v>
      </c>
      <c r="FM24">
        <v>100</v>
      </c>
      <c r="FN24">
        <v>100</v>
      </c>
      <c r="FO24">
        <v>1.7569999999999999</v>
      </c>
      <c r="FP24">
        <v>0.16170000000000001</v>
      </c>
      <c r="FQ24">
        <v>-1.5635263302789351</v>
      </c>
      <c r="FR24">
        <v>7.6898218637449396E-3</v>
      </c>
      <c r="FS24">
        <v>1.5097418776848419E-6</v>
      </c>
      <c r="FT24">
        <v>-9.8458676114205118E-11</v>
      </c>
      <c r="FU24">
        <v>0.1617099999999958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26.4</v>
      </c>
      <c r="GD24">
        <v>26.4</v>
      </c>
      <c r="GE24">
        <v>1.09985</v>
      </c>
      <c r="GF24">
        <v>2.6440399999999999</v>
      </c>
      <c r="GG24">
        <v>1.79932</v>
      </c>
      <c r="GH24">
        <v>2.3718300000000001</v>
      </c>
      <c r="GI24">
        <v>1.5979000000000001</v>
      </c>
      <c r="GJ24">
        <v>2.4645999999999999</v>
      </c>
      <c r="GK24">
        <v>35.4754</v>
      </c>
      <c r="GL24">
        <v>24.157499999999999</v>
      </c>
      <c r="GM24">
        <v>18</v>
      </c>
      <c r="GN24">
        <v>368.95699999999999</v>
      </c>
      <c r="GO24">
        <v>679.35</v>
      </c>
      <c r="GP24">
        <v>25.829899999999999</v>
      </c>
      <c r="GQ24">
        <v>27.8658</v>
      </c>
      <c r="GR24">
        <v>30.0002</v>
      </c>
      <c r="GS24">
        <v>27.788499999999999</v>
      </c>
      <c r="GT24">
        <v>27.806999999999999</v>
      </c>
      <c r="GU24">
        <v>21.976199999999999</v>
      </c>
      <c r="GV24">
        <v>26.276800000000001</v>
      </c>
      <c r="GW24">
        <v>0</v>
      </c>
      <c r="GX24">
        <v>25.83</v>
      </c>
      <c r="GY24">
        <v>450</v>
      </c>
      <c r="GZ24">
        <v>19.5</v>
      </c>
      <c r="HA24">
        <v>100.408</v>
      </c>
      <c r="HB24">
        <v>70.626199999999997</v>
      </c>
    </row>
    <row r="25" spans="1:210" x14ac:dyDescent="0.3">
      <c r="A25">
        <v>9</v>
      </c>
      <c r="B25">
        <v>1750084319.5999999</v>
      </c>
      <c r="C25">
        <v>1444.099999904633</v>
      </c>
      <c r="D25" t="s">
        <v>359</v>
      </c>
      <c r="E25" t="s">
        <v>360</v>
      </c>
      <c r="F25">
        <v>15</v>
      </c>
      <c r="G25">
        <v>1750084311.849999</v>
      </c>
      <c r="H25">
        <f t="shared" si="0"/>
        <v>2.440792335998206E-3</v>
      </c>
      <c r="I25">
        <f t="shared" si="1"/>
        <v>2.4407923359982062</v>
      </c>
      <c r="J25">
        <f t="shared" si="2"/>
        <v>25.207474617660118</v>
      </c>
      <c r="K25">
        <f t="shared" si="3"/>
        <v>540.34689999999989</v>
      </c>
      <c r="L25">
        <f t="shared" si="4"/>
        <v>385.92578454958471</v>
      </c>
      <c r="M25">
        <f t="shared" si="5"/>
        <v>39.651188461801901</v>
      </c>
      <c r="N25">
        <f t="shared" si="6"/>
        <v>55.516883360504337</v>
      </c>
      <c r="O25">
        <f t="shared" si="7"/>
        <v>0.28792966926203684</v>
      </c>
      <c r="P25">
        <f t="shared" si="8"/>
        <v>2.4370858291815418</v>
      </c>
      <c r="Q25">
        <f t="shared" si="9"/>
        <v>0.27053242515156034</v>
      </c>
      <c r="R25">
        <f t="shared" si="10"/>
        <v>0.17055889135099397</v>
      </c>
      <c r="S25">
        <f t="shared" si="11"/>
        <v>177.83808099999999</v>
      </c>
      <c r="T25">
        <f t="shared" si="12"/>
        <v>27.512422126583942</v>
      </c>
      <c r="U25">
        <f t="shared" si="13"/>
        <v>26.41123</v>
      </c>
      <c r="V25">
        <f t="shared" si="14"/>
        <v>3.4572448514626486</v>
      </c>
      <c r="W25">
        <f t="shared" si="15"/>
        <v>71.362230698331274</v>
      </c>
      <c r="X25">
        <f t="shared" si="16"/>
        <v>2.5574112655297925</v>
      </c>
      <c r="Y25">
        <f t="shared" si="17"/>
        <v>3.5837042095008314</v>
      </c>
      <c r="Z25">
        <f t="shared" si="18"/>
        <v>0.89983358593285612</v>
      </c>
      <c r="AA25">
        <f t="shared" si="19"/>
        <v>-107.63894201752089</v>
      </c>
      <c r="AB25">
        <f t="shared" si="20"/>
        <v>80.196273990424004</v>
      </c>
      <c r="AC25">
        <f t="shared" si="21"/>
        <v>7.0815222951405419</v>
      </c>
      <c r="AD25">
        <f t="shared" si="22"/>
        <v>157.47693526804363</v>
      </c>
      <c r="AE25">
        <f t="shared" si="23"/>
        <v>25.207474617660118</v>
      </c>
      <c r="AF25">
        <f t="shared" si="24"/>
        <v>2.4407923359982062</v>
      </c>
      <c r="AG25">
        <f t="shared" si="25"/>
        <v>25.202849445047143</v>
      </c>
      <c r="AH25">
        <v>612.00491468187045</v>
      </c>
      <c r="AI25">
        <v>554.19287878787861</v>
      </c>
      <c r="AJ25">
        <v>-2.3755699881217972E-3</v>
      </c>
      <c r="AK25">
        <v>83.944004845823216</v>
      </c>
      <c r="AL25">
        <f t="shared" si="26"/>
        <v>2.4371054244874033</v>
      </c>
      <c r="AM25">
        <v>19.524119348338271</v>
      </c>
      <c r="AN25">
        <v>24.870899378882001</v>
      </c>
      <c r="AO25">
        <v>-2.490128276040634E-6</v>
      </c>
      <c r="AP25">
        <v>90.567877275144056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54294.488708047284</v>
      </c>
      <c r="AV25">
        <f t="shared" si="30"/>
        <v>935.98989999999992</v>
      </c>
      <c r="AW25">
        <f t="shared" si="31"/>
        <v>748.79192</v>
      </c>
      <c r="AX25">
        <f t="shared" si="32"/>
        <v>0.8</v>
      </c>
      <c r="AY25">
        <f t="shared" si="33"/>
        <v>0.19</v>
      </c>
      <c r="AZ25">
        <v>9</v>
      </c>
      <c r="BA25">
        <v>1.88</v>
      </c>
      <c r="BB25" t="s">
        <v>339</v>
      </c>
      <c r="BC25">
        <v>2</v>
      </c>
      <c r="BD25" t="b">
        <v>0</v>
      </c>
      <c r="BE25">
        <v>1750084311.849999</v>
      </c>
      <c r="BF25">
        <v>540.34689999999989</v>
      </c>
      <c r="BG25">
        <v>600.02726666666661</v>
      </c>
      <c r="BH25">
        <v>24.891333333333328</v>
      </c>
      <c r="BI25">
        <v>19.5366</v>
      </c>
      <c r="BJ25">
        <v>537.35756666666668</v>
      </c>
      <c r="BK25">
        <v>24.729623333333329</v>
      </c>
      <c r="BL25">
        <v>400.02626666666657</v>
      </c>
      <c r="BM25">
        <v>102.643</v>
      </c>
      <c r="BN25">
        <v>0.10004037</v>
      </c>
      <c r="BO25">
        <v>27.021606666666671</v>
      </c>
      <c r="BP25">
        <v>26.41123</v>
      </c>
      <c r="BQ25">
        <v>999.9000000000002</v>
      </c>
      <c r="BR25">
        <v>0</v>
      </c>
      <c r="BS25">
        <v>0</v>
      </c>
      <c r="BT25">
        <v>10004.549999999999</v>
      </c>
      <c r="BU25">
        <v>935.98989999999992</v>
      </c>
      <c r="BV25">
        <v>16.776596666666659</v>
      </c>
      <c r="BW25">
        <v>-59.680436666666672</v>
      </c>
      <c r="BX25">
        <v>554.14023333333341</v>
      </c>
      <c r="BY25">
        <v>611.98346666666669</v>
      </c>
      <c r="BZ25">
        <v>5.3547386666666679</v>
      </c>
      <c r="CA25">
        <v>600.02726666666661</v>
      </c>
      <c r="CB25">
        <v>19.5366</v>
      </c>
      <c r="CC25">
        <v>2.5549226666666671</v>
      </c>
      <c r="CD25">
        <v>2.005295666666667</v>
      </c>
      <c r="CE25">
        <v>21.38067666666667</v>
      </c>
      <c r="CF25">
        <v>17.486206666666671</v>
      </c>
      <c r="CG25">
        <v>1750082558</v>
      </c>
      <c r="CH25" t="s">
        <v>340</v>
      </c>
      <c r="CI25">
        <v>1750082558</v>
      </c>
      <c r="CJ25">
        <v>1750082553</v>
      </c>
      <c r="CK25">
        <v>5</v>
      </c>
      <c r="CL25">
        <v>-0.48299999999999998</v>
      </c>
      <c r="CM25">
        <v>-2.4E-2</v>
      </c>
      <c r="CN25">
        <v>2.1739999999999999</v>
      </c>
      <c r="CO25">
        <v>0.16200000000000001</v>
      </c>
      <c r="CP25">
        <v>450</v>
      </c>
      <c r="CQ25">
        <v>19</v>
      </c>
      <c r="CR25">
        <v>0.03</v>
      </c>
      <c r="CS25">
        <v>0.02</v>
      </c>
      <c r="CT25">
        <v>-59.688127500000007</v>
      </c>
      <c r="CU25">
        <v>0.24115834896812821</v>
      </c>
      <c r="CV25">
        <v>3.3228767562911453E-2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5.3532617499999997</v>
      </c>
      <c r="DC25">
        <v>5.9345178236388359E-2</v>
      </c>
      <c r="DD25">
        <v>9.0355920911415408E-3</v>
      </c>
      <c r="DE25">
        <v>1</v>
      </c>
      <c r="DF25">
        <v>2</v>
      </c>
      <c r="DG25">
        <v>2</v>
      </c>
      <c r="DH25" t="s">
        <v>341</v>
      </c>
      <c r="DI25">
        <v>3.02441</v>
      </c>
      <c r="DJ25">
        <v>2.6912699999999998</v>
      </c>
      <c r="DK25">
        <v>0.117437</v>
      </c>
      <c r="DL25">
        <v>0.12759699999999999</v>
      </c>
      <c r="DM25">
        <v>0.124406</v>
      </c>
      <c r="DN25">
        <v>0.105797</v>
      </c>
      <c r="DO25">
        <v>24574.9</v>
      </c>
      <c r="DP25">
        <v>16400.400000000001</v>
      </c>
      <c r="DQ25">
        <v>26421.200000000001</v>
      </c>
      <c r="DR25">
        <v>17086.400000000001</v>
      </c>
      <c r="DS25">
        <v>32904.199999999997</v>
      </c>
      <c r="DT25">
        <v>19931.7</v>
      </c>
      <c r="DU25">
        <v>38492.800000000003</v>
      </c>
      <c r="DV25">
        <v>22613.599999999999</v>
      </c>
      <c r="DW25">
        <v>1.80314</v>
      </c>
      <c r="DX25">
        <v>2.1944400000000002</v>
      </c>
      <c r="DY25">
        <v>6.5344600000000003E-2</v>
      </c>
      <c r="DZ25">
        <v>0</v>
      </c>
      <c r="EA25">
        <v>25.339600000000001</v>
      </c>
      <c r="EB25">
        <v>999.9</v>
      </c>
      <c r="EC25">
        <v>53.5</v>
      </c>
      <c r="ED25">
        <v>31.9</v>
      </c>
      <c r="EE25">
        <v>24.7485</v>
      </c>
      <c r="EF25">
        <v>62.8797</v>
      </c>
      <c r="EG25">
        <v>34.507199999999997</v>
      </c>
      <c r="EH25">
        <v>1</v>
      </c>
      <c r="EI25">
        <v>6.2957299999999994E-2</v>
      </c>
      <c r="EJ25">
        <v>0.106769</v>
      </c>
      <c r="EK25">
        <v>20.326499999999999</v>
      </c>
      <c r="EL25">
        <v>5.2527499999999998</v>
      </c>
      <c r="EM25">
        <v>11.962</v>
      </c>
      <c r="EN25">
        <v>4.9897600000000004</v>
      </c>
      <c r="EO25">
        <v>3.2911600000000001</v>
      </c>
      <c r="EP25">
        <v>9999</v>
      </c>
      <c r="EQ25">
        <v>9999</v>
      </c>
      <c r="ER25">
        <v>9999</v>
      </c>
      <c r="ES25">
        <v>999.9</v>
      </c>
      <c r="ET25">
        <v>4.9726900000000001</v>
      </c>
      <c r="EU25">
        <v>1.87195</v>
      </c>
      <c r="EV25">
        <v>1.8721699999999999</v>
      </c>
      <c r="EW25">
        <v>1.8772599999999999</v>
      </c>
      <c r="EX25">
        <v>1.87134</v>
      </c>
      <c r="EY25">
        <v>1.8721000000000001</v>
      </c>
      <c r="EZ25">
        <v>1.8717999999999999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342</v>
      </c>
      <c r="FG25" t="s">
        <v>343</v>
      </c>
      <c r="FH25" t="s">
        <v>344</v>
      </c>
      <c r="FI25" t="s">
        <v>344</v>
      </c>
      <c r="FJ25" t="s">
        <v>344</v>
      </c>
      <c r="FK25" t="s">
        <v>344</v>
      </c>
      <c r="FL25">
        <v>0</v>
      </c>
      <c r="FM25">
        <v>100</v>
      </c>
      <c r="FN25">
        <v>100</v>
      </c>
      <c r="FO25">
        <v>2.99</v>
      </c>
      <c r="FP25">
        <v>0.16170000000000001</v>
      </c>
      <c r="FQ25">
        <v>-1.5635263302789351</v>
      </c>
      <c r="FR25">
        <v>7.6898218637449396E-3</v>
      </c>
      <c r="FS25">
        <v>1.5097418776848419E-6</v>
      </c>
      <c r="FT25">
        <v>-9.8458676114205118E-11</v>
      </c>
      <c r="FU25">
        <v>0.1617099999999958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29.4</v>
      </c>
      <c r="GD25">
        <v>29.4</v>
      </c>
      <c r="GE25">
        <v>1.3855</v>
      </c>
      <c r="GF25">
        <v>2.6452599999999999</v>
      </c>
      <c r="GG25">
        <v>1.7981</v>
      </c>
      <c r="GH25">
        <v>2.3730500000000001</v>
      </c>
      <c r="GI25">
        <v>1.5979000000000001</v>
      </c>
      <c r="GJ25">
        <v>2.50488</v>
      </c>
      <c r="GK25">
        <v>35.521799999999999</v>
      </c>
      <c r="GL25">
        <v>24.1663</v>
      </c>
      <c r="GM25">
        <v>18</v>
      </c>
      <c r="GN25">
        <v>369.096</v>
      </c>
      <c r="GO25">
        <v>679.11</v>
      </c>
      <c r="GP25">
        <v>25.830200000000001</v>
      </c>
      <c r="GQ25">
        <v>27.898900000000001</v>
      </c>
      <c r="GR25">
        <v>30.0001</v>
      </c>
      <c r="GS25">
        <v>27.823599999999999</v>
      </c>
      <c r="GT25">
        <v>27.843499999999999</v>
      </c>
      <c r="GU25">
        <v>27.7027</v>
      </c>
      <c r="GV25">
        <v>26.820699999999999</v>
      </c>
      <c r="GW25">
        <v>0</v>
      </c>
      <c r="GX25">
        <v>25.83</v>
      </c>
      <c r="GY25">
        <v>600</v>
      </c>
      <c r="GZ25">
        <v>19.5</v>
      </c>
      <c r="HA25">
        <v>100.40300000000001</v>
      </c>
      <c r="HB25">
        <v>70.624099999999999</v>
      </c>
    </row>
    <row r="26" spans="1:210" x14ac:dyDescent="0.3">
      <c r="A26">
        <v>10</v>
      </c>
      <c r="B26">
        <v>1750084500.0999999</v>
      </c>
      <c r="C26">
        <v>1624.599999904633</v>
      </c>
      <c r="D26" t="s">
        <v>361</v>
      </c>
      <c r="E26" t="s">
        <v>362</v>
      </c>
      <c r="F26">
        <v>15</v>
      </c>
      <c r="G26">
        <v>1750084492.349999</v>
      </c>
      <c r="H26">
        <f t="shared" si="0"/>
        <v>2.2529794227150973E-3</v>
      </c>
      <c r="I26">
        <f t="shared" si="1"/>
        <v>2.2529794227150974</v>
      </c>
      <c r="J26">
        <f t="shared" si="2"/>
        <v>30.542412280162889</v>
      </c>
      <c r="K26">
        <f t="shared" si="3"/>
        <v>827.10889999999995</v>
      </c>
      <c r="L26">
        <f t="shared" si="4"/>
        <v>611.81699882827672</v>
      </c>
      <c r="M26">
        <f t="shared" si="5"/>
        <v>62.862736960688409</v>
      </c>
      <c r="N26">
        <f t="shared" si="6"/>
        <v>84.983466164100435</v>
      </c>
      <c r="O26">
        <f t="shared" si="7"/>
        <v>0.25049896894443963</v>
      </c>
      <c r="P26">
        <f t="shared" si="8"/>
        <v>2.4359485713854481</v>
      </c>
      <c r="Q26">
        <f t="shared" si="9"/>
        <v>0.23721407177825743</v>
      </c>
      <c r="R26">
        <f t="shared" si="10"/>
        <v>0.14939413570854385</v>
      </c>
      <c r="S26">
        <f t="shared" si="11"/>
        <v>177.84076000000002</v>
      </c>
      <c r="T26">
        <f t="shared" si="12"/>
        <v>27.573870980232556</v>
      </c>
      <c r="U26">
        <f t="shared" si="13"/>
        <v>26.434786666666671</v>
      </c>
      <c r="V26">
        <f t="shared" si="14"/>
        <v>3.4620520969845114</v>
      </c>
      <c r="W26">
        <f t="shared" si="15"/>
        <v>70.153293989781716</v>
      </c>
      <c r="X26">
        <f t="shared" si="16"/>
        <v>2.5145718167958253</v>
      </c>
      <c r="Y26">
        <f t="shared" si="17"/>
        <v>3.5843959332288646</v>
      </c>
      <c r="Z26">
        <f t="shared" si="18"/>
        <v>0.94748028018868613</v>
      </c>
      <c r="AA26">
        <f t="shared" si="19"/>
        <v>-99.356392541735786</v>
      </c>
      <c r="AB26">
        <f t="shared" si="20"/>
        <v>77.496855232847111</v>
      </c>
      <c r="AC26">
        <f t="shared" si="21"/>
        <v>6.8472713472863944</v>
      </c>
      <c r="AD26">
        <f t="shared" si="22"/>
        <v>162.82849403839776</v>
      </c>
      <c r="AE26">
        <f t="shared" si="23"/>
        <v>30.542412280162889</v>
      </c>
      <c r="AF26">
        <f t="shared" si="24"/>
        <v>2.2529794227150974</v>
      </c>
      <c r="AG26">
        <f t="shared" si="25"/>
        <v>30.444297271530477</v>
      </c>
      <c r="AH26">
        <v>917.83863531719464</v>
      </c>
      <c r="AI26">
        <v>847.95671515151537</v>
      </c>
      <c r="AJ26">
        <v>2.0351405768357939E-3</v>
      </c>
      <c r="AK26">
        <v>83.944004845823216</v>
      </c>
      <c r="AL26">
        <f t="shared" si="26"/>
        <v>2.2458516340700019</v>
      </c>
      <c r="AM26">
        <v>19.512186128118611</v>
      </c>
      <c r="AN26">
        <v>24.44189587803503</v>
      </c>
      <c r="AO26">
        <v>-2.8179622045087259E-6</v>
      </c>
      <c r="AP26">
        <v>90.567877275144056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54255.725499462795</v>
      </c>
      <c r="AV26">
        <f t="shared" si="30"/>
        <v>936.00400000000002</v>
      </c>
      <c r="AW26">
        <f t="shared" si="31"/>
        <v>748.80320000000006</v>
      </c>
      <c r="AX26">
        <f t="shared" si="32"/>
        <v>0.8</v>
      </c>
      <c r="AY26">
        <f t="shared" si="33"/>
        <v>0.19</v>
      </c>
      <c r="AZ26">
        <v>9</v>
      </c>
      <c r="BA26">
        <v>1.88</v>
      </c>
      <c r="BB26" t="s">
        <v>339</v>
      </c>
      <c r="BC26">
        <v>2</v>
      </c>
      <c r="BD26" t="b">
        <v>0</v>
      </c>
      <c r="BE26">
        <v>1750084492.349999</v>
      </c>
      <c r="BF26">
        <v>827.10889999999995</v>
      </c>
      <c r="BG26">
        <v>900.02249999999992</v>
      </c>
      <c r="BH26">
        <v>24.47328666666666</v>
      </c>
      <c r="BI26">
        <v>19.528116666666659</v>
      </c>
      <c r="BJ26">
        <v>821.3921333333335</v>
      </c>
      <c r="BK26">
        <v>24.311583333333331</v>
      </c>
      <c r="BL26">
        <v>399.99786666666671</v>
      </c>
      <c r="BM26">
        <v>102.6476</v>
      </c>
      <c r="BN26">
        <v>0.1000142066666667</v>
      </c>
      <c r="BO26">
        <v>27.024893333333331</v>
      </c>
      <c r="BP26">
        <v>26.434786666666671</v>
      </c>
      <c r="BQ26">
        <v>999.9000000000002</v>
      </c>
      <c r="BR26">
        <v>0</v>
      </c>
      <c r="BS26">
        <v>0</v>
      </c>
      <c r="BT26">
        <v>9996.75</v>
      </c>
      <c r="BU26">
        <v>936.00400000000002</v>
      </c>
      <c r="BV26">
        <v>16.76209999999999</v>
      </c>
      <c r="BW26">
        <v>-72.913483333333332</v>
      </c>
      <c r="BX26">
        <v>847.85886666666693</v>
      </c>
      <c r="BY26">
        <v>917.94820000000016</v>
      </c>
      <c r="BZ26">
        <v>4.9451706666666668</v>
      </c>
      <c r="CA26">
        <v>900.02249999999992</v>
      </c>
      <c r="CB26">
        <v>19.528116666666659</v>
      </c>
      <c r="CC26">
        <v>2.5121226666666661</v>
      </c>
      <c r="CD26">
        <v>2.004513666666667</v>
      </c>
      <c r="CE26">
        <v>21.105256666666669</v>
      </c>
      <c r="CF26">
        <v>17.480023333333332</v>
      </c>
      <c r="CG26">
        <v>1750082558</v>
      </c>
      <c r="CH26" t="s">
        <v>340</v>
      </c>
      <c r="CI26">
        <v>1750082558</v>
      </c>
      <c r="CJ26">
        <v>1750082553</v>
      </c>
      <c r="CK26">
        <v>5</v>
      </c>
      <c r="CL26">
        <v>-0.48299999999999998</v>
      </c>
      <c r="CM26">
        <v>-2.4E-2</v>
      </c>
      <c r="CN26">
        <v>2.1739999999999999</v>
      </c>
      <c r="CO26">
        <v>0.16200000000000001</v>
      </c>
      <c r="CP26">
        <v>450</v>
      </c>
      <c r="CQ26">
        <v>19</v>
      </c>
      <c r="CR26">
        <v>0.03</v>
      </c>
      <c r="CS26">
        <v>0.02</v>
      </c>
      <c r="CT26">
        <v>-72.934746341463409</v>
      </c>
      <c r="CU26">
        <v>1.0066285714284651</v>
      </c>
      <c r="CV26">
        <v>0.13000600192066281</v>
      </c>
      <c r="CW26">
        <v>0</v>
      </c>
      <c r="CX26">
        <v>0</v>
      </c>
      <c r="CY26">
        <v>0</v>
      </c>
      <c r="CZ26">
        <v>0</v>
      </c>
      <c r="DA26">
        <v>-1</v>
      </c>
      <c r="DB26">
        <v>4.9440717073170743</v>
      </c>
      <c r="DC26">
        <v>5.5497491289187767E-2</v>
      </c>
      <c r="DD26">
        <v>1.068717761514947E-2</v>
      </c>
      <c r="DE26">
        <v>1</v>
      </c>
      <c r="DF26">
        <v>1</v>
      </c>
      <c r="DG26">
        <v>2</v>
      </c>
      <c r="DH26" t="s">
        <v>363</v>
      </c>
      <c r="DI26">
        <v>3.0244900000000001</v>
      </c>
      <c r="DJ26">
        <v>2.6913999999999998</v>
      </c>
      <c r="DK26">
        <v>0.156912</v>
      </c>
      <c r="DL26">
        <v>0.16747300000000001</v>
      </c>
      <c r="DM26">
        <v>0.122895</v>
      </c>
      <c r="DN26">
        <v>0.105728</v>
      </c>
      <c r="DO26">
        <v>23474.7</v>
      </c>
      <c r="DP26">
        <v>15650</v>
      </c>
      <c r="DQ26">
        <v>26420.1</v>
      </c>
      <c r="DR26">
        <v>17085.7</v>
      </c>
      <c r="DS26">
        <v>32961.9</v>
      </c>
      <c r="DT26">
        <v>19933.599999999999</v>
      </c>
      <c r="DU26">
        <v>38490.9</v>
      </c>
      <c r="DV26">
        <v>22613.1</v>
      </c>
      <c r="DW26">
        <v>1.8028</v>
      </c>
      <c r="DX26">
        <v>2.19408</v>
      </c>
      <c r="DY26">
        <v>6.8041699999999997E-2</v>
      </c>
      <c r="DZ26">
        <v>0</v>
      </c>
      <c r="EA26">
        <v>25.3246</v>
      </c>
      <c r="EB26">
        <v>999.9</v>
      </c>
      <c r="EC26">
        <v>53.5</v>
      </c>
      <c r="ED26">
        <v>31.9</v>
      </c>
      <c r="EE26">
        <v>24.7469</v>
      </c>
      <c r="EF26">
        <v>62.869700000000002</v>
      </c>
      <c r="EG26">
        <v>34.475200000000001</v>
      </c>
      <c r="EH26">
        <v>1</v>
      </c>
      <c r="EI26">
        <v>6.4560999999999993E-2</v>
      </c>
      <c r="EJ26">
        <v>0.10177799999999999</v>
      </c>
      <c r="EK26">
        <v>20.326899999999998</v>
      </c>
      <c r="EL26">
        <v>5.2527499999999998</v>
      </c>
      <c r="EM26">
        <v>11.962</v>
      </c>
      <c r="EN26">
        <v>4.9897200000000002</v>
      </c>
      <c r="EO26">
        <v>3.2910400000000002</v>
      </c>
      <c r="EP26">
        <v>9999</v>
      </c>
      <c r="EQ26">
        <v>9999</v>
      </c>
      <c r="ER26">
        <v>9999</v>
      </c>
      <c r="ES26">
        <v>999.9</v>
      </c>
      <c r="ET26">
        <v>4.9726699999999999</v>
      </c>
      <c r="EU26">
        <v>1.87195</v>
      </c>
      <c r="EV26">
        <v>1.87215</v>
      </c>
      <c r="EW26">
        <v>1.87724</v>
      </c>
      <c r="EX26">
        <v>1.87134</v>
      </c>
      <c r="EY26">
        <v>1.8721300000000001</v>
      </c>
      <c r="EZ26">
        <v>1.8717999999999999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342</v>
      </c>
      <c r="FG26" t="s">
        <v>343</v>
      </c>
      <c r="FH26" t="s">
        <v>344</v>
      </c>
      <c r="FI26" t="s">
        <v>344</v>
      </c>
      <c r="FJ26" t="s">
        <v>344</v>
      </c>
      <c r="FK26" t="s">
        <v>344</v>
      </c>
      <c r="FL26">
        <v>0</v>
      </c>
      <c r="FM26">
        <v>100</v>
      </c>
      <c r="FN26">
        <v>100</v>
      </c>
      <c r="FO26">
        <v>5.718</v>
      </c>
      <c r="FP26">
        <v>0.16170000000000001</v>
      </c>
      <c r="FQ26">
        <v>-1.5635263302789351</v>
      </c>
      <c r="FR26">
        <v>7.6898218637449396E-3</v>
      </c>
      <c r="FS26">
        <v>1.5097418776848419E-6</v>
      </c>
      <c r="FT26">
        <v>-9.8458676114205118E-11</v>
      </c>
      <c r="FU26">
        <v>0.1617099999999958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32.4</v>
      </c>
      <c r="GD26">
        <v>32.5</v>
      </c>
      <c r="GE26">
        <v>1.9274899999999999</v>
      </c>
      <c r="GF26">
        <v>2.6122999999999998</v>
      </c>
      <c r="GG26">
        <v>1.7981</v>
      </c>
      <c r="GH26">
        <v>2.3718300000000001</v>
      </c>
      <c r="GI26">
        <v>1.5979000000000001</v>
      </c>
      <c r="GJ26">
        <v>2.5671400000000002</v>
      </c>
      <c r="GK26">
        <v>35.591500000000003</v>
      </c>
      <c r="GL26">
        <v>24.1663</v>
      </c>
      <c r="GM26">
        <v>18</v>
      </c>
      <c r="GN26">
        <v>369.10500000000002</v>
      </c>
      <c r="GO26">
        <v>679.14</v>
      </c>
      <c r="GP26">
        <v>25.829799999999999</v>
      </c>
      <c r="GQ26">
        <v>27.922699999999999</v>
      </c>
      <c r="GR26">
        <v>30.0001</v>
      </c>
      <c r="GS26">
        <v>27.851700000000001</v>
      </c>
      <c r="GT26">
        <v>27.870899999999999</v>
      </c>
      <c r="GU26">
        <v>38.549900000000001</v>
      </c>
      <c r="GV26">
        <v>27.097899999999999</v>
      </c>
      <c r="GW26">
        <v>0</v>
      </c>
      <c r="GX26">
        <v>25.83</v>
      </c>
      <c r="GY26">
        <v>900</v>
      </c>
      <c r="GZ26">
        <v>19.5</v>
      </c>
      <c r="HA26">
        <v>100.399</v>
      </c>
      <c r="HB26">
        <v>70.621899999999997</v>
      </c>
    </row>
    <row r="27" spans="1:210" x14ac:dyDescent="0.3">
      <c r="A27">
        <v>11</v>
      </c>
      <c r="B27">
        <v>1750084680.5999999</v>
      </c>
      <c r="C27">
        <v>1805.099999904633</v>
      </c>
      <c r="D27" t="s">
        <v>364</v>
      </c>
      <c r="E27" t="s">
        <v>365</v>
      </c>
      <c r="F27">
        <v>15</v>
      </c>
      <c r="G27">
        <v>1750084672.849999</v>
      </c>
      <c r="H27">
        <f t="shared" si="0"/>
        <v>2.0054460000942117E-3</v>
      </c>
      <c r="I27">
        <f t="shared" si="1"/>
        <v>2.0054460000942118</v>
      </c>
      <c r="J27">
        <f t="shared" si="2"/>
        <v>32.629455846604401</v>
      </c>
      <c r="K27">
        <f t="shared" si="3"/>
        <v>1121.519666666667</v>
      </c>
      <c r="L27">
        <f t="shared" si="4"/>
        <v>844.09687931617987</v>
      </c>
      <c r="M27">
        <f t="shared" si="5"/>
        <v>86.728145974705896</v>
      </c>
      <c r="N27">
        <f t="shared" si="6"/>
        <v>115.23241436808587</v>
      </c>
      <c r="O27">
        <f t="shared" si="7"/>
        <v>0.20748754478231526</v>
      </c>
      <c r="P27">
        <f t="shared" si="8"/>
        <v>2.4361387203852862</v>
      </c>
      <c r="Q27">
        <f t="shared" si="9"/>
        <v>0.19828447364119098</v>
      </c>
      <c r="R27">
        <f t="shared" si="10"/>
        <v>0.12472091819487591</v>
      </c>
      <c r="S27">
        <f t="shared" si="11"/>
        <v>177.84762533333335</v>
      </c>
      <c r="T27">
        <f t="shared" si="12"/>
        <v>27.657186753707556</v>
      </c>
      <c r="U27">
        <f t="shared" si="13"/>
        <v>26.472449999999991</v>
      </c>
      <c r="V27">
        <f t="shared" si="14"/>
        <v>3.4697502384513119</v>
      </c>
      <c r="W27">
        <f t="shared" si="15"/>
        <v>68.618428583728118</v>
      </c>
      <c r="X27">
        <f t="shared" si="16"/>
        <v>2.4605615686781381</v>
      </c>
      <c r="Y27">
        <f t="shared" si="17"/>
        <v>3.5858611446861741</v>
      </c>
      <c r="Z27">
        <f t="shared" si="18"/>
        <v>1.0091886697731738</v>
      </c>
      <c r="AA27">
        <f t="shared" si="19"/>
        <v>-88.440168604154735</v>
      </c>
      <c r="AB27">
        <f t="shared" si="20"/>
        <v>73.47041751226557</v>
      </c>
      <c r="AC27">
        <f t="shared" si="21"/>
        <v>6.4924558771810519</v>
      </c>
      <c r="AD27">
        <f t="shared" si="22"/>
        <v>169.37033011862525</v>
      </c>
      <c r="AE27">
        <f t="shared" si="23"/>
        <v>32.629455846604401</v>
      </c>
      <c r="AF27">
        <f t="shared" si="24"/>
        <v>2.0054460000942118</v>
      </c>
      <c r="AG27">
        <f t="shared" si="25"/>
        <v>32.625080144899172</v>
      </c>
      <c r="AH27">
        <v>1223.9331440488741</v>
      </c>
      <c r="AI27">
        <v>1149.027272727272</v>
      </c>
      <c r="AJ27">
        <v>4.289990064989398E-3</v>
      </c>
      <c r="AK27">
        <v>83.944004845823216</v>
      </c>
      <c r="AL27">
        <f t="shared" si="26"/>
        <v>1.9961158569514319</v>
      </c>
      <c r="AM27">
        <v>19.54400673516421</v>
      </c>
      <c r="AN27">
        <v>23.92798588368154</v>
      </c>
      <c r="AO27">
        <v>-2.5036430058007549E-5</v>
      </c>
      <c r="AP27">
        <v>90.567877275144056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54260.845329871809</v>
      </c>
      <c r="AV27">
        <f t="shared" si="30"/>
        <v>936.04013333333342</v>
      </c>
      <c r="AW27">
        <f t="shared" si="31"/>
        <v>748.83210666666673</v>
      </c>
      <c r="AX27">
        <f t="shared" si="32"/>
        <v>0.8</v>
      </c>
      <c r="AY27">
        <f t="shared" si="33"/>
        <v>0.19</v>
      </c>
      <c r="AZ27">
        <v>9</v>
      </c>
      <c r="BA27">
        <v>1.88</v>
      </c>
      <c r="BB27" t="s">
        <v>339</v>
      </c>
      <c r="BC27">
        <v>2</v>
      </c>
      <c r="BD27" t="b">
        <v>0</v>
      </c>
      <c r="BE27">
        <v>1750084672.849999</v>
      </c>
      <c r="BF27">
        <v>1121.519666666667</v>
      </c>
      <c r="BG27">
        <v>1199.9956666666669</v>
      </c>
      <c r="BH27">
        <v>23.94784666666666</v>
      </c>
      <c r="BI27">
        <v>19.543700000000001</v>
      </c>
      <c r="BJ27">
        <v>1112.7929999999999</v>
      </c>
      <c r="BK27">
        <v>23.786136666666671</v>
      </c>
      <c r="BL27">
        <v>400.00436666666673</v>
      </c>
      <c r="BM27">
        <v>102.6467</v>
      </c>
      <c r="BN27">
        <v>9.9972923333333324E-2</v>
      </c>
      <c r="BO27">
        <v>27.031853333333341</v>
      </c>
      <c r="BP27">
        <v>26.472449999999991</v>
      </c>
      <c r="BQ27">
        <v>999.9000000000002</v>
      </c>
      <c r="BR27">
        <v>0</v>
      </c>
      <c r="BS27">
        <v>0</v>
      </c>
      <c r="BT27">
        <v>9998.0666666666675</v>
      </c>
      <c r="BU27">
        <v>936.04013333333342</v>
      </c>
      <c r="BV27">
        <v>16.807259999999999</v>
      </c>
      <c r="BW27">
        <v>-78.475813333333335</v>
      </c>
      <c r="BX27">
        <v>1149.037333333333</v>
      </c>
      <c r="BY27">
        <v>1223.9159999999999</v>
      </c>
      <c r="BZ27">
        <v>4.4041473333333334</v>
      </c>
      <c r="CA27">
        <v>1199.9956666666669</v>
      </c>
      <c r="CB27">
        <v>19.543700000000001</v>
      </c>
      <c r="CC27">
        <v>2.4581646666666672</v>
      </c>
      <c r="CD27">
        <v>2.0060929999999999</v>
      </c>
      <c r="CE27">
        <v>20.752120000000001</v>
      </c>
      <c r="CF27">
        <v>17.49251666666667</v>
      </c>
      <c r="CG27">
        <v>1750082558</v>
      </c>
      <c r="CH27" t="s">
        <v>340</v>
      </c>
      <c r="CI27">
        <v>1750082558</v>
      </c>
      <c r="CJ27">
        <v>1750082553</v>
      </c>
      <c r="CK27">
        <v>5</v>
      </c>
      <c r="CL27">
        <v>-0.48299999999999998</v>
      </c>
      <c r="CM27">
        <v>-2.4E-2</v>
      </c>
      <c r="CN27">
        <v>2.1739999999999999</v>
      </c>
      <c r="CO27">
        <v>0.16200000000000001</v>
      </c>
      <c r="CP27">
        <v>450</v>
      </c>
      <c r="CQ27">
        <v>19</v>
      </c>
      <c r="CR27">
        <v>0.03</v>
      </c>
      <c r="CS27">
        <v>0.02</v>
      </c>
      <c r="CT27">
        <v>-78.509065853658541</v>
      </c>
      <c r="CU27">
        <v>0.42508850174205498</v>
      </c>
      <c r="CV27">
        <v>6.3170352762775911E-2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4.4152636585365856</v>
      </c>
      <c r="DC27">
        <v>-0.19951567944250739</v>
      </c>
      <c r="DD27">
        <v>1.9716281962377919E-2</v>
      </c>
      <c r="DE27">
        <v>0</v>
      </c>
      <c r="DF27">
        <v>1</v>
      </c>
      <c r="DG27">
        <v>2</v>
      </c>
      <c r="DH27" t="s">
        <v>363</v>
      </c>
      <c r="DI27">
        <v>3.0245099999999998</v>
      </c>
      <c r="DJ27">
        <v>2.6913999999999998</v>
      </c>
      <c r="DK27">
        <v>0.19050300000000001</v>
      </c>
      <c r="DL27">
        <v>0.20083000000000001</v>
      </c>
      <c r="DM27">
        <v>0.12106500000000001</v>
      </c>
      <c r="DN27">
        <v>0.105895</v>
      </c>
      <c r="DO27">
        <v>22539.200000000001</v>
      </c>
      <c r="DP27">
        <v>15023.2</v>
      </c>
      <c r="DQ27">
        <v>26420</v>
      </c>
      <c r="DR27">
        <v>17086.099999999999</v>
      </c>
      <c r="DS27">
        <v>33032.699999999997</v>
      </c>
      <c r="DT27">
        <v>19931.3</v>
      </c>
      <c r="DU27">
        <v>38490.300000000003</v>
      </c>
      <c r="DV27">
        <v>22614.2</v>
      </c>
      <c r="DW27">
        <v>1.8024800000000001</v>
      </c>
      <c r="DX27">
        <v>2.1940599999999999</v>
      </c>
      <c r="DY27">
        <v>7.0053299999999999E-2</v>
      </c>
      <c r="DZ27">
        <v>0</v>
      </c>
      <c r="EA27">
        <v>25.323599999999999</v>
      </c>
      <c r="EB27">
        <v>999.9</v>
      </c>
      <c r="EC27">
        <v>53.4</v>
      </c>
      <c r="ED27">
        <v>32</v>
      </c>
      <c r="EE27">
        <v>24.8416</v>
      </c>
      <c r="EF27">
        <v>62.809699999999999</v>
      </c>
      <c r="EG27">
        <v>34.463099999999997</v>
      </c>
      <c r="EH27">
        <v>1</v>
      </c>
      <c r="EI27">
        <v>6.4963400000000004E-2</v>
      </c>
      <c r="EJ27">
        <v>9.7956399999999999E-2</v>
      </c>
      <c r="EK27">
        <v>20.326699999999999</v>
      </c>
      <c r="EL27">
        <v>5.2519099999999996</v>
      </c>
      <c r="EM27">
        <v>11.962</v>
      </c>
      <c r="EN27">
        <v>4.9897200000000002</v>
      </c>
      <c r="EO27">
        <v>3.29122</v>
      </c>
      <c r="EP27">
        <v>9999</v>
      </c>
      <c r="EQ27">
        <v>9999</v>
      </c>
      <c r="ER27">
        <v>9999</v>
      </c>
      <c r="ES27">
        <v>999.9</v>
      </c>
      <c r="ET27">
        <v>4.9726800000000004</v>
      </c>
      <c r="EU27">
        <v>1.87195</v>
      </c>
      <c r="EV27">
        <v>1.87216</v>
      </c>
      <c r="EW27">
        <v>1.8772599999999999</v>
      </c>
      <c r="EX27">
        <v>1.87134</v>
      </c>
      <c r="EY27">
        <v>1.8721000000000001</v>
      </c>
      <c r="EZ27">
        <v>1.8717999999999999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342</v>
      </c>
      <c r="FG27" t="s">
        <v>343</v>
      </c>
      <c r="FH27" t="s">
        <v>344</v>
      </c>
      <c r="FI27" t="s">
        <v>344</v>
      </c>
      <c r="FJ27" t="s">
        <v>344</v>
      </c>
      <c r="FK27" t="s">
        <v>344</v>
      </c>
      <c r="FL27">
        <v>0</v>
      </c>
      <c r="FM27">
        <v>100</v>
      </c>
      <c r="FN27">
        <v>100</v>
      </c>
      <c r="FO27">
        <v>8.73</v>
      </c>
      <c r="FP27">
        <v>0.16170000000000001</v>
      </c>
      <c r="FQ27">
        <v>-1.5635263302789351</v>
      </c>
      <c r="FR27">
        <v>7.6898218637449396E-3</v>
      </c>
      <c r="FS27">
        <v>1.5097418776848419E-6</v>
      </c>
      <c r="FT27">
        <v>-9.8458676114205118E-11</v>
      </c>
      <c r="FU27">
        <v>0.1617099999999958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35.4</v>
      </c>
      <c r="GD27">
        <v>35.5</v>
      </c>
      <c r="GE27">
        <v>2.4426299999999999</v>
      </c>
      <c r="GF27">
        <v>2.6061999999999999</v>
      </c>
      <c r="GG27">
        <v>1.7981</v>
      </c>
      <c r="GH27">
        <v>2.3718300000000001</v>
      </c>
      <c r="GI27">
        <v>1.5979000000000001</v>
      </c>
      <c r="GJ27">
        <v>2.5671400000000002</v>
      </c>
      <c r="GK27">
        <v>35.637999999999998</v>
      </c>
      <c r="GL27">
        <v>24.1663</v>
      </c>
      <c r="GM27">
        <v>18</v>
      </c>
      <c r="GN27">
        <v>369.01600000000002</v>
      </c>
      <c r="GO27">
        <v>679.28599999999994</v>
      </c>
      <c r="GP27">
        <v>25.829899999999999</v>
      </c>
      <c r="GQ27">
        <v>27.9298</v>
      </c>
      <c r="GR27">
        <v>30.0002</v>
      </c>
      <c r="GS27">
        <v>27.863399999999999</v>
      </c>
      <c r="GT27">
        <v>27.883700000000001</v>
      </c>
      <c r="GU27">
        <v>48.828200000000002</v>
      </c>
      <c r="GV27">
        <v>27.097899999999999</v>
      </c>
      <c r="GW27">
        <v>0</v>
      </c>
      <c r="GX27">
        <v>25.83</v>
      </c>
      <c r="GY27">
        <v>1200</v>
      </c>
      <c r="GZ27">
        <v>19.5</v>
      </c>
      <c r="HA27">
        <v>100.398</v>
      </c>
      <c r="HB27">
        <v>70.624499999999998</v>
      </c>
    </row>
    <row r="28" spans="1:210" x14ac:dyDescent="0.3">
      <c r="A28">
        <v>12</v>
      </c>
      <c r="B28">
        <v>1750084861.0999999</v>
      </c>
      <c r="C28">
        <v>1985.599999904633</v>
      </c>
      <c r="D28" t="s">
        <v>366</v>
      </c>
      <c r="E28" t="s">
        <v>367</v>
      </c>
      <c r="F28">
        <v>15</v>
      </c>
      <c r="G28">
        <v>1750084853.349999</v>
      </c>
      <c r="H28">
        <f t="shared" si="0"/>
        <v>1.7523390003917534E-3</v>
      </c>
      <c r="I28">
        <f t="shared" si="1"/>
        <v>1.7523390003917534</v>
      </c>
      <c r="J28">
        <f t="shared" si="2"/>
        <v>33.225302464034286</v>
      </c>
      <c r="K28">
        <f t="shared" si="3"/>
        <v>1519.2766666666671</v>
      </c>
      <c r="L28">
        <f t="shared" si="4"/>
        <v>1172.16887495677</v>
      </c>
      <c r="M28">
        <f t="shared" si="5"/>
        <v>120.4339988402794</v>
      </c>
      <c r="N28">
        <f t="shared" si="6"/>
        <v>156.0974431420089</v>
      </c>
      <c r="O28">
        <f t="shared" si="7"/>
        <v>0.16934681541566179</v>
      </c>
      <c r="P28">
        <f t="shared" si="8"/>
        <v>2.4366351196766316</v>
      </c>
      <c r="Q28">
        <f t="shared" si="9"/>
        <v>0.16316365345989808</v>
      </c>
      <c r="R28">
        <f t="shared" si="10"/>
        <v>0.10251416363704841</v>
      </c>
      <c r="S28">
        <f t="shared" si="11"/>
        <v>177.94103566666669</v>
      </c>
      <c r="T28">
        <f t="shared" si="12"/>
        <v>27.739438924226885</v>
      </c>
      <c r="U28">
        <f t="shared" si="13"/>
        <v>26.505520000000001</v>
      </c>
      <c r="V28">
        <f t="shared" si="14"/>
        <v>3.4765218514053027</v>
      </c>
      <c r="W28">
        <f t="shared" si="15"/>
        <v>67.044799100333378</v>
      </c>
      <c r="X28">
        <f t="shared" si="16"/>
        <v>2.4046505913251335</v>
      </c>
      <c r="Y28">
        <f t="shared" si="17"/>
        <v>3.5866325555343139</v>
      </c>
      <c r="Z28">
        <f t="shared" si="18"/>
        <v>1.0718712600801692</v>
      </c>
      <c r="AA28">
        <f t="shared" si="19"/>
        <v>-77.278149917276323</v>
      </c>
      <c r="AB28">
        <f t="shared" si="20"/>
        <v>69.622414583587158</v>
      </c>
      <c r="AC28">
        <f t="shared" si="21"/>
        <v>6.1522912286194096</v>
      </c>
      <c r="AD28">
        <f t="shared" si="22"/>
        <v>176.43759156159695</v>
      </c>
      <c r="AE28">
        <f t="shared" si="23"/>
        <v>33.225302464034286</v>
      </c>
      <c r="AF28">
        <f t="shared" si="24"/>
        <v>1.7523390003917534</v>
      </c>
      <c r="AG28">
        <f t="shared" si="25"/>
        <v>33.160171760516967</v>
      </c>
      <c r="AH28">
        <v>1631.8596788372411</v>
      </c>
      <c r="AI28">
        <v>1555.734848484848</v>
      </c>
      <c r="AJ28">
        <v>4.2325966909207329E-3</v>
      </c>
      <c r="AK28">
        <v>83.944004845823216</v>
      </c>
      <c r="AL28">
        <f t="shared" si="26"/>
        <v>1.7445760909372077</v>
      </c>
      <c r="AM28">
        <v>19.552676924698829</v>
      </c>
      <c r="AN28">
        <v>23.385831733483919</v>
      </c>
      <c r="AO28">
        <v>-1.77241100379927E-5</v>
      </c>
      <c r="AP28">
        <v>90.567877275144056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54276.839325273111</v>
      </c>
      <c r="AV28">
        <f t="shared" si="30"/>
        <v>936.53176666666673</v>
      </c>
      <c r="AW28">
        <f t="shared" si="31"/>
        <v>749.22541333333345</v>
      </c>
      <c r="AX28">
        <f t="shared" si="32"/>
        <v>0.8</v>
      </c>
      <c r="AY28">
        <f t="shared" si="33"/>
        <v>0.19</v>
      </c>
      <c r="AZ28">
        <v>9</v>
      </c>
      <c r="BA28">
        <v>1.88</v>
      </c>
      <c r="BB28" t="s">
        <v>339</v>
      </c>
      <c r="BC28">
        <v>2</v>
      </c>
      <c r="BD28" t="b">
        <v>0</v>
      </c>
      <c r="BE28">
        <v>1750084853.349999</v>
      </c>
      <c r="BF28">
        <v>1519.2766666666671</v>
      </c>
      <c r="BG28">
        <v>1600.0129999999999</v>
      </c>
      <c r="BH28">
        <v>23.404160000000001</v>
      </c>
      <c r="BI28">
        <v>19.55418666666667</v>
      </c>
      <c r="BJ28">
        <v>1506.17</v>
      </c>
      <c r="BK28">
        <v>23.24245333333333</v>
      </c>
      <c r="BL28">
        <v>400.05323333333331</v>
      </c>
      <c r="BM28">
        <v>102.64456666666671</v>
      </c>
      <c r="BN28">
        <v>0.1000134133333333</v>
      </c>
      <c r="BO28">
        <v>27.035516666666659</v>
      </c>
      <c r="BP28">
        <v>26.505520000000001</v>
      </c>
      <c r="BQ28">
        <v>999.9000000000002</v>
      </c>
      <c r="BR28">
        <v>0</v>
      </c>
      <c r="BS28">
        <v>0</v>
      </c>
      <c r="BT28">
        <v>10001.48333333333</v>
      </c>
      <c r="BU28">
        <v>936.53176666666673</v>
      </c>
      <c r="BV28">
        <v>16.789290000000001</v>
      </c>
      <c r="BW28">
        <v>-80.735556666666682</v>
      </c>
      <c r="BX28">
        <v>1555.687333333334</v>
      </c>
      <c r="BY28">
        <v>1631.923666666667</v>
      </c>
      <c r="BZ28">
        <v>3.8499783333333331</v>
      </c>
      <c r="CA28">
        <v>1600.0129999999999</v>
      </c>
      <c r="CB28">
        <v>19.55418666666667</v>
      </c>
      <c r="CC28">
        <v>2.4023129999999999</v>
      </c>
      <c r="CD28">
        <v>2.0071330000000001</v>
      </c>
      <c r="CE28">
        <v>20.37936666666667</v>
      </c>
      <c r="CF28">
        <v>17.50072333333333</v>
      </c>
      <c r="CG28">
        <v>1750082558</v>
      </c>
      <c r="CH28" t="s">
        <v>340</v>
      </c>
      <c r="CI28">
        <v>1750082558</v>
      </c>
      <c r="CJ28">
        <v>1750082553</v>
      </c>
      <c r="CK28">
        <v>5</v>
      </c>
      <c r="CL28">
        <v>-0.48299999999999998</v>
      </c>
      <c r="CM28">
        <v>-2.4E-2</v>
      </c>
      <c r="CN28">
        <v>2.1739999999999999</v>
      </c>
      <c r="CO28">
        <v>0.16200000000000001</v>
      </c>
      <c r="CP28">
        <v>450</v>
      </c>
      <c r="CQ28">
        <v>19</v>
      </c>
      <c r="CR28">
        <v>0.03</v>
      </c>
      <c r="CS28">
        <v>0.02</v>
      </c>
      <c r="CT28">
        <v>-80.77431463414635</v>
      </c>
      <c r="CU28">
        <v>0.9018815331011335</v>
      </c>
      <c r="CV28">
        <v>0.1034577810933944</v>
      </c>
      <c r="CW28">
        <v>0</v>
      </c>
      <c r="CX28">
        <v>0</v>
      </c>
      <c r="CY28">
        <v>0</v>
      </c>
      <c r="CZ28">
        <v>0</v>
      </c>
      <c r="DA28">
        <v>-1</v>
      </c>
      <c r="DB28">
        <v>3.8584609756097561</v>
      </c>
      <c r="DC28">
        <v>-0.18945783972125529</v>
      </c>
      <c r="DD28">
        <v>1.8704241439541809E-2</v>
      </c>
      <c r="DE28">
        <v>0</v>
      </c>
      <c r="DF28">
        <v>0</v>
      </c>
      <c r="DG28">
        <v>2</v>
      </c>
      <c r="DH28" t="s">
        <v>368</v>
      </c>
      <c r="DI28">
        <v>3.0243500000000001</v>
      </c>
      <c r="DJ28">
        <v>2.69123</v>
      </c>
      <c r="DK28">
        <v>0.22901099999999999</v>
      </c>
      <c r="DL28">
        <v>0.23882999999999999</v>
      </c>
      <c r="DM28">
        <v>0.11912</v>
      </c>
      <c r="DN28">
        <v>0.105945</v>
      </c>
      <c r="DO28">
        <v>21466.5</v>
      </c>
      <c r="DP28">
        <v>14309</v>
      </c>
      <c r="DQ28">
        <v>26419.5</v>
      </c>
      <c r="DR28">
        <v>17086.3</v>
      </c>
      <c r="DS28">
        <v>33108</v>
      </c>
      <c r="DT28">
        <v>19931</v>
      </c>
      <c r="DU28">
        <v>38489.9</v>
      </c>
      <c r="DV28">
        <v>22614.5</v>
      </c>
      <c r="DW28">
        <v>1.8022800000000001</v>
      </c>
      <c r="DX28">
        <v>2.1949200000000002</v>
      </c>
      <c r="DY28">
        <v>7.3984300000000003E-2</v>
      </c>
      <c r="DZ28">
        <v>0</v>
      </c>
      <c r="EA28">
        <v>25.2896</v>
      </c>
      <c r="EB28">
        <v>999.9</v>
      </c>
      <c r="EC28">
        <v>53.4</v>
      </c>
      <c r="ED28">
        <v>32.1</v>
      </c>
      <c r="EE28">
        <v>24.984999999999999</v>
      </c>
      <c r="EF28">
        <v>62.859699999999997</v>
      </c>
      <c r="EG28">
        <v>34.5473</v>
      </c>
      <c r="EH28">
        <v>1</v>
      </c>
      <c r="EI28">
        <v>6.4414600000000002E-2</v>
      </c>
      <c r="EJ28">
        <v>8.76078E-2</v>
      </c>
      <c r="EK28">
        <v>20.326599999999999</v>
      </c>
      <c r="EL28">
        <v>5.2520300000000004</v>
      </c>
      <c r="EM28">
        <v>11.962</v>
      </c>
      <c r="EN28">
        <v>4.9896399999999996</v>
      </c>
      <c r="EO28">
        <v>3.29108</v>
      </c>
      <c r="EP28">
        <v>9999</v>
      </c>
      <c r="EQ28">
        <v>9999</v>
      </c>
      <c r="ER28">
        <v>9999</v>
      </c>
      <c r="ES28">
        <v>999.9</v>
      </c>
      <c r="ET28">
        <v>4.9726900000000001</v>
      </c>
      <c r="EU28">
        <v>1.87195</v>
      </c>
      <c r="EV28">
        <v>1.87218</v>
      </c>
      <c r="EW28">
        <v>1.87727</v>
      </c>
      <c r="EX28">
        <v>1.8713500000000001</v>
      </c>
      <c r="EY28">
        <v>1.87212</v>
      </c>
      <c r="EZ28">
        <v>1.8717999999999999</v>
      </c>
      <c r="FA28">
        <v>1.8687400000000001</v>
      </c>
      <c r="FB28">
        <v>0</v>
      </c>
      <c r="FC28">
        <v>0</v>
      </c>
      <c r="FD28">
        <v>0</v>
      </c>
      <c r="FE28">
        <v>0</v>
      </c>
      <c r="FF28" t="s">
        <v>342</v>
      </c>
      <c r="FG28" t="s">
        <v>343</v>
      </c>
      <c r="FH28" t="s">
        <v>344</v>
      </c>
      <c r="FI28" t="s">
        <v>344</v>
      </c>
      <c r="FJ28" t="s">
        <v>344</v>
      </c>
      <c r="FK28" t="s">
        <v>344</v>
      </c>
      <c r="FL28">
        <v>0</v>
      </c>
      <c r="FM28">
        <v>100</v>
      </c>
      <c r="FN28">
        <v>100</v>
      </c>
      <c r="FO28">
        <v>13.11</v>
      </c>
      <c r="FP28">
        <v>0.1618</v>
      </c>
      <c r="FQ28">
        <v>-1.5635263302789351</v>
      </c>
      <c r="FR28">
        <v>7.6898218637449396E-3</v>
      </c>
      <c r="FS28">
        <v>1.5097418776848419E-6</v>
      </c>
      <c r="FT28">
        <v>-9.8458676114205118E-11</v>
      </c>
      <c r="FU28">
        <v>0.1617099999999958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38.4</v>
      </c>
      <c r="GD28">
        <v>38.5</v>
      </c>
      <c r="GE28">
        <v>3.0920399999999999</v>
      </c>
      <c r="GF28">
        <v>2.6037599999999999</v>
      </c>
      <c r="GG28">
        <v>1.7981</v>
      </c>
      <c r="GH28">
        <v>2.3718300000000001</v>
      </c>
      <c r="GI28">
        <v>1.5979000000000001</v>
      </c>
      <c r="GJ28">
        <v>2.5671400000000002</v>
      </c>
      <c r="GK28">
        <v>35.707799999999999</v>
      </c>
      <c r="GL28">
        <v>24.1663</v>
      </c>
      <c r="GM28">
        <v>18</v>
      </c>
      <c r="GN28">
        <v>368.91300000000001</v>
      </c>
      <c r="GO28">
        <v>680.04200000000003</v>
      </c>
      <c r="GP28">
        <v>25.83</v>
      </c>
      <c r="GQ28">
        <v>27.9251</v>
      </c>
      <c r="GR28">
        <v>30.0001</v>
      </c>
      <c r="GS28">
        <v>27.863399999999999</v>
      </c>
      <c r="GT28">
        <v>27.883700000000001</v>
      </c>
      <c r="GU28">
        <v>61.808399999999999</v>
      </c>
      <c r="GV28">
        <v>27.643999999999998</v>
      </c>
      <c r="GW28">
        <v>0</v>
      </c>
      <c r="GX28">
        <v>25.83</v>
      </c>
      <c r="GY28">
        <v>1600</v>
      </c>
      <c r="GZ28">
        <v>19.5</v>
      </c>
      <c r="HA28">
        <v>100.396</v>
      </c>
      <c r="HB28">
        <v>70.625500000000002</v>
      </c>
    </row>
    <row r="29" spans="1:210" x14ac:dyDescent="0.3">
      <c r="A29">
        <v>13</v>
      </c>
      <c r="B29">
        <v>1750085041.5999999</v>
      </c>
      <c r="C29">
        <v>2166.099999904633</v>
      </c>
      <c r="D29" t="s">
        <v>369</v>
      </c>
      <c r="E29" t="s">
        <v>370</v>
      </c>
      <c r="F29">
        <v>15</v>
      </c>
      <c r="G29">
        <v>1750085033.849999</v>
      </c>
      <c r="H29">
        <f t="shared" si="0"/>
        <v>1.5566267620750378E-3</v>
      </c>
      <c r="I29">
        <f t="shared" si="1"/>
        <v>1.5566267620750378</v>
      </c>
      <c r="J29">
        <f t="shared" si="2"/>
        <v>13.932836490361057</v>
      </c>
      <c r="K29">
        <f t="shared" si="3"/>
        <v>417.18836666666658</v>
      </c>
      <c r="L29">
        <f t="shared" si="4"/>
        <v>249.64854281058481</v>
      </c>
      <c r="M29">
        <f t="shared" si="5"/>
        <v>25.649061939781738</v>
      </c>
      <c r="N29">
        <f t="shared" si="6"/>
        <v>42.862217967394514</v>
      </c>
      <c r="O29">
        <f t="shared" si="7"/>
        <v>0.14176725209278349</v>
      </c>
      <c r="P29">
        <f t="shared" si="8"/>
        <v>2.4360426437875109</v>
      </c>
      <c r="Q29">
        <f t="shared" si="9"/>
        <v>0.1374053561560053</v>
      </c>
      <c r="R29">
        <f t="shared" si="10"/>
        <v>8.6259160642255264E-2</v>
      </c>
      <c r="S29">
        <f t="shared" si="11"/>
        <v>177.96329733333332</v>
      </c>
      <c r="T29">
        <f t="shared" si="12"/>
        <v>27.806722747152804</v>
      </c>
      <c r="U29">
        <f t="shared" si="13"/>
        <v>26.565523333333338</v>
      </c>
      <c r="V29">
        <f t="shared" si="14"/>
        <v>3.4888379638655875</v>
      </c>
      <c r="W29">
        <f t="shared" si="15"/>
        <v>65.719634982370891</v>
      </c>
      <c r="X29">
        <f t="shared" si="16"/>
        <v>2.3580363603709804</v>
      </c>
      <c r="Y29">
        <f t="shared" si="17"/>
        <v>3.5880241285629739</v>
      </c>
      <c r="Z29">
        <f t="shared" si="18"/>
        <v>1.1308016034946071</v>
      </c>
      <c r="AA29">
        <f t="shared" si="19"/>
        <v>-68.647240207509171</v>
      </c>
      <c r="AB29">
        <f t="shared" si="20"/>
        <v>62.592798320257096</v>
      </c>
      <c r="AC29">
        <f t="shared" si="21"/>
        <v>5.5342970331878005</v>
      </c>
      <c r="AD29">
        <f t="shared" si="22"/>
        <v>177.44315247926906</v>
      </c>
      <c r="AE29">
        <f t="shared" si="23"/>
        <v>13.932836490361057</v>
      </c>
      <c r="AF29">
        <f t="shared" si="24"/>
        <v>1.5566267620750378</v>
      </c>
      <c r="AG29">
        <f t="shared" si="25"/>
        <v>13.942474716476044</v>
      </c>
      <c r="AH29">
        <v>458.97506031408261</v>
      </c>
      <c r="AI29">
        <v>426.98038787878772</v>
      </c>
      <c r="AJ29">
        <v>1.8929211687183551E-4</v>
      </c>
      <c r="AK29">
        <v>83.944004845823216</v>
      </c>
      <c r="AL29">
        <f t="shared" si="26"/>
        <v>1.5508268482352525</v>
      </c>
      <c r="AM29">
        <v>19.529722616871371</v>
      </c>
      <c r="AN29">
        <v>22.938913099943552</v>
      </c>
      <c r="AO29">
        <v>-1.358289744558679E-5</v>
      </c>
      <c r="AP29">
        <v>90.567877275144056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54255.625341660176</v>
      </c>
      <c r="AV29">
        <f t="shared" si="30"/>
        <v>936.64893333333328</v>
      </c>
      <c r="AW29">
        <f t="shared" si="31"/>
        <v>749.31914666666671</v>
      </c>
      <c r="AX29">
        <f t="shared" si="32"/>
        <v>0.8</v>
      </c>
      <c r="AY29">
        <f t="shared" si="33"/>
        <v>0.19</v>
      </c>
      <c r="AZ29">
        <v>9</v>
      </c>
      <c r="BA29">
        <v>1.88</v>
      </c>
      <c r="BB29" t="s">
        <v>339</v>
      </c>
      <c r="BC29">
        <v>2</v>
      </c>
      <c r="BD29" t="b">
        <v>0</v>
      </c>
      <c r="BE29">
        <v>1750085033.849999</v>
      </c>
      <c r="BF29">
        <v>417.18836666666658</v>
      </c>
      <c r="BG29">
        <v>449.99596666666662</v>
      </c>
      <c r="BH29">
        <v>22.951339999999998</v>
      </c>
      <c r="BI29">
        <v>19.52957</v>
      </c>
      <c r="BJ29">
        <v>415.30489999999998</v>
      </c>
      <c r="BK29">
        <v>22.789636666666659</v>
      </c>
      <c r="BL29">
        <v>400.02983333333327</v>
      </c>
      <c r="BM29">
        <v>102.6406666666667</v>
      </c>
      <c r="BN29">
        <v>0.10001690000000001</v>
      </c>
      <c r="BO29">
        <v>27.042123333333329</v>
      </c>
      <c r="BP29">
        <v>26.565523333333338</v>
      </c>
      <c r="BQ29">
        <v>999.9000000000002</v>
      </c>
      <c r="BR29">
        <v>0</v>
      </c>
      <c r="BS29">
        <v>0</v>
      </c>
      <c r="BT29">
        <v>9998.0333333333328</v>
      </c>
      <c r="BU29">
        <v>936.64893333333328</v>
      </c>
      <c r="BV29">
        <v>16.764723333333329</v>
      </c>
      <c r="BW29">
        <v>-32.807603333333333</v>
      </c>
      <c r="BX29">
        <v>426.9883333333334</v>
      </c>
      <c r="BY29">
        <v>458.95923333333332</v>
      </c>
      <c r="BZ29">
        <v>3.4217793333333328</v>
      </c>
      <c r="CA29">
        <v>449.99596666666662</v>
      </c>
      <c r="CB29">
        <v>19.52957</v>
      </c>
      <c r="CC29">
        <v>2.355738666666666</v>
      </c>
      <c r="CD29">
        <v>2.0045256666666669</v>
      </c>
      <c r="CE29">
        <v>20.06269</v>
      </c>
      <c r="CF29">
        <v>17.48013666666667</v>
      </c>
      <c r="CG29">
        <v>1750082558</v>
      </c>
      <c r="CH29" t="s">
        <v>340</v>
      </c>
      <c r="CI29">
        <v>1750082558</v>
      </c>
      <c r="CJ29">
        <v>1750082553</v>
      </c>
      <c r="CK29">
        <v>5</v>
      </c>
      <c r="CL29">
        <v>-0.48299999999999998</v>
      </c>
      <c r="CM29">
        <v>-2.4E-2</v>
      </c>
      <c r="CN29">
        <v>2.1739999999999999</v>
      </c>
      <c r="CO29">
        <v>0.16200000000000001</v>
      </c>
      <c r="CP29">
        <v>450</v>
      </c>
      <c r="CQ29">
        <v>19</v>
      </c>
      <c r="CR29">
        <v>0.03</v>
      </c>
      <c r="CS29">
        <v>0.02</v>
      </c>
      <c r="CT29">
        <v>-32.805670731707323</v>
      </c>
      <c r="CU29">
        <v>-6.1906620209164882E-2</v>
      </c>
      <c r="CV29">
        <v>3.8384405140645658E-2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3.4272421951219512</v>
      </c>
      <c r="DC29">
        <v>-0.1003643205574915</v>
      </c>
      <c r="DD29">
        <v>9.9350221898668704E-3</v>
      </c>
      <c r="DE29">
        <v>0</v>
      </c>
      <c r="DF29">
        <v>1</v>
      </c>
      <c r="DG29">
        <v>2</v>
      </c>
      <c r="DH29" t="s">
        <v>363</v>
      </c>
      <c r="DI29">
        <v>3.0243699999999998</v>
      </c>
      <c r="DJ29">
        <v>2.6911399999999999</v>
      </c>
      <c r="DK29">
        <v>9.7172700000000001E-2</v>
      </c>
      <c r="DL29">
        <v>0.103732</v>
      </c>
      <c r="DM29">
        <v>0.117517</v>
      </c>
      <c r="DN29">
        <v>0.10582999999999999</v>
      </c>
      <c r="DO29">
        <v>25138.1</v>
      </c>
      <c r="DP29">
        <v>16849.7</v>
      </c>
      <c r="DQ29">
        <v>26420.3</v>
      </c>
      <c r="DR29">
        <v>17087.2</v>
      </c>
      <c r="DS29">
        <v>33168.1</v>
      </c>
      <c r="DT29">
        <v>19932.599999999999</v>
      </c>
      <c r="DU29">
        <v>38492</v>
      </c>
      <c r="DV29">
        <v>22615.8</v>
      </c>
      <c r="DW29">
        <v>1.8014600000000001</v>
      </c>
      <c r="DX29">
        <v>2.1918600000000001</v>
      </c>
      <c r="DY29">
        <v>7.8082100000000002E-2</v>
      </c>
      <c r="DZ29">
        <v>0</v>
      </c>
      <c r="EA29">
        <v>25.286300000000001</v>
      </c>
      <c r="EB29">
        <v>999.9</v>
      </c>
      <c r="EC29">
        <v>53.4</v>
      </c>
      <c r="ED29">
        <v>32.1</v>
      </c>
      <c r="EE29">
        <v>24.9815</v>
      </c>
      <c r="EF29">
        <v>62.829700000000003</v>
      </c>
      <c r="EG29">
        <v>34.803699999999999</v>
      </c>
      <c r="EH29">
        <v>1</v>
      </c>
      <c r="EI29">
        <v>6.3006099999999995E-2</v>
      </c>
      <c r="EJ29">
        <v>7.7973899999999999E-2</v>
      </c>
      <c r="EK29">
        <v>20.327100000000002</v>
      </c>
      <c r="EL29">
        <v>5.2519099999999996</v>
      </c>
      <c r="EM29">
        <v>11.962</v>
      </c>
      <c r="EN29">
        <v>4.98956</v>
      </c>
      <c r="EO29">
        <v>3.2911800000000002</v>
      </c>
      <c r="EP29">
        <v>9999</v>
      </c>
      <c r="EQ29">
        <v>9999</v>
      </c>
      <c r="ER29">
        <v>9999</v>
      </c>
      <c r="ES29">
        <v>999.9</v>
      </c>
      <c r="ET29">
        <v>4.9726800000000004</v>
      </c>
      <c r="EU29">
        <v>1.8719399999999999</v>
      </c>
      <c r="EV29">
        <v>1.87218</v>
      </c>
      <c r="EW29">
        <v>1.87723</v>
      </c>
      <c r="EX29">
        <v>1.87134</v>
      </c>
      <c r="EY29">
        <v>1.8721300000000001</v>
      </c>
      <c r="EZ29">
        <v>1.8717999999999999</v>
      </c>
      <c r="FA29">
        <v>1.8687400000000001</v>
      </c>
      <c r="FB29">
        <v>0</v>
      </c>
      <c r="FC29">
        <v>0</v>
      </c>
      <c r="FD29">
        <v>0</v>
      </c>
      <c r="FE29">
        <v>0</v>
      </c>
      <c r="FF29" t="s">
        <v>342</v>
      </c>
      <c r="FG29" t="s">
        <v>343</v>
      </c>
      <c r="FH29" t="s">
        <v>344</v>
      </c>
      <c r="FI29" t="s">
        <v>344</v>
      </c>
      <c r="FJ29" t="s">
        <v>344</v>
      </c>
      <c r="FK29" t="s">
        <v>344</v>
      </c>
      <c r="FL29">
        <v>0</v>
      </c>
      <c r="FM29">
        <v>100</v>
      </c>
      <c r="FN29">
        <v>100</v>
      </c>
      <c r="FO29">
        <v>1.8839999999999999</v>
      </c>
      <c r="FP29">
        <v>0.16170000000000001</v>
      </c>
      <c r="FQ29">
        <v>-1.5635263302789351</v>
      </c>
      <c r="FR29">
        <v>7.6898218637449396E-3</v>
      </c>
      <c r="FS29">
        <v>1.5097418776848419E-6</v>
      </c>
      <c r="FT29">
        <v>-9.8458676114205118E-11</v>
      </c>
      <c r="FU29">
        <v>0.1617099999999958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41.4</v>
      </c>
      <c r="GD29">
        <v>41.5</v>
      </c>
      <c r="GE29">
        <v>1.09863</v>
      </c>
      <c r="GF29">
        <v>2.6293899999999999</v>
      </c>
      <c r="GG29">
        <v>1.7981</v>
      </c>
      <c r="GH29">
        <v>2.3718300000000001</v>
      </c>
      <c r="GI29">
        <v>1.5979000000000001</v>
      </c>
      <c r="GJ29">
        <v>2.4597199999999999</v>
      </c>
      <c r="GK29">
        <v>35.731099999999998</v>
      </c>
      <c r="GL29">
        <v>24.157499999999999</v>
      </c>
      <c r="GM29">
        <v>18</v>
      </c>
      <c r="GN29">
        <v>368.411</v>
      </c>
      <c r="GO29">
        <v>677.20399999999995</v>
      </c>
      <c r="GP29">
        <v>25.83</v>
      </c>
      <c r="GQ29">
        <v>27.905999999999999</v>
      </c>
      <c r="GR29">
        <v>30.0001</v>
      </c>
      <c r="GS29">
        <v>27.851700000000001</v>
      </c>
      <c r="GT29">
        <v>27.8719</v>
      </c>
      <c r="GU29">
        <v>21.966200000000001</v>
      </c>
      <c r="GV29">
        <v>28.189599999999999</v>
      </c>
      <c r="GW29">
        <v>0</v>
      </c>
      <c r="GX29">
        <v>25.83</v>
      </c>
      <c r="GY29">
        <v>450</v>
      </c>
      <c r="GZ29">
        <v>19.5</v>
      </c>
      <c r="HA29">
        <v>100.401</v>
      </c>
      <c r="HB29">
        <v>70.629300000000001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30</v>
      </c>
      <c r="B17" t="s">
        <v>29</v>
      </c>
    </row>
    <row r="18" spans="1:2" x14ac:dyDescent="0.3">
      <c r="A18" t="s">
        <v>32</v>
      </c>
      <c r="B18" t="s">
        <v>31</v>
      </c>
    </row>
    <row r="19" spans="1:2" x14ac:dyDescent="0.3">
      <c r="A19" t="s">
        <v>32</v>
      </c>
      <c r="B1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2025-06-16T14:44:11Z</dcterms:created>
  <dcterms:modified xsi:type="dcterms:W3CDTF">2025-12-01T11:39:47Z</dcterms:modified>
</cp:coreProperties>
</file>