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Aci_curves/"/>
    </mc:Choice>
  </mc:AlternateContent>
  <xr:revisionPtr revIDLastSave="3" documentId="11_ACE07100C3DB15D1B11DFAD3A9124BD70638F03A" xr6:coauthVersionLast="47" xr6:coauthVersionMax="47" xr10:uidLastSave="{4F4DA6D0-D959-4B78-AAC0-0F92638F0EC9}"/>
  <bookViews>
    <workbookView xWindow="1920" yWindow="1920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9" i="1" l="1"/>
  <c r="AX29" i="1"/>
  <c r="AV29" i="1"/>
  <c r="AW29" i="1" s="1"/>
  <c r="AU29" i="1"/>
  <c r="AS29" i="1" s="1"/>
  <c r="AL29" i="1"/>
  <c r="AG29" i="1"/>
  <c r="Y29" i="1"/>
  <c r="X29" i="1"/>
  <c r="W29" i="1" s="1"/>
  <c r="P29" i="1"/>
  <c r="AY28" i="1"/>
  <c r="AX28" i="1"/>
  <c r="AV28" i="1"/>
  <c r="S28" i="1" s="1"/>
  <c r="AU28" i="1"/>
  <c r="AT28" i="1"/>
  <c r="AS28" i="1"/>
  <c r="AF28" i="1" s="1"/>
  <c r="I28" i="1" s="1"/>
  <c r="H28" i="1" s="1"/>
  <c r="AL28" i="1"/>
  <c r="AG28" i="1"/>
  <c r="AE28" i="1"/>
  <c r="J28" i="1" s="1"/>
  <c r="Y28" i="1"/>
  <c r="X28" i="1"/>
  <c r="W28" i="1"/>
  <c r="P28" i="1"/>
  <c r="N28" i="1"/>
  <c r="K28" i="1"/>
  <c r="AY27" i="1"/>
  <c r="AX27" i="1"/>
  <c r="AV27" i="1"/>
  <c r="S27" i="1" s="1"/>
  <c r="AU27" i="1"/>
  <c r="AS27" i="1" s="1"/>
  <c r="AL27" i="1"/>
  <c r="AG27" i="1"/>
  <c r="Y27" i="1"/>
  <c r="X27" i="1"/>
  <c r="W27" i="1" s="1"/>
  <c r="P27" i="1"/>
  <c r="AY26" i="1"/>
  <c r="AX26" i="1"/>
  <c r="AV26" i="1"/>
  <c r="AW26" i="1" s="1"/>
  <c r="AU26" i="1"/>
  <c r="AS26" i="1"/>
  <c r="AE26" i="1" s="1"/>
  <c r="J26" i="1" s="1"/>
  <c r="AL26" i="1"/>
  <c r="AG26" i="1"/>
  <c r="Y26" i="1"/>
  <c r="X26" i="1"/>
  <c r="W26" i="1" s="1"/>
  <c r="S26" i="1"/>
  <c r="P26" i="1"/>
  <c r="K26" i="1"/>
  <c r="AY25" i="1"/>
  <c r="AX25" i="1"/>
  <c r="AV25" i="1"/>
  <c r="AW25" i="1" s="1"/>
  <c r="AU25" i="1"/>
  <c r="AS25" i="1" s="1"/>
  <c r="AL25" i="1"/>
  <c r="AG25" i="1"/>
  <c r="Y25" i="1"/>
  <c r="X25" i="1"/>
  <c r="W25" i="1" s="1"/>
  <c r="P25" i="1"/>
  <c r="AY24" i="1"/>
  <c r="AX24" i="1"/>
  <c r="AV24" i="1"/>
  <c r="S24" i="1" s="1"/>
  <c r="AU24" i="1"/>
  <c r="AT24" i="1"/>
  <c r="AS24" i="1"/>
  <c r="AL24" i="1"/>
  <c r="AG24" i="1"/>
  <c r="AF24" i="1"/>
  <c r="I24" i="1" s="1"/>
  <c r="H24" i="1" s="1"/>
  <c r="AE24" i="1"/>
  <c r="J24" i="1" s="1"/>
  <c r="Y24" i="1"/>
  <c r="X24" i="1"/>
  <c r="W24" i="1"/>
  <c r="P24" i="1"/>
  <c r="N24" i="1"/>
  <c r="K24" i="1"/>
  <c r="AY23" i="1"/>
  <c r="AX23" i="1"/>
  <c r="AV23" i="1"/>
  <c r="S23" i="1" s="1"/>
  <c r="AU23" i="1"/>
  <c r="AS23" i="1" s="1"/>
  <c r="AL23" i="1"/>
  <c r="AG23" i="1"/>
  <c r="AF23" i="1"/>
  <c r="I23" i="1" s="1"/>
  <c r="H23" i="1" s="1"/>
  <c r="Y23" i="1"/>
  <c r="X23" i="1"/>
  <c r="W23" i="1" s="1"/>
  <c r="P23" i="1"/>
  <c r="AY22" i="1"/>
  <c r="AX22" i="1"/>
  <c r="AV22" i="1"/>
  <c r="AW22" i="1" s="1"/>
  <c r="AU22" i="1"/>
  <c r="AS22" i="1"/>
  <c r="AE22" i="1" s="1"/>
  <c r="AL22" i="1"/>
  <c r="AG22" i="1"/>
  <c r="Y22" i="1"/>
  <c r="X22" i="1"/>
  <c r="W22" i="1" s="1"/>
  <c r="S22" i="1"/>
  <c r="P22" i="1"/>
  <c r="K22" i="1"/>
  <c r="J22" i="1"/>
  <c r="AY21" i="1"/>
  <c r="AX21" i="1"/>
  <c r="AV21" i="1"/>
  <c r="AW21" i="1" s="1"/>
  <c r="AU21" i="1"/>
  <c r="AS21" i="1" s="1"/>
  <c r="AT21" i="1"/>
  <c r="AL21" i="1"/>
  <c r="AG21" i="1"/>
  <c r="Y21" i="1"/>
  <c r="X21" i="1"/>
  <c r="W21" i="1" s="1"/>
  <c r="P21" i="1"/>
  <c r="AY20" i="1"/>
  <c r="AX20" i="1"/>
  <c r="AV20" i="1"/>
  <c r="AU20" i="1"/>
  <c r="AT20" i="1"/>
  <c r="AS20" i="1"/>
  <c r="AL20" i="1"/>
  <c r="AG20" i="1"/>
  <c r="AF20" i="1"/>
  <c r="I20" i="1" s="1"/>
  <c r="H20" i="1" s="1"/>
  <c r="AE20" i="1"/>
  <c r="J20" i="1" s="1"/>
  <c r="Y20" i="1"/>
  <c r="X20" i="1"/>
  <c r="W20" i="1"/>
  <c r="P20" i="1"/>
  <c r="N20" i="1"/>
  <c r="K20" i="1"/>
  <c r="AY19" i="1"/>
  <c r="AX19" i="1"/>
  <c r="AV19" i="1"/>
  <c r="S19" i="1" s="1"/>
  <c r="AU19" i="1"/>
  <c r="AT19" i="1"/>
  <c r="AS19" i="1"/>
  <c r="AE19" i="1" s="1"/>
  <c r="J19" i="1" s="1"/>
  <c r="AL19" i="1"/>
  <c r="AG19" i="1"/>
  <c r="AF19" i="1"/>
  <c r="I19" i="1" s="1"/>
  <c r="H19" i="1" s="1"/>
  <c r="Y19" i="1"/>
  <c r="X19" i="1"/>
  <c r="W19" i="1" s="1"/>
  <c r="P19" i="1"/>
  <c r="N19" i="1"/>
  <c r="K19" i="1"/>
  <c r="AY18" i="1"/>
  <c r="AX18" i="1"/>
  <c r="AV18" i="1"/>
  <c r="AW18" i="1" s="1"/>
  <c r="AU18" i="1"/>
  <c r="AS18" i="1"/>
  <c r="AE18" i="1" s="1"/>
  <c r="AL18" i="1"/>
  <c r="AG18" i="1"/>
  <c r="Y18" i="1"/>
  <c r="X18" i="1"/>
  <c r="W18" i="1" s="1"/>
  <c r="S18" i="1"/>
  <c r="P18" i="1"/>
  <c r="J18" i="1"/>
  <c r="AY17" i="1"/>
  <c r="AX17" i="1"/>
  <c r="AV17" i="1"/>
  <c r="AW17" i="1" s="1"/>
  <c r="AU17" i="1"/>
  <c r="AS17" i="1" s="1"/>
  <c r="AL17" i="1"/>
  <c r="AG17" i="1"/>
  <c r="Y17" i="1"/>
  <c r="X17" i="1"/>
  <c r="W17" i="1" s="1"/>
  <c r="P17" i="1"/>
  <c r="AA19" i="1" l="1"/>
  <c r="AA23" i="1"/>
  <c r="AA24" i="1"/>
  <c r="AA28" i="1"/>
  <c r="S20" i="1"/>
  <c r="AW20" i="1"/>
  <c r="AF29" i="1"/>
  <c r="I29" i="1" s="1"/>
  <c r="H29" i="1" s="1"/>
  <c r="AE29" i="1"/>
  <c r="J29" i="1" s="1"/>
  <c r="AT29" i="1"/>
  <c r="N29" i="1"/>
  <c r="K29" i="1"/>
  <c r="AF17" i="1"/>
  <c r="I17" i="1" s="1"/>
  <c r="H17" i="1" s="1"/>
  <c r="N17" i="1"/>
  <c r="AE17" i="1"/>
  <c r="J17" i="1" s="1"/>
  <c r="K17" i="1"/>
  <c r="AA20" i="1"/>
  <c r="AF21" i="1"/>
  <c r="I21" i="1" s="1"/>
  <c r="H21" i="1" s="1"/>
  <c r="AE21" i="1"/>
  <c r="J21" i="1" s="1"/>
  <c r="N21" i="1"/>
  <c r="K21" i="1"/>
  <c r="T28" i="1"/>
  <c r="U28" i="1" s="1"/>
  <c r="T19" i="1"/>
  <c r="U19" i="1" s="1"/>
  <c r="Q19" i="1" s="1"/>
  <c r="O19" i="1" s="1"/>
  <c r="R19" i="1" s="1"/>
  <c r="L19" i="1" s="1"/>
  <c r="M19" i="1" s="1"/>
  <c r="AT23" i="1"/>
  <c r="K23" i="1"/>
  <c r="AE23" i="1"/>
  <c r="J23" i="1" s="1"/>
  <c r="N23" i="1"/>
  <c r="AT27" i="1"/>
  <c r="K27" i="1"/>
  <c r="AF27" i="1"/>
  <c r="I27" i="1" s="1"/>
  <c r="H27" i="1" s="1"/>
  <c r="T27" i="1" s="1"/>
  <c r="U27" i="1" s="1"/>
  <c r="AE27" i="1"/>
  <c r="J27" i="1" s="1"/>
  <c r="N27" i="1"/>
  <c r="AT17" i="1"/>
  <c r="T23" i="1"/>
  <c r="U23" i="1" s="1"/>
  <c r="Q23" i="1" s="1"/>
  <c r="O23" i="1" s="1"/>
  <c r="R23" i="1" s="1"/>
  <c r="L23" i="1" s="1"/>
  <c r="M23" i="1" s="1"/>
  <c r="T24" i="1"/>
  <c r="U24" i="1" s="1"/>
  <c r="AF25" i="1"/>
  <c r="I25" i="1" s="1"/>
  <c r="H25" i="1" s="1"/>
  <c r="AE25" i="1"/>
  <c r="J25" i="1" s="1"/>
  <c r="AT25" i="1"/>
  <c r="N25" i="1"/>
  <c r="K25" i="1"/>
  <c r="AF18" i="1"/>
  <c r="I18" i="1" s="1"/>
  <c r="H18" i="1" s="1"/>
  <c r="AF22" i="1"/>
  <c r="I22" i="1" s="1"/>
  <c r="H22" i="1" s="1"/>
  <c r="AF26" i="1"/>
  <c r="I26" i="1" s="1"/>
  <c r="H26" i="1" s="1"/>
  <c r="S17" i="1"/>
  <c r="AW19" i="1"/>
  <c r="S21" i="1"/>
  <c r="AW23" i="1"/>
  <c r="S25" i="1"/>
  <c r="AW27" i="1"/>
  <c r="S29" i="1"/>
  <c r="AT26" i="1"/>
  <c r="K18" i="1"/>
  <c r="AT18" i="1"/>
  <c r="AW24" i="1"/>
  <c r="AW28" i="1"/>
  <c r="T18" i="1"/>
  <c r="U18" i="1" s="1"/>
  <c r="AB18" i="1" s="1"/>
  <c r="N18" i="1"/>
  <c r="N26" i="1"/>
  <c r="AT22" i="1"/>
  <c r="N22" i="1"/>
  <c r="AC27" i="1" l="1"/>
  <c r="V27" i="1"/>
  <c r="Z27" i="1" s="1"/>
  <c r="AB27" i="1"/>
  <c r="AC24" i="1"/>
  <c r="AD24" i="1" s="1"/>
  <c r="V24" i="1"/>
  <c r="Z24" i="1" s="1"/>
  <c r="AA21" i="1"/>
  <c r="Q25" i="1"/>
  <c r="O25" i="1" s="1"/>
  <c r="R25" i="1" s="1"/>
  <c r="L25" i="1" s="1"/>
  <c r="M25" i="1" s="1"/>
  <c r="AA25" i="1"/>
  <c r="AA22" i="1"/>
  <c r="AA17" i="1"/>
  <c r="Q24" i="1"/>
  <c r="O24" i="1" s="1"/>
  <c r="R24" i="1" s="1"/>
  <c r="L24" i="1" s="1"/>
  <c r="M24" i="1" s="1"/>
  <c r="Q29" i="1"/>
  <c r="O29" i="1" s="1"/>
  <c r="R29" i="1" s="1"/>
  <c r="L29" i="1" s="1"/>
  <c r="M29" i="1" s="1"/>
  <c r="AA29" i="1"/>
  <c r="T25" i="1"/>
  <c r="U25" i="1" s="1"/>
  <c r="AB24" i="1"/>
  <c r="AB23" i="1"/>
  <c r="AA26" i="1"/>
  <c r="AA18" i="1"/>
  <c r="Q18" i="1"/>
  <c r="O18" i="1" s="1"/>
  <c r="R18" i="1" s="1"/>
  <c r="L18" i="1" s="1"/>
  <c r="M18" i="1" s="1"/>
  <c r="T22" i="1"/>
  <c r="U22" i="1" s="1"/>
  <c r="Q22" i="1" s="1"/>
  <c r="O22" i="1" s="1"/>
  <c r="R22" i="1" s="1"/>
  <c r="L22" i="1" s="1"/>
  <c r="M22" i="1" s="1"/>
  <c r="V28" i="1"/>
  <c r="Z28" i="1" s="1"/>
  <c r="AC28" i="1"/>
  <c r="AB28" i="1"/>
  <c r="AB19" i="1"/>
  <c r="AA27" i="1"/>
  <c r="Q27" i="1"/>
  <c r="O27" i="1" s="1"/>
  <c r="R27" i="1" s="1"/>
  <c r="L27" i="1" s="1"/>
  <c r="M27" i="1" s="1"/>
  <c r="AC23" i="1"/>
  <c r="AD23" i="1" s="1"/>
  <c r="V23" i="1"/>
  <c r="Z23" i="1" s="1"/>
  <c r="T21" i="1"/>
  <c r="U21" i="1" s="1"/>
  <c r="Q21" i="1" s="1"/>
  <c r="O21" i="1" s="1"/>
  <c r="R21" i="1" s="1"/>
  <c r="L21" i="1" s="1"/>
  <c r="M21" i="1" s="1"/>
  <c r="T20" i="1"/>
  <c r="U20" i="1" s="1"/>
  <c r="T26" i="1"/>
  <c r="U26" i="1" s="1"/>
  <c r="V18" i="1"/>
  <c r="Z18" i="1" s="1"/>
  <c r="AC18" i="1"/>
  <c r="AD18" i="1" s="1"/>
  <c r="T29" i="1"/>
  <c r="U29" i="1" s="1"/>
  <c r="AC19" i="1"/>
  <c r="V19" i="1"/>
  <c r="Z19" i="1" s="1"/>
  <c r="T17" i="1"/>
  <c r="U17" i="1" s="1"/>
  <c r="Q17" i="1" s="1"/>
  <c r="O17" i="1" s="1"/>
  <c r="R17" i="1" s="1"/>
  <c r="L17" i="1" s="1"/>
  <c r="M17" i="1" s="1"/>
  <c r="Q28" i="1"/>
  <c r="O28" i="1" s="1"/>
  <c r="R28" i="1" s="1"/>
  <c r="L28" i="1" s="1"/>
  <c r="M28" i="1" s="1"/>
  <c r="V26" i="1" l="1"/>
  <c r="Z26" i="1" s="1"/>
  <c r="AC26" i="1"/>
  <c r="AD26" i="1" s="1"/>
  <c r="AB26" i="1"/>
  <c r="AC20" i="1"/>
  <c r="V20" i="1"/>
  <c r="Z20" i="1" s="1"/>
  <c r="AB20" i="1"/>
  <c r="Q20" i="1"/>
  <c r="O20" i="1" s="1"/>
  <c r="R20" i="1" s="1"/>
  <c r="L20" i="1" s="1"/>
  <c r="M20" i="1" s="1"/>
  <c r="AD19" i="1"/>
  <c r="V21" i="1"/>
  <c r="Z21" i="1" s="1"/>
  <c r="AC21" i="1"/>
  <c r="AD21" i="1" s="1"/>
  <c r="AB21" i="1"/>
  <c r="AD28" i="1"/>
  <c r="V17" i="1"/>
  <c r="Z17" i="1" s="1"/>
  <c r="AC17" i="1"/>
  <c r="AD17" i="1" s="1"/>
  <c r="AB17" i="1"/>
  <c r="Q26" i="1"/>
  <c r="O26" i="1" s="1"/>
  <c r="R26" i="1" s="1"/>
  <c r="L26" i="1" s="1"/>
  <c r="M26" i="1" s="1"/>
  <c r="AC25" i="1"/>
  <c r="AD25" i="1" s="1"/>
  <c r="AB25" i="1"/>
  <c r="V25" i="1"/>
  <c r="Z25" i="1" s="1"/>
  <c r="AC29" i="1"/>
  <c r="AB29" i="1"/>
  <c r="V29" i="1"/>
  <c r="Z29" i="1" s="1"/>
  <c r="V22" i="1"/>
  <c r="Z22" i="1" s="1"/>
  <c r="AC22" i="1"/>
  <c r="AD22" i="1" s="1"/>
  <c r="AB22" i="1"/>
  <c r="AD27" i="1"/>
  <c r="AD20" i="1" l="1"/>
  <c r="AD29" i="1"/>
</calcChain>
</file>

<file path=xl/sharedStrings.xml><?xml version="1.0" encoding="utf-8"?>
<sst xmlns="http://schemas.openxmlformats.org/spreadsheetml/2006/main" count="814" uniqueCount="368">
  <si>
    <t>File opened</t>
  </si>
  <si>
    <t>2025-06-17 12:35:52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</si>
  <si>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</si>
  <si>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</si>
  <si>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</si>
  <si>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</si>
  <si>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</si>
  <si>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</si>
  <si>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</si>
  <si>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</si>
  <si>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</si>
  <si>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</si>
  <si>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</si>
  <si>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"0.943647", "co2aspan1": "1.00228", "co2aspan2": "-0.036196", "co2aspan2a": "0.260385", "co2aspan2b": "0.258524", "co2aspanconc1": "2010", "co2aspanconc2": "301.2", "co2bzero": "0.905271",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</si>
  <si>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</si>
  <si>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</si>
  <si>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</si>
  <si>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Thu May  1 14:21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</si>
  <si>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</si>
  <si>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</si>
  <si>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</si>
  <si>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</si>
  <si>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</si>
  <si>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</si>
  <si>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</si>
  <si>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</si>
  <si>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</si>
  <si>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</si>
  <si>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12:35:52</t>
  </si>
  <si>
    <t>Stability Definition:	F (FlrLS): Per=20	ΔH2O (Meas2): Slp&lt;0.1 Per=20	ΔCO2 (Meas2): Slp&lt;0.5 Per=20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</si>
  <si>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</si>
  <si>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</si>
  <si>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</si>
  <si>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</si>
  <si>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</si>
  <si>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</si>
  <si>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</si>
  <si>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</si>
  <si>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</si>
  <si>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</si>
  <si>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</si>
  <si>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</si>
  <si>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</si>
  <si>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</si>
  <si>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</si>
  <si>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</si>
  <si>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</si>
  <si>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</si>
  <si>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</si>
  <si>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</si>
  <si>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</si>
  <si>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</si>
  <si>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</si>
  <si>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</si>
  <si>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</si>
  <si>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</si>
  <si>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</si>
  <si>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</si>
  <si>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</si>
  <si>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</si>
  <si>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</si>
  <si>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</si>
  <si>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</si>
  <si>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</si>
  <si>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</si>
  <si>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</si>
  <si>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</si>
  <si>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</si>
  <si>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</si>
  <si>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</si>
  <si>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</si>
  <si>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</si>
  <si>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</si>
  <si>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</si>
  <si>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</si>
  <si>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</si>
  <si>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</si>
  <si>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</si>
  <si>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</si>
  <si>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</si>
  <si>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3.90083 160.591 336.742 581.201 849.8 1045.98 1294.01 1503.02</t>
  </si>
  <si>
    <t>Fs_true</t>
  </si>
  <si>
    <t>-0.361188 202.539 384.272 594.309 809.523 1001.14 1202.2 1401.04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</si>
  <si>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</si>
  <si>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</si>
  <si>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</si>
  <si>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</si>
  <si>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</si>
  <si>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</si>
  <si>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</si>
  <si>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</si>
  <si>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</si>
  <si>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</si>
  <si>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</si>
  <si>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</si>
  <si>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</si>
  <si>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</si>
  <si>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</si>
  <si>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</si>
  <si>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</si>
  <si>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</si>
  <si>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</si>
  <si>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</si>
  <si>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</si>
  <si>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</si>
  <si>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</si>
  <si>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</si>
  <si>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</si>
  <si>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</si>
  <si>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</si>
  <si>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</si>
  <si>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</si>
  <si>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</si>
  <si>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</si>
  <si>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</si>
  <si>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</si>
  <si>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</si>
  <si>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</si>
  <si>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</si>
  <si>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</si>
  <si>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</si>
  <si>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</si>
  <si>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</si>
  <si>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</si>
  <si>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</si>
  <si>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</si>
  <si>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</si>
  <si>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</si>
  <si>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</si>
  <si>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</si>
  <si>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</si>
  <si>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</si>
  <si>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</si>
  <si>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</si>
  <si>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</si>
  <si>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</si>
  <si>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</si>
  <si>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</si>
  <si>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</si>
  <si>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</si>
  <si>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</si>
  <si>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</si>
  <si>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</si>
  <si>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</si>
  <si>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</si>
  <si>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</si>
  <si>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</si>
  <si>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</si>
  <si>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</si>
  <si>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</si>
  <si>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</si>
  <si>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</si>
  <si>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</si>
  <si>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</si>
  <si>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</si>
  <si>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</si>
  <si>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</si>
  <si>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</si>
  <si>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</si>
  <si>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</si>
  <si>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</si>
  <si>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</si>
  <si>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</si>
  <si>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</si>
  <si>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</si>
  <si>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</si>
  <si>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</si>
  <si>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</si>
  <si>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</si>
  <si>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</si>
  <si>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</si>
  <si>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</si>
  <si>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</si>
  <si>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</si>
  <si>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</si>
  <si>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</si>
  <si>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</si>
  <si>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</si>
  <si>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</si>
  <si>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</si>
  <si>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</si>
  <si>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</si>
  <si>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</si>
  <si>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</si>
  <si>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</si>
  <si>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</si>
  <si>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</si>
  <si>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</si>
  <si>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</si>
  <si>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</si>
  <si>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</si>
  <si>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</si>
  <si>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</si>
  <si>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</si>
  <si>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</si>
  <si>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</si>
  <si>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</si>
  <si>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</si>
  <si>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</si>
  <si>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</si>
  <si>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</si>
  <si>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</si>
  <si>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</si>
  <si>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</si>
  <si>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</si>
  <si>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</si>
  <si>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</si>
  <si>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</si>
  <si>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</si>
  <si>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</si>
  <si>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</si>
  <si>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</si>
  <si>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</si>
  <si>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</si>
  <si>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</si>
  <si>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</si>
  <si>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</si>
  <si>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</si>
  <si>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</si>
  <si>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</si>
  <si>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</si>
  <si>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</si>
  <si>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</si>
  <si>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</si>
  <si>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</si>
  <si>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</si>
  <si>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</si>
  <si>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</si>
  <si>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</si>
  <si>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</si>
  <si>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</si>
  <si>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</si>
  <si>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</si>
  <si>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</si>
  <si>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</si>
  <si>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</si>
  <si>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</si>
  <si>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</si>
  <si>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</si>
  <si>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</si>
  <si>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</si>
  <si>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</si>
  <si>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</si>
  <si>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</si>
  <si>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</si>
  <si>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</si>
  <si>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</si>
  <si>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</si>
  <si>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</si>
  <si>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</si>
  <si>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</si>
  <si>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</si>
  <si>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</si>
  <si>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</si>
  <si>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</si>
  <si>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</si>
  <si>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</si>
  <si>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</si>
  <si>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</si>
  <si>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</si>
  <si>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</si>
  <si>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</si>
  <si>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</si>
  <si>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</si>
  <si>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</si>
  <si>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</si>
  <si>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</si>
  <si>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</si>
  <si>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</si>
  <si>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</si>
  <si>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</si>
  <si>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</si>
  <si>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</si>
  <si>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</si>
  <si>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</si>
  <si>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</si>
  <si>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</si>
  <si>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</si>
  <si>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</si>
  <si>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</si>
  <si>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</si>
  <si>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</si>
  <si>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</si>
  <si>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</si>
  <si>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</si>
  <si>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</si>
  <si>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</si>
  <si>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</si>
  <si>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</si>
  <si>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</si>
  <si>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</si>
  <si>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</si>
  <si>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</si>
  <si>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</si>
  <si>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</si>
  <si>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</si>
  <si>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</si>
  <si>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</si>
  <si>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</si>
  <si>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</si>
  <si>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</si>
  <si>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</si>
  <si>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</si>
  <si>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</si>
  <si>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</si>
  <si>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</si>
  <si>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</si>
  <si>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</si>
  <si>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</si>
  <si>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</si>
  <si>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</si>
  <si>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</si>
  <si>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</si>
  <si>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</si>
  <si>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</si>
  <si>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</si>
  <si>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</si>
  <si>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</si>
  <si>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</si>
  <si>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</si>
  <si>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</si>
  <si>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</si>
  <si>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</si>
  <si>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</si>
  <si>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</si>
  <si>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</si>
  <si>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</si>
  <si>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</si>
  <si>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</si>
  <si>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</si>
  <si>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</si>
  <si>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</si>
  <si>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</si>
  <si>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</si>
  <si>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20250617 13:01:13</t>
  </si>
  <si>
    <t>13:01:13</t>
  </si>
  <si>
    <t>0: Broadleaf</t>
  </si>
  <si>
    <t>12:57:13</t>
  </si>
  <si>
    <t>2/2</t>
  </si>
  <si>
    <t>11111111</t>
  </si>
  <si>
    <t>oooooooo</t>
  </si>
  <si>
    <t>on</t>
  </si>
  <si>
    <t>20250617 13:04:13</t>
  </si>
  <si>
    <t>13:04:13</t>
  </si>
  <si>
    <t>1/2</t>
  </si>
  <si>
    <t>20250617 13:07:14</t>
  </si>
  <si>
    <t>13:07:14</t>
  </si>
  <si>
    <t>20250617 13:10:14</t>
  </si>
  <si>
    <t>13:10:14</t>
  </si>
  <si>
    <t>20250617 13:13:15</t>
  </si>
  <si>
    <t>13:13:15</t>
  </si>
  <si>
    <t>20250617 13:16:15</t>
  </si>
  <si>
    <t>13:16:15</t>
  </si>
  <si>
    <t>0/2</t>
  </si>
  <si>
    <t>20250617 13:19:16</t>
  </si>
  <si>
    <t>13:19:16</t>
  </si>
  <si>
    <t>20250617 13:22:16</t>
  </si>
  <si>
    <t>13:22:16</t>
  </si>
  <si>
    <t>20250617 13:25:17</t>
  </si>
  <si>
    <t>13:25:17</t>
  </si>
  <si>
    <t>20250617 13:28:17</t>
  </si>
  <si>
    <t>13:28:17</t>
  </si>
  <si>
    <t>20250617 13:31:18</t>
  </si>
  <si>
    <t>13:31:18</t>
  </si>
  <si>
    <t>20250617 13:34:19</t>
  </si>
  <si>
    <t>13:34:19</t>
  </si>
  <si>
    <t>20250617 13:37:19</t>
  </si>
  <si>
    <t>13:37:19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</si>
</sst>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29"/>
  <sheetViews>
    <sheetView tabSelected="1" topLeftCell="AW10" workbookViewId="0">
      <selection activeCell="BC17" sqref="BC17"/>
    </sheetView>
  </sheetViews>
  <sheetFormatPr defaultRowHeight="14.4" x14ac:dyDescent="0.3"/>
  <sheetData>
    <row r="2" spans="1:210" x14ac:dyDescent="0.3">
      <c r="A2" t="s">
        <v>30</v>
      </c>
      <c r="B2" t="s">
        <v>31</v>
      </c>
      <c r="C2" t="s">
        <v>32</v>
      </c>
    </row>
    <row r="3" spans="1:210" x14ac:dyDescent="0.3">
      <c r="B3">
        <v>5</v>
      </c>
      <c r="C3">
        <v>21</v>
      </c>
    </row>
    <row r="4" spans="1:210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44</v>
      </c>
      <c r="B6" t="s">
        <v>45</v>
      </c>
      <c r="C6" t="s">
        <v>46</v>
      </c>
      <c r="D6" t="s">
        <v>47</v>
      </c>
      <c r="E6" t="s">
        <v>48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49</v>
      </c>
      <c r="B8" t="s">
        <v>50</v>
      </c>
      <c r="C8" t="s">
        <v>52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</row>
    <row r="9" spans="1:210" x14ac:dyDescent="0.3">
      <c r="B9" t="s">
        <v>51</v>
      </c>
      <c r="C9" t="s">
        <v>53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81</v>
      </c>
      <c r="H12" t="s">
        <v>83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80</v>
      </c>
      <c r="G13" t="s">
        <v>82</v>
      </c>
      <c r="H13">
        <v>1.5</v>
      </c>
    </row>
    <row r="14" spans="1:210" x14ac:dyDescent="0.3">
      <c r="A14" t="s">
        <v>84</v>
      </c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85</v>
      </c>
      <c r="Y14" t="s">
        <v>85</v>
      </c>
      <c r="Z14" t="s">
        <v>85</v>
      </c>
      <c r="AA14" t="s">
        <v>85</v>
      </c>
      <c r="AB14" t="s">
        <v>85</v>
      </c>
      <c r="AC14" t="s">
        <v>85</v>
      </c>
      <c r="AD14" t="s">
        <v>85</v>
      </c>
      <c r="AE14" t="s">
        <v>85</v>
      </c>
      <c r="AF14" t="s">
        <v>85</v>
      </c>
      <c r="AG14" t="s">
        <v>86</v>
      </c>
      <c r="AH14" t="s">
        <v>86</v>
      </c>
      <c r="AI14" t="s">
        <v>86</v>
      </c>
      <c r="AJ14" t="s">
        <v>86</v>
      </c>
      <c r="AK14" t="s">
        <v>86</v>
      </c>
      <c r="AL14" t="s">
        <v>86</v>
      </c>
      <c r="AM14" t="s">
        <v>86</v>
      </c>
      <c r="AN14" t="s">
        <v>86</v>
      </c>
      <c r="AO14" t="s">
        <v>86</v>
      </c>
      <c r="AP14" t="s">
        <v>86</v>
      </c>
      <c r="AQ14" t="s">
        <v>87</v>
      </c>
      <c r="AR14" t="s">
        <v>87</v>
      </c>
      <c r="AS14" t="s">
        <v>87</v>
      </c>
      <c r="AT14" t="s">
        <v>87</v>
      </c>
      <c r="AU14" t="s">
        <v>87</v>
      </c>
      <c r="AV14" t="s">
        <v>88</v>
      </c>
      <c r="AW14" t="s">
        <v>88</v>
      </c>
      <c r="AX14" t="s">
        <v>88</v>
      </c>
      <c r="AY14" t="s">
        <v>88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90</v>
      </c>
      <c r="BM14" t="s">
        <v>90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93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94</v>
      </c>
      <c r="DW14" t="s">
        <v>94</v>
      </c>
      <c r="DX14" t="s">
        <v>94</v>
      </c>
      <c r="DY14" t="s">
        <v>94</v>
      </c>
      <c r="DZ14" t="s">
        <v>94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95</v>
      </c>
      <c r="EH14" t="s">
        <v>95</v>
      </c>
      <c r="EI14" t="s">
        <v>95</v>
      </c>
      <c r="EJ14" t="s">
        <v>95</v>
      </c>
      <c r="EK14" t="s">
        <v>95</v>
      </c>
      <c r="EL14" t="s">
        <v>95</v>
      </c>
      <c r="EM14" t="s">
        <v>95</v>
      </c>
      <c r="EN14" t="s">
        <v>95</v>
      </c>
      <c r="EO14" t="s">
        <v>95</v>
      </c>
      <c r="EP14" t="s">
        <v>95</v>
      </c>
      <c r="EQ14" t="s">
        <v>95</v>
      </c>
      <c r="ER14" t="s">
        <v>95</v>
      </c>
      <c r="ES14" t="s">
        <v>95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96</v>
      </c>
      <c r="EZ14" t="s">
        <v>96</v>
      </c>
      <c r="FA14" t="s">
        <v>96</v>
      </c>
      <c r="FB14" t="s">
        <v>96</v>
      </c>
      <c r="FC14" t="s">
        <v>96</v>
      </c>
      <c r="FD14" t="s">
        <v>96</v>
      </c>
      <c r="FE14" t="s">
        <v>96</v>
      </c>
      <c r="FF14" t="s">
        <v>96</v>
      </c>
      <c r="FG14" t="s">
        <v>96</v>
      </c>
      <c r="FH14" t="s">
        <v>96</v>
      </c>
      <c r="FI14" t="s">
        <v>96</v>
      </c>
      <c r="FJ14" t="s">
        <v>96</v>
      </c>
      <c r="FK14" t="s">
        <v>96</v>
      </c>
      <c r="FL14" t="s">
        <v>96</v>
      </c>
      <c r="FM14" t="s">
        <v>97</v>
      </c>
      <c r="FN14" t="s">
        <v>97</v>
      </c>
      <c r="FO14" t="s">
        <v>97</v>
      </c>
      <c r="FP14" t="s">
        <v>97</v>
      </c>
      <c r="FQ14" t="s">
        <v>97</v>
      </c>
      <c r="FR14" t="s">
        <v>97</v>
      </c>
      <c r="FS14" t="s">
        <v>97</v>
      </c>
      <c r="FT14" t="s">
        <v>97</v>
      </c>
      <c r="FU14" t="s">
        <v>97</v>
      </c>
      <c r="FV14" t="s">
        <v>97</v>
      </c>
      <c r="FW14" t="s">
        <v>97</v>
      </c>
      <c r="FX14" t="s">
        <v>97</v>
      </c>
      <c r="FY14" t="s">
        <v>97</v>
      </c>
      <c r="FZ14" t="s">
        <v>97</v>
      </c>
      <c r="GA14" t="s">
        <v>97</v>
      </c>
      <c r="GB14" t="s">
        <v>97</v>
      </c>
      <c r="GC14" t="s">
        <v>97</v>
      </c>
      <c r="GD14" t="s">
        <v>97</v>
      </c>
      <c r="GE14" t="s">
        <v>98</v>
      </c>
      <c r="GF14" t="s">
        <v>98</v>
      </c>
      <c r="GG14" t="s">
        <v>98</v>
      </c>
      <c r="GH14" t="s">
        <v>98</v>
      </c>
      <c r="GI14" t="s">
        <v>98</v>
      </c>
      <c r="GJ14" t="s">
        <v>98</v>
      </c>
      <c r="GK14" t="s">
        <v>98</v>
      </c>
      <c r="GL14" t="s">
        <v>98</v>
      </c>
      <c r="GM14" t="s">
        <v>99</v>
      </c>
      <c r="GN14" t="s">
        <v>99</v>
      </c>
      <c r="GO14" t="s">
        <v>99</v>
      </c>
      <c r="GP14" t="s">
        <v>99</v>
      </c>
      <c r="GQ14" t="s">
        <v>99</v>
      </c>
      <c r="GR14" t="s">
        <v>99</v>
      </c>
      <c r="GS14" t="s">
        <v>99</v>
      </c>
      <c r="GT14" t="s">
        <v>99</v>
      </c>
      <c r="GU14" t="s">
        <v>99</v>
      </c>
      <c r="GV14" t="s">
        <v>99</v>
      </c>
      <c r="GW14" t="s">
        <v>99</v>
      </c>
      <c r="GX14" t="s">
        <v>99</v>
      </c>
      <c r="GY14" t="s">
        <v>99</v>
      </c>
      <c r="GZ14" t="s">
        <v>99</v>
      </c>
      <c r="HA14" t="s">
        <v>99</v>
      </c>
      <c r="HB14" t="s">
        <v>99</v>
      </c>
    </row>
    <row r="15" spans="1:210" x14ac:dyDescent="0.3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  <c r="J15" t="s">
        <v>109</v>
      </c>
      <c r="K15" t="s">
        <v>110</v>
      </c>
      <c r="L15" t="s">
        <v>111</v>
      </c>
      <c r="M15" t="s">
        <v>112</v>
      </c>
      <c r="N15" t="s">
        <v>113</v>
      </c>
      <c r="O15" t="s">
        <v>114</v>
      </c>
      <c r="P15" t="s">
        <v>115</v>
      </c>
      <c r="Q15" t="s">
        <v>116</v>
      </c>
      <c r="R15" t="s">
        <v>117</v>
      </c>
      <c r="S15" t="s">
        <v>118</v>
      </c>
      <c r="T15" t="s">
        <v>119</v>
      </c>
      <c r="U15" t="s">
        <v>120</v>
      </c>
      <c r="V15" t="s">
        <v>121</v>
      </c>
      <c r="W15" t="s">
        <v>122</v>
      </c>
      <c r="X15" t="s">
        <v>123</v>
      </c>
      <c r="Y15" t="s">
        <v>124</v>
      </c>
      <c r="Z15" t="s">
        <v>125</v>
      </c>
      <c r="AA15" t="s">
        <v>126</v>
      </c>
      <c r="AB15" t="s">
        <v>127</v>
      </c>
      <c r="AC15" t="s">
        <v>128</v>
      </c>
      <c r="AD15" t="s">
        <v>129</v>
      </c>
      <c r="AE15" t="s">
        <v>130</v>
      </c>
      <c r="AF15" t="s">
        <v>131</v>
      </c>
      <c r="AG15" t="s">
        <v>132</v>
      </c>
      <c r="AH15" t="s">
        <v>133</v>
      </c>
      <c r="AI15" t="s">
        <v>134</v>
      </c>
      <c r="AJ15" t="s">
        <v>135</v>
      </c>
      <c r="AK15" t="s">
        <v>136</v>
      </c>
      <c r="AL15" t="s">
        <v>137</v>
      </c>
      <c r="AM15" t="s">
        <v>138</v>
      </c>
      <c r="AN15" t="s">
        <v>139</v>
      </c>
      <c r="AO15" t="s">
        <v>140</v>
      </c>
      <c r="AP15" t="s">
        <v>141</v>
      </c>
      <c r="AQ15" t="s">
        <v>87</v>
      </c>
      <c r="AR15" t="s">
        <v>142</v>
      </c>
      <c r="AS15" t="s">
        <v>143</v>
      </c>
      <c r="AT15" t="s">
        <v>144</v>
      </c>
      <c r="AU15" t="s">
        <v>145</v>
      </c>
      <c r="AV15" t="s">
        <v>146</v>
      </c>
      <c r="AW15" t="s">
        <v>147</v>
      </c>
      <c r="AX15" t="s">
        <v>148</v>
      </c>
      <c r="AY15" t="s">
        <v>149</v>
      </c>
      <c r="AZ15" t="s">
        <v>150</v>
      </c>
      <c r="BA15" t="s">
        <v>151</v>
      </c>
      <c r="BB15" t="s">
        <v>152</v>
      </c>
      <c r="BC15" t="s">
        <v>153</v>
      </c>
      <c r="BD15" t="s">
        <v>154</v>
      </c>
      <c r="BE15" t="s">
        <v>106</v>
      </c>
      <c r="BF15" t="s">
        <v>155</v>
      </c>
      <c r="BG15" t="s">
        <v>156</v>
      </c>
      <c r="BH15" t="s">
        <v>157</v>
      </c>
      <c r="BI15" t="s">
        <v>158</v>
      </c>
      <c r="BJ15" t="s">
        <v>159</v>
      </c>
      <c r="BK15" t="s">
        <v>160</v>
      </c>
      <c r="BL15" t="s">
        <v>161</v>
      </c>
      <c r="BM15" t="s">
        <v>162</v>
      </c>
      <c r="BN15" t="s">
        <v>163</v>
      </c>
      <c r="BO15" t="s">
        <v>164</v>
      </c>
      <c r="BP15" t="s">
        <v>165</v>
      </c>
      <c r="BQ15" t="s">
        <v>166</v>
      </c>
      <c r="BR15" t="s">
        <v>167</v>
      </c>
      <c r="BS15" t="s">
        <v>168</v>
      </c>
      <c r="BT15" t="s">
        <v>169</v>
      </c>
      <c r="BU15" t="s">
        <v>170</v>
      </c>
      <c r="BV15" t="s">
        <v>171</v>
      </c>
      <c r="BW15" t="s">
        <v>172</v>
      </c>
      <c r="BX15" t="s">
        <v>173</v>
      </c>
      <c r="BY15" t="s">
        <v>174</v>
      </c>
      <c r="BZ15" t="s">
        <v>175</v>
      </c>
      <c r="CA15" t="s">
        <v>176</v>
      </c>
      <c r="CB15" t="s">
        <v>177</v>
      </c>
      <c r="CC15" t="s">
        <v>178</v>
      </c>
      <c r="CD15" t="s">
        <v>179</v>
      </c>
      <c r="CE15" t="s">
        <v>180</v>
      </c>
      <c r="CF15" t="s">
        <v>181</v>
      </c>
      <c r="CG15" t="s">
        <v>101</v>
      </c>
      <c r="CH15" t="s">
        <v>104</v>
      </c>
      <c r="CI15" t="s">
        <v>182</v>
      </c>
      <c r="CJ15" t="s">
        <v>183</v>
      </c>
      <c r="CK15" t="s">
        <v>184</v>
      </c>
      <c r="CL15" t="s">
        <v>185</v>
      </c>
      <c r="CM15" t="s">
        <v>186</v>
      </c>
      <c r="CN15" t="s">
        <v>187</v>
      </c>
      <c r="CO15" t="s">
        <v>188</v>
      </c>
      <c r="CP15" t="s">
        <v>189</v>
      </c>
      <c r="CQ15" t="s">
        <v>190</v>
      </c>
      <c r="CR15" t="s">
        <v>191</v>
      </c>
      <c r="CS15" t="s">
        <v>192</v>
      </c>
      <c r="CT15" t="s">
        <v>193</v>
      </c>
      <c r="CU15" t="s">
        <v>194</v>
      </c>
      <c r="CV15" t="s">
        <v>195</v>
      </c>
      <c r="CW15" t="s">
        <v>196</v>
      </c>
      <c r="CX15" t="s">
        <v>197</v>
      </c>
      <c r="CY15" t="s">
        <v>198</v>
      </c>
      <c r="CZ15" t="s">
        <v>199</v>
      </c>
      <c r="DA15" t="s">
        <v>200</v>
      </c>
      <c r="DB15" t="s">
        <v>201</v>
      </c>
      <c r="DC15" t="s">
        <v>202</v>
      </c>
      <c r="DD15" t="s">
        <v>203</v>
      </c>
      <c r="DE15" t="s">
        <v>204</v>
      </c>
      <c r="DF15" t="s">
        <v>205</v>
      </c>
      <c r="DG15" t="s">
        <v>206</v>
      </c>
      <c r="DH15" t="s">
        <v>207</v>
      </c>
      <c r="DI15" t="s">
        <v>208</v>
      </c>
      <c r="DJ15" t="s">
        <v>209</v>
      </c>
      <c r="DK15" t="s">
        <v>210</v>
      </c>
      <c r="DL15" t="s">
        <v>211</v>
      </c>
      <c r="DM15" t="s">
        <v>212</v>
      </c>
      <c r="DN15" t="s">
        <v>213</v>
      </c>
      <c r="DO15" t="s">
        <v>214</v>
      </c>
      <c r="DP15" t="s">
        <v>215</v>
      </c>
      <c r="DQ15" t="s">
        <v>216</v>
      </c>
      <c r="DR15" t="s">
        <v>217</v>
      </c>
      <c r="DS15" t="s">
        <v>218</v>
      </c>
      <c r="DT15" t="s">
        <v>219</v>
      </c>
      <c r="DU15" t="s">
        <v>220</v>
      </c>
      <c r="DV15" t="s">
        <v>221</v>
      </c>
      <c r="DW15" t="s">
        <v>222</v>
      </c>
      <c r="DX15" t="s">
        <v>223</v>
      </c>
      <c r="DY15" t="s">
        <v>224</v>
      </c>
      <c r="DZ15" t="s">
        <v>225</v>
      </c>
      <c r="EA15" t="s">
        <v>226</v>
      </c>
      <c r="EB15" t="s">
        <v>227</v>
      </c>
      <c r="EC15" t="s">
        <v>228</v>
      </c>
      <c r="ED15" t="s">
        <v>229</v>
      </c>
      <c r="EE15" t="s">
        <v>230</v>
      </c>
      <c r="EF15" t="s">
        <v>231</v>
      </c>
      <c r="EG15" t="s">
        <v>232</v>
      </c>
      <c r="EH15" t="s">
        <v>233</v>
      </c>
      <c r="EI15" t="s">
        <v>234</v>
      </c>
      <c r="EJ15" t="s">
        <v>235</v>
      </c>
      <c r="EK15" t="s">
        <v>236</v>
      </c>
      <c r="EL15" t="s">
        <v>237</v>
      </c>
      <c r="EM15" t="s">
        <v>238</v>
      </c>
      <c r="EN15" t="s">
        <v>239</v>
      </c>
      <c r="EO15" t="s">
        <v>240</v>
      </c>
      <c r="EP15" t="s">
        <v>241</v>
      </c>
      <c r="EQ15" t="s">
        <v>242</v>
      </c>
      <c r="ER15" t="s">
        <v>243</v>
      </c>
      <c r="ES15" t="s">
        <v>244</v>
      </c>
      <c r="ET15" t="s">
        <v>245</v>
      </c>
      <c r="EU15" t="s">
        <v>246</v>
      </c>
      <c r="EV15" t="s">
        <v>247</v>
      </c>
      <c r="EW15" t="s">
        <v>248</v>
      </c>
      <c r="EX15" t="s">
        <v>249</v>
      </c>
      <c r="EY15" t="s">
        <v>250</v>
      </c>
      <c r="EZ15" t="s">
        <v>251</v>
      </c>
      <c r="FA15" t="s">
        <v>252</v>
      </c>
      <c r="FB15" t="s">
        <v>253</v>
      </c>
      <c r="FC15" t="s">
        <v>254</v>
      </c>
      <c r="FD15" t="s">
        <v>255</v>
      </c>
      <c r="FE15" t="s">
        <v>256</v>
      </c>
      <c r="FF15" t="s">
        <v>257</v>
      </c>
      <c r="FG15" t="s">
        <v>258</v>
      </c>
      <c r="FH15" t="s">
        <v>259</v>
      </c>
      <c r="FI15" t="s">
        <v>260</v>
      </c>
      <c r="FJ15" t="s">
        <v>261</v>
      </c>
      <c r="FK15" t="s">
        <v>262</v>
      </c>
      <c r="FL15" t="s">
        <v>263</v>
      </c>
      <c r="FM15" t="s">
        <v>264</v>
      </c>
      <c r="FN15" t="s">
        <v>265</v>
      </c>
      <c r="FO15" t="s">
        <v>266</v>
      </c>
      <c r="FP15" t="s">
        <v>267</v>
      </c>
      <c r="FQ15" t="s">
        <v>268</v>
      </c>
      <c r="FR15" t="s">
        <v>269</v>
      </c>
      <c r="FS15" t="s">
        <v>270</v>
      </c>
      <c r="FT15" t="s">
        <v>271</v>
      </c>
      <c r="FU15" t="s">
        <v>272</v>
      </c>
      <c r="FV15" t="s">
        <v>273</v>
      </c>
      <c r="FW15" t="s">
        <v>274</v>
      </c>
      <c r="FX15" t="s">
        <v>275</v>
      </c>
      <c r="FY15" t="s">
        <v>276</v>
      </c>
      <c r="FZ15" t="s">
        <v>277</v>
      </c>
      <c r="GA15" t="s">
        <v>278</v>
      </c>
      <c r="GB15" t="s">
        <v>279</v>
      </c>
      <c r="GC15" t="s">
        <v>280</v>
      </c>
      <c r="GD15" t="s">
        <v>281</v>
      </c>
      <c r="GE15" t="s">
        <v>282</v>
      </c>
      <c r="GF15" t="s">
        <v>283</v>
      </c>
      <c r="GG15" t="s">
        <v>284</v>
      </c>
      <c r="GH15" t="s">
        <v>285</v>
      </c>
      <c r="GI15" t="s">
        <v>286</v>
      </c>
      <c r="GJ15" t="s">
        <v>287</v>
      </c>
      <c r="GK15" t="s">
        <v>288</v>
      </c>
      <c r="GL15" t="s">
        <v>289</v>
      </c>
      <c r="GM15" t="s">
        <v>290</v>
      </c>
      <c r="GN15" t="s">
        <v>291</v>
      </c>
      <c r="GO15" t="s">
        <v>292</v>
      </c>
      <c r="GP15" t="s">
        <v>293</v>
      </c>
      <c r="GQ15" t="s">
        <v>294</v>
      </c>
      <c r="GR15" t="s">
        <v>295</v>
      </c>
      <c r="GS15" t="s">
        <v>296</v>
      </c>
      <c r="GT15" t="s">
        <v>297</v>
      </c>
      <c r="GU15" t="s">
        <v>298</v>
      </c>
      <c r="GV15" t="s">
        <v>299</v>
      </c>
      <c r="GW15" t="s">
        <v>300</v>
      </c>
      <c r="GX15" t="s">
        <v>301</v>
      </c>
      <c r="GY15" t="s">
        <v>302</v>
      </c>
      <c r="GZ15" t="s">
        <v>303</v>
      </c>
      <c r="HA15" t="s">
        <v>304</v>
      </c>
      <c r="HB15" t="s">
        <v>305</v>
      </c>
    </row>
    <row r="16" spans="1:210" x14ac:dyDescent="0.3">
      <c r="B16" t="s">
        <v>306</v>
      </c>
      <c r="C16" t="s">
        <v>306</v>
      </c>
      <c r="F16" t="s">
        <v>306</v>
      </c>
      <c r="G16" t="s">
        <v>306</v>
      </c>
      <c r="H16" t="s">
        <v>307</v>
      </c>
      <c r="I16" t="s">
        <v>308</v>
      </c>
      <c r="J16" t="s">
        <v>309</v>
      </c>
      <c r="K16" t="s">
        <v>310</v>
      </c>
      <c r="L16" t="s">
        <v>310</v>
      </c>
      <c r="M16" t="s">
        <v>162</v>
      </c>
      <c r="N16" t="s">
        <v>162</v>
      </c>
      <c r="O16" t="s">
        <v>307</v>
      </c>
      <c r="P16" t="s">
        <v>307</v>
      </c>
      <c r="Q16" t="s">
        <v>307</v>
      </c>
      <c r="R16" t="s">
        <v>307</v>
      </c>
      <c r="S16" t="s">
        <v>311</v>
      </c>
      <c r="T16" t="s">
        <v>312</v>
      </c>
      <c r="U16" t="s">
        <v>312</v>
      </c>
      <c r="V16" t="s">
        <v>313</v>
      </c>
      <c r="W16" t="s">
        <v>314</v>
      </c>
      <c r="X16" t="s">
        <v>313</v>
      </c>
      <c r="Y16" t="s">
        <v>313</v>
      </c>
      <c r="Z16" t="s">
        <v>313</v>
      </c>
      <c r="AA16" t="s">
        <v>311</v>
      </c>
      <c r="AB16" t="s">
        <v>311</v>
      </c>
      <c r="AC16" t="s">
        <v>311</v>
      </c>
      <c r="AD16" t="s">
        <v>311</v>
      </c>
      <c r="AE16" t="s">
        <v>309</v>
      </c>
      <c r="AF16" t="s">
        <v>308</v>
      </c>
      <c r="AG16" t="s">
        <v>309</v>
      </c>
      <c r="AH16" t="s">
        <v>310</v>
      </c>
      <c r="AI16" t="s">
        <v>310</v>
      </c>
      <c r="AJ16" t="s">
        <v>315</v>
      </c>
      <c r="AK16" t="s">
        <v>316</v>
      </c>
      <c r="AL16" t="s">
        <v>308</v>
      </c>
      <c r="AM16" t="s">
        <v>317</v>
      </c>
      <c r="AN16" t="s">
        <v>317</v>
      </c>
      <c r="AO16" t="s">
        <v>318</v>
      </c>
      <c r="AP16" t="s">
        <v>316</v>
      </c>
      <c r="AQ16" t="s">
        <v>319</v>
      </c>
      <c r="AR16" t="s">
        <v>314</v>
      </c>
      <c r="AT16" t="s">
        <v>314</v>
      </c>
      <c r="AU16" t="s">
        <v>319</v>
      </c>
      <c r="AV16" t="s">
        <v>309</v>
      </c>
      <c r="AW16" t="s">
        <v>309</v>
      </c>
      <c r="AY16" t="s">
        <v>320</v>
      </c>
      <c r="AZ16" t="s">
        <v>321</v>
      </c>
      <c r="BC16" t="s">
        <v>307</v>
      </c>
      <c r="BE16" t="s">
        <v>306</v>
      </c>
      <c r="BF16" t="s">
        <v>310</v>
      </c>
      <c r="BG16" t="s">
        <v>310</v>
      </c>
      <c r="BH16" t="s">
        <v>317</v>
      </c>
      <c r="BI16" t="s">
        <v>317</v>
      </c>
      <c r="BJ16" t="s">
        <v>310</v>
      </c>
      <c r="BK16" t="s">
        <v>317</v>
      </c>
      <c r="BL16" t="s">
        <v>319</v>
      </c>
      <c r="BM16" t="s">
        <v>313</v>
      </c>
      <c r="BN16" t="s">
        <v>313</v>
      </c>
      <c r="BO16" t="s">
        <v>312</v>
      </c>
      <c r="BP16" t="s">
        <v>312</v>
      </c>
      <c r="BQ16" t="s">
        <v>312</v>
      </c>
      <c r="BR16" t="s">
        <v>312</v>
      </c>
      <c r="BS16" t="s">
        <v>312</v>
      </c>
      <c r="BT16" t="s">
        <v>322</v>
      </c>
      <c r="BU16" t="s">
        <v>309</v>
      </c>
      <c r="BV16" t="s">
        <v>309</v>
      </c>
      <c r="BW16" t="s">
        <v>310</v>
      </c>
      <c r="BX16" t="s">
        <v>310</v>
      </c>
      <c r="BY16" t="s">
        <v>310</v>
      </c>
      <c r="BZ16" t="s">
        <v>317</v>
      </c>
      <c r="CA16" t="s">
        <v>310</v>
      </c>
      <c r="CB16" t="s">
        <v>317</v>
      </c>
      <c r="CC16" t="s">
        <v>313</v>
      </c>
      <c r="CD16" t="s">
        <v>313</v>
      </c>
      <c r="CE16" t="s">
        <v>312</v>
      </c>
      <c r="CF16" t="s">
        <v>312</v>
      </c>
      <c r="CG16" t="s">
        <v>323</v>
      </c>
      <c r="CI16" t="s">
        <v>306</v>
      </c>
      <c r="CJ16" t="s">
        <v>306</v>
      </c>
      <c r="CL16" t="s">
        <v>324</v>
      </c>
      <c r="CM16" t="s">
        <v>325</v>
      </c>
      <c r="CN16" t="s">
        <v>324</v>
      </c>
      <c r="CO16" t="s">
        <v>325</v>
      </c>
      <c r="CP16" t="s">
        <v>324</v>
      </c>
      <c r="CQ16" t="s">
        <v>325</v>
      </c>
      <c r="CR16" t="s">
        <v>314</v>
      </c>
      <c r="CS16" t="s">
        <v>314</v>
      </c>
      <c r="CT16" t="s">
        <v>310</v>
      </c>
      <c r="CU16" t="s">
        <v>326</v>
      </c>
      <c r="CV16" t="s">
        <v>310</v>
      </c>
      <c r="CY16" t="s">
        <v>327</v>
      </c>
      <c r="DB16" t="s">
        <v>317</v>
      </c>
      <c r="DC16" t="s">
        <v>328</v>
      </c>
      <c r="DD16" t="s">
        <v>317</v>
      </c>
      <c r="DI16" t="s">
        <v>329</v>
      </c>
      <c r="DJ16" t="s">
        <v>329</v>
      </c>
      <c r="DW16" t="s">
        <v>329</v>
      </c>
      <c r="DX16" t="s">
        <v>329</v>
      </c>
      <c r="DY16" t="s">
        <v>330</v>
      </c>
      <c r="DZ16" t="s">
        <v>330</v>
      </c>
      <c r="EA16" t="s">
        <v>312</v>
      </c>
      <c r="EB16" t="s">
        <v>312</v>
      </c>
      <c r="EC16" t="s">
        <v>314</v>
      </c>
      <c r="ED16" t="s">
        <v>312</v>
      </c>
      <c r="EE16" t="s">
        <v>317</v>
      </c>
      <c r="EF16" t="s">
        <v>314</v>
      </c>
      <c r="EG16" t="s">
        <v>314</v>
      </c>
      <c r="EI16" t="s">
        <v>329</v>
      </c>
      <c r="EJ16" t="s">
        <v>329</v>
      </c>
      <c r="EK16" t="s">
        <v>329</v>
      </c>
      <c r="EL16" t="s">
        <v>329</v>
      </c>
      <c r="EM16" t="s">
        <v>329</v>
      </c>
      <c r="EN16" t="s">
        <v>329</v>
      </c>
      <c r="EO16" t="s">
        <v>329</v>
      </c>
      <c r="EP16" t="s">
        <v>331</v>
      </c>
      <c r="EQ16" t="s">
        <v>331</v>
      </c>
      <c r="ER16" t="s">
        <v>331</v>
      </c>
      <c r="ES16" t="s">
        <v>332</v>
      </c>
      <c r="ET16" t="s">
        <v>329</v>
      </c>
      <c r="EU16" t="s">
        <v>329</v>
      </c>
      <c r="EV16" t="s">
        <v>329</v>
      </c>
      <c r="EW16" t="s">
        <v>329</v>
      </c>
      <c r="EX16" t="s">
        <v>329</v>
      </c>
      <c r="EY16" t="s">
        <v>329</v>
      </c>
      <c r="EZ16" t="s">
        <v>329</v>
      </c>
      <c r="FA16" t="s">
        <v>329</v>
      </c>
      <c r="FB16" t="s">
        <v>329</v>
      </c>
      <c r="FC16" t="s">
        <v>329</v>
      </c>
      <c r="FD16" t="s">
        <v>329</v>
      </c>
      <c r="FE16" t="s">
        <v>329</v>
      </c>
      <c r="FL16" t="s">
        <v>329</v>
      </c>
      <c r="FM16" t="s">
        <v>314</v>
      </c>
      <c r="FN16" t="s">
        <v>314</v>
      </c>
      <c r="FO16" t="s">
        <v>324</v>
      </c>
      <c r="FP16" t="s">
        <v>325</v>
      </c>
      <c r="FQ16" t="s">
        <v>324</v>
      </c>
      <c r="FU16" t="s">
        <v>325</v>
      </c>
      <c r="FY16" t="s">
        <v>310</v>
      </c>
      <c r="FZ16" t="s">
        <v>310</v>
      </c>
      <c r="GA16" t="s">
        <v>317</v>
      </c>
      <c r="GB16" t="s">
        <v>317</v>
      </c>
      <c r="GC16" t="s">
        <v>333</v>
      </c>
      <c r="GD16" t="s">
        <v>333</v>
      </c>
      <c r="GE16" t="s">
        <v>329</v>
      </c>
      <c r="GF16" t="s">
        <v>329</v>
      </c>
      <c r="GG16" t="s">
        <v>329</v>
      </c>
      <c r="GH16" t="s">
        <v>329</v>
      </c>
      <c r="GI16" t="s">
        <v>329</v>
      </c>
      <c r="GJ16" t="s">
        <v>329</v>
      </c>
      <c r="GK16" t="s">
        <v>312</v>
      </c>
      <c r="GL16" t="s">
        <v>329</v>
      </c>
      <c r="GN16" t="s">
        <v>319</v>
      </c>
      <c r="GO16" t="s">
        <v>319</v>
      </c>
      <c r="GP16" t="s">
        <v>312</v>
      </c>
      <c r="GQ16" t="s">
        <v>312</v>
      </c>
      <c r="GR16" t="s">
        <v>312</v>
      </c>
      <c r="GS16" t="s">
        <v>312</v>
      </c>
      <c r="GT16" t="s">
        <v>312</v>
      </c>
      <c r="GU16" t="s">
        <v>314</v>
      </c>
      <c r="GV16" t="s">
        <v>314</v>
      </c>
      <c r="GW16" t="s">
        <v>314</v>
      </c>
      <c r="GX16" t="s">
        <v>312</v>
      </c>
      <c r="GY16" t="s">
        <v>310</v>
      </c>
      <c r="GZ16" t="s">
        <v>317</v>
      </c>
      <c r="HA16" t="s">
        <v>314</v>
      </c>
      <c r="HB16" t="s">
        <v>314</v>
      </c>
    </row>
    <row r="17" spans="1:210" x14ac:dyDescent="0.3">
      <c r="A17">
        <v>1</v>
      </c>
      <c r="B17">
        <v>1750158073</v>
      </c>
      <c r="C17">
        <v>0</v>
      </c>
      <c r="D17" t="s">
        <v>334</v>
      </c>
      <c r="E17" t="s">
        <v>335</v>
      </c>
      <c r="F17">
        <v>15</v>
      </c>
      <c r="G17">
        <v>1750158065</v>
      </c>
      <c r="H17">
        <f t="shared" ref="H17:H29" si="0">(I17)/1000</f>
        <v>1.9121499639575409E-3</v>
      </c>
      <c r="I17">
        <f t="shared" ref="I17:I29" si="1">IF(BD17, AL17, AF17)</f>
        <v>1.9121499639575408</v>
      </c>
      <c r="J17">
        <f t="shared" ref="J17:J29" si="2">IF(BD17, AG17, AE17)</f>
        <v>19.468341551724151</v>
      </c>
      <c r="K17">
        <f t="shared" ref="K17:K29" si="3">BF17 - IF(AS17&gt;1, J17*AZ17*100/(AU17), 0)</f>
        <v>404.45806451612913</v>
      </c>
      <c r="L17">
        <f t="shared" ref="L17:L29" si="4">((R17-H17/2)*K17-J17)/(R17+H17/2)</f>
        <v>253.90781061690635</v>
      </c>
      <c r="M17">
        <f t="shared" ref="M17:M29" si="5">L17*(BM17+BN17)/1000</f>
        <v>26.052627108297425</v>
      </c>
      <c r="N17">
        <f t="shared" ref="N17:N29" si="6">(BF17 - IF(AS17&gt;1, J17*AZ17*100/(AU17), 0))*(BM17+BN17)/1000</f>
        <v>41.500082688203847</v>
      </c>
      <c r="O17">
        <f t="shared" ref="O17:O29" si="7">2/((1/Q17-1/P17)+SIGN(Q17)*SQRT((1/Q17-1/P17)*(1/Q17-1/P17) + 4*BA17/((BA17+1)*(BA17+1))*(2*1/Q17*1/P17-1/P17*1/P17)))</f>
        <v>0.22859659283595218</v>
      </c>
      <c r="P17">
        <f t="shared" ref="P17:P29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2.4334714799161006</v>
      </c>
      <c r="Q17">
        <f t="shared" ref="Q17:Q29" si="9">H17*(1000-(1000*0.61365*EXP(17.502*U17/(240.97+U17))/(BM17+BN17)+BH17)/2)/(1000*0.61365*EXP(17.502*U17/(240.97+U17))/(BM17+BN17)-BH17)</f>
        <v>0.21127622276365843</v>
      </c>
      <c r="R17">
        <f t="shared" ref="R17:R29" si="10">1/((BA17+1)/(O17/1.6)+1/(P17/1.37)) + BA17/((BA17+1)/(O17/1.6) + BA17/(P17/1.37))</f>
        <v>0.13349554831957119</v>
      </c>
      <c r="S17">
        <f t="shared" ref="S17:S29" si="11">(AV17*AY17)</f>
        <v>178.45949806451614</v>
      </c>
      <c r="T17">
        <f t="shared" ref="T17:T29" si="12">(BO17+(S17+2*0.95*0.0000000567*(((BO17+$B$7)+273)^4-(BO17+273)^4)-44100*H17)/(1.84*29.3*P17+8*0.95*0.0000000567*(BO17+273)^3))</f>
        <v>27.059275104959109</v>
      </c>
      <c r="U17">
        <f t="shared" ref="U17:U29" si="13">($C$7*BP17+$D$7*BQ17+$E$7*T17)</f>
        <v>25.814725806451619</v>
      </c>
      <c r="V17">
        <f t="shared" ref="V17:V29" si="14">0.61365*EXP(17.502*U17/(240.97+U17))</f>
        <v>3.3374421179283105</v>
      </c>
      <c r="W17">
        <f t="shared" ref="W17:W29" si="15">(X17/Y17*100)</f>
        <v>70.476787093207676</v>
      </c>
      <c r="X17">
        <f t="shared" ref="X17:X29" si="16">BH17*(BM17+BN17)/1000</f>
        <v>2.4349247244143148</v>
      </c>
      <c r="Y17">
        <f t="shared" ref="Y17:Y29" si="17">0.61365*EXP(17.502*BO17/(240.97+BO17))</f>
        <v>3.4549315098516811</v>
      </c>
      <c r="Z17">
        <f t="shared" ref="Z17:Z29" si="18">(V17-BH17*(BM17+BN17)/1000)</f>
        <v>0.90251739351399562</v>
      </c>
      <c r="AA17">
        <f t="shared" ref="AA17:AA29" si="19">(-H17*44100)</f>
        <v>-84.325813410527559</v>
      </c>
      <c r="AB17">
        <f t="shared" ref="AB17:AB29" si="20">2*29.3*P17*0.92*(BO17-U17)</f>
        <v>76.768825946526619</v>
      </c>
      <c r="AC17">
        <f t="shared" ref="AC17:AC29" si="21">2*0.95*0.0000000567*(((BO17+$B$7)+273)^4-(U17+273)^4)</f>
        <v>6.7476309277759832</v>
      </c>
      <c r="AD17">
        <f t="shared" ref="AD17:AD29" si="22">S17+AC17+AA17+AB17</f>
        <v>177.65014152829119</v>
      </c>
      <c r="AE17">
        <f t="shared" ref="AE17:AE29" si="23">BL17*AS17*(BG17-BF17*(1000-AS17*BI17)/(1000-AS17*BH17))/(100*AZ17)</f>
        <v>19.468341551724151</v>
      </c>
      <c r="AF17">
        <f t="shared" ref="AF17:AF29" si="24">1000*BL17*AS17*(BH17-BI17)/(100*AZ17*(1000-AS17*BH17))</f>
        <v>1.9121499639575408</v>
      </c>
      <c r="AG17">
        <f t="shared" ref="AG17:AG29" si="25">(AH17 - AI17 - BM17*1000/(8.314*(BO17+273.15)) * AK17/BL17 * AJ17) * BL17/(100*AZ17) * (1000 - BI17)/1000</f>
        <v>19.508319929595206</v>
      </c>
      <c r="AH17">
        <v>458.98922515612088</v>
      </c>
      <c r="AI17">
        <v>414.23419999999987</v>
      </c>
      <c r="AJ17">
        <v>-1.4158123736872121E-3</v>
      </c>
      <c r="AK17">
        <v>83.967426544914119</v>
      </c>
      <c r="AL17">
        <f t="shared" ref="AL17:AL29" si="26">(AN17 - AM17 + BM17*1000/(8.314*(BO17+273.15)) * AP17/BL17 * AO17) * BL17/(100*AZ17) * 1000/(1000 - AN17)</f>
        <v>1.9159736221404129</v>
      </c>
      <c r="AM17">
        <v>19.528568722594819</v>
      </c>
      <c r="AN17">
        <v>23.736993958215692</v>
      </c>
      <c r="AO17">
        <v>1.1907898604287221E-5</v>
      </c>
      <c r="AP17">
        <v>90.554809006859813</v>
      </c>
      <c r="AQ17">
        <v>0</v>
      </c>
      <c r="AR17">
        <v>0</v>
      </c>
      <c r="AS17">
        <f t="shared" ref="AS17:AS29" si="27">IF(AQ17*$H$13&gt;=AU17,1,(AU17/(AU17-AQ17*$H$13)))</f>
        <v>1</v>
      </c>
      <c r="AT17">
        <f t="shared" ref="AT17:AT29" si="28">(AS17-1)*100</f>
        <v>0</v>
      </c>
      <c r="AU17">
        <f t="shared" ref="AU17:AU29" si="29">MAX(0,($B$13+$C$13*BT17)/(1+$D$13*BT17)*BM17/(BO17+273)*$E$13)</f>
        <v>54282.454448038021</v>
      </c>
      <c r="AV17">
        <f t="shared" ref="AV17:AV29" si="30">$B$11*BU17+$C$11*BV17</f>
        <v>939.26051612903234</v>
      </c>
      <c r="AW17">
        <f t="shared" ref="AW17:AW29" si="31">AV17*AX17</f>
        <v>751.40841290322589</v>
      </c>
      <c r="AX17">
        <f t="shared" ref="AX17:AX29" si="32">($B$11*$D$9+$C$11*$D$9)/($B$11+$C$11)</f>
        <v>0.8</v>
      </c>
      <c r="AY17">
        <f t="shared" ref="AY17:AY29" si="33">($B$11*$K$9+$C$11*$K$9)/($B$11+$C$11)</f>
        <v>0.19</v>
      </c>
      <c r="AZ17">
        <v>9</v>
      </c>
      <c r="BA17">
        <v>14.19</v>
      </c>
      <c r="BB17" t="s">
        <v>336</v>
      </c>
      <c r="BC17">
        <v>2</v>
      </c>
      <c r="BD17" t="b">
        <v>0</v>
      </c>
      <c r="BE17">
        <v>1750158065</v>
      </c>
      <c r="BF17">
        <v>404.45806451612913</v>
      </c>
      <c r="BG17">
        <v>450.00112903225812</v>
      </c>
      <c r="BH17">
        <v>23.730674193548381</v>
      </c>
      <c r="BI17">
        <v>19.530509677419349</v>
      </c>
      <c r="BJ17">
        <v>402.94487096774202</v>
      </c>
      <c r="BK17">
        <v>23.482509677419351</v>
      </c>
      <c r="BL17">
        <v>400.00719354838708</v>
      </c>
      <c r="BM17">
        <v>102.5066774193548</v>
      </c>
      <c r="BN17">
        <v>9.996175806451614E-2</v>
      </c>
      <c r="BO17">
        <v>26.399883870967741</v>
      </c>
      <c r="BP17">
        <v>25.814725806451619</v>
      </c>
      <c r="BQ17">
        <v>999.90000000000032</v>
      </c>
      <c r="BR17">
        <v>0</v>
      </c>
      <c r="BS17">
        <v>0</v>
      </c>
      <c r="BT17">
        <v>9994.467741935483</v>
      </c>
      <c r="BU17">
        <v>939.26051612903234</v>
      </c>
      <c r="BV17">
        <v>17.731400000000001</v>
      </c>
      <c r="BW17">
        <v>-45.543061290322584</v>
      </c>
      <c r="BX17">
        <v>414.28941935483869</v>
      </c>
      <c r="BY17">
        <v>458.96480645161301</v>
      </c>
      <c r="BZ17">
        <v>4.2001629032258068</v>
      </c>
      <c r="CA17">
        <v>450.00112903225812</v>
      </c>
      <c r="CB17">
        <v>19.530509677419349</v>
      </c>
      <c r="CC17">
        <v>2.4325519354838709</v>
      </c>
      <c r="CD17">
        <v>2.002007741935484</v>
      </c>
      <c r="CE17">
        <v>20.582112903225809</v>
      </c>
      <c r="CF17">
        <v>17.46020967741935</v>
      </c>
      <c r="CG17">
        <v>1750157833.5</v>
      </c>
      <c r="CH17" t="s">
        <v>337</v>
      </c>
      <c r="CI17">
        <v>1750157830.5</v>
      </c>
      <c r="CJ17">
        <v>1750157833.5</v>
      </c>
      <c r="CK17">
        <v>8</v>
      </c>
      <c r="CL17">
        <v>-1.3089999999999999</v>
      </c>
      <c r="CM17">
        <v>2.9000000000000001E-2</v>
      </c>
      <c r="CN17">
        <v>1.9159999999999999</v>
      </c>
      <c r="CO17">
        <v>0.248</v>
      </c>
      <c r="CP17">
        <v>450</v>
      </c>
      <c r="CQ17">
        <v>19</v>
      </c>
      <c r="CR17">
        <v>0.03</v>
      </c>
      <c r="CS17">
        <v>0.02</v>
      </c>
      <c r="CT17">
        <v>-45.549365000000002</v>
      </c>
      <c r="CU17">
        <v>-7.3287804877994453E-2</v>
      </c>
      <c r="CV17">
        <v>5.2193915114694817E-2</v>
      </c>
      <c r="CW17">
        <v>1</v>
      </c>
      <c r="CX17">
        <v>0</v>
      </c>
      <c r="CY17">
        <v>0</v>
      </c>
      <c r="CZ17">
        <v>0</v>
      </c>
      <c r="DA17">
        <v>-1</v>
      </c>
      <c r="DB17">
        <v>4.1972749999999994</v>
      </c>
      <c r="DC17">
        <v>5.6512120075035317E-2</v>
      </c>
      <c r="DD17">
        <v>5.5739218688460974E-3</v>
      </c>
      <c r="DE17">
        <v>1</v>
      </c>
      <c r="DF17">
        <v>2</v>
      </c>
      <c r="DG17">
        <v>2</v>
      </c>
      <c r="DH17" t="s">
        <v>338</v>
      </c>
      <c r="DI17">
        <v>3.0243500000000001</v>
      </c>
      <c r="DJ17">
        <v>2.6911900000000002</v>
      </c>
      <c r="DK17">
        <v>9.5318899999999998E-2</v>
      </c>
      <c r="DL17">
        <v>0.104112</v>
      </c>
      <c r="DM17">
        <v>0.120473</v>
      </c>
      <c r="DN17">
        <v>0.10619199999999999</v>
      </c>
      <c r="DO17">
        <v>25286.9</v>
      </c>
      <c r="DP17">
        <v>16877.5</v>
      </c>
      <c r="DQ17">
        <v>26512.6</v>
      </c>
      <c r="DR17">
        <v>17118.3</v>
      </c>
      <c r="DS17">
        <v>33150.5</v>
      </c>
      <c r="DT17">
        <v>19962.099999999999</v>
      </c>
      <c r="DU17">
        <v>38620.9</v>
      </c>
      <c r="DV17">
        <v>22664.2</v>
      </c>
      <c r="DW17">
        <v>1.8219399999999999</v>
      </c>
      <c r="DX17">
        <v>2.2274799999999999</v>
      </c>
      <c r="DY17">
        <v>9.0026900000000007E-2</v>
      </c>
      <c r="DZ17">
        <v>0</v>
      </c>
      <c r="EA17">
        <v>24.341899999999999</v>
      </c>
      <c r="EB17">
        <v>999.9</v>
      </c>
      <c r="EC17">
        <v>50.6</v>
      </c>
      <c r="ED17">
        <v>31.8</v>
      </c>
      <c r="EE17">
        <v>23.305299999999999</v>
      </c>
      <c r="EF17">
        <v>62.773600000000002</v>
      </c>
      <c r="EG17">
        <v>35.500799999999998</v>
      </c>
      <c r="EH17">
        <v>1</v>
      </c>
      <c r="EI17">
        <v>-8.74553E-2</v>
      </c>
      <c r="EJ17">
        <v>-0.52586900000000003</v>
      </c>
      <c r="EK17">
        <v>20.328199999999999</v>
      </c>
      <c r="EL17">
        <v>5.2528699999999997</v>
      </c>
      <c r="EM17">
        <v>11.962</v>
      </c>
      <c r="EN17">
        <v>4.9897200000000002</v>
      </c>
      <c r="EO17">
        <v>3.29142</v>
      </c>
      <c r="EP17">
        <v>9999</v>
      </c>
      <c r="EQ17">
        <v>9999</v>
      </c>
      <c r="ER17">
        <v>9999</v>
      </c>
      <c r="ES17">
        <v>999.9</v>
      </c>
      <c r="ET17">
        <v>4.9727100000000002</v>
      </c>
      <c r="EU17">
        <v>1.87195</v>
      </c>
      <c r="EV17">
        <v>1.8721699999999999</v>
      </c>
      <c r="EW17">
        <v>1.8772599999999999</v>
      </c>
      <c r="EX17">
        <v>1.8714</v>
      </c>
      <c r="EY17">
        <v>1.87212</v>
      </c>
      <c r="EZ17">
        <v>1.87181</v>
      </c>
      <c r="FA17">
        <v>1.8687400000000001</v>
      </c>
      <c r="FB17">
        <v>0</v>
      </c>
      <c r="FC17">
        <v>0</v>
      </c>
      <c r="FD17">
        <v>0</v>
      </c>
      <c r="FE17">
        <v>0</v>
      </c>
      <c r="FF17" t="s">
        <v>339</v>
      </c>
      <c r="FG17" t="s">
        <v>340</v>
      </c>
      <c r="FH17" t="s">
        <v>341</v>
      </c>
      <c r="FI17" t="s">
        <v>341</v>
      </c>
      <c r="FJ17" t="s">
        <v>341</v>
      </c>
      <c r="FK17" t="s">
        <v>341</v>
      </c>
      <c r="FL17">
        <v>0</v>
      </c>
      <c r="FM17">
        <v>100</v>
      </c>
      <c r="FN17">
        <v>100</v>
      </c>
      <c r="FO17">
        <v>1.512</v>
      </c>
      <c r="FP17">
        <v>0.2482</v>
      </c>
      <c r="FQ17">
        <v>-1.824124887782705</v>
      </c>
      <c r="FR17">
        <v>7.6898218637449396E-3</v>
      </c>
      <c r="FS17">
        <v>1.5097418776848419E-6</v>
      </c>
      <c r="FT17">
        <v>-9.8458676114205118E-11</v>
      </c>
      <c r="FU17">
        <v>0.24817000000000181</v>
      </c>
      <c r="FV17">
        <v>0</v>
      </c>
      <c r="FW17">
        <v>0</v>
      </c>
      <c r="FX17">
        <v>0</v>
      </c>
      <c r="FY17">
        <v>3</v>
      </c>
      <c r="FZ17">
        <v>2164</v>
      </c>
      <c r="GA17">
        <v>-1</v>
      </c>
      <c r="GB17">
        <v>-1</v>
      </c>
      <c r="GC17">
        <v>4</v>
      </c>
      <c r="GD17">
        <v>4</v>
      </c>
      <c r="GE17">
        <v>1.1035200000000001</v>
      </c>
      <c r="GF17">
        <v>2.6355</v>
      </c>
      <c r="GG17">
        <v>1.7981</v>
      </c>
      <c r="GH17">
        <v>2.3718300000000001</v>
      </c>
      <c r="GI17">
        <v>1.5979000000000001</v>
      </c>
      <c r="GJ17">
        <v>2.5695800000000002</v>
      </c>
      <c r="GK17">
        <v>34.852499999999999</v>
      </c>
      <c r="GL17">
        <v>24.1663</v>
      </c>
      <c r="GM17">
        <v>18</v>
      </c>
      <c r="GN17">
        <v>365.76799999999997</v>
      </c>
      <c r="GO17">
        <v>683.01800000000003</v>
      </c>
      <c r="GP17">
        <v>25.830500000000001</v>
      </c>
      <c r="GQ17">
        <v>25.967400000000001</v>
      </c>
      <c r="GR17">
        <v>30.000399999999999</v>
      </c>
      <c r="GS17">
        <v>25.888999999999999</v>
      </c>
      <c r="GT17">
        <v>25.9038</v>
      </c>
      <c r="GU17">
        <v>22.0444</v>
      </c>
      <c r="GV17">
        <v>21.709499999999998</v>
      </c>
      <c r="GW17">
        <v>0</v>
      </c>
      <c r="GX17">
        <v>25.83</v>
      </c>
      <c r="GY17">
        <v>450</v>
      </c>
      <c r="GZ17">
        <v>19.5</v>
      </c>
      <c r="HA17">
        <v>100.74299999999999</v>
      </c>
      <c r="HB17">
        <v>70.770700000000005</v>
      </c>
    </row>
    <row r="18" spans="1:210" x14ac:dyDescent="0.3">
      <c r="A18">
        <v>2</v>
      </c>
      <c r="B18">
        <v>1750158253.5999999</v>
      </c>
      <c r="C18">
        <v>180.5999999046326</v>
      </c>
      <c r="D18" t="s">
        <v>342</v>
      </c>
      <c r="E18" t="s">
        <v>343</v>
      </c>
      <c r="F18">
        <v>15</v>
      </c>
      <c r="G18">
        <v>1750158245.849999</v>
      </c>
      <c r="H18">
        <f t="shared" si="0"/>
        <v>2.0179781373178434E-3</v>
      </c>
      <c r="I18">
        <f t="shared" si="1"/>
        <v>2.0179781373178436</v>
      </c>
      <c r="J18">
        <f t="shared" si="2"/>
        <v>12.831853702236531</v>
      </c>
      <c r="K18">
        <f t="shared" si="3"/>
        <v>269.89626666666669</v>
      </c>
      <c r="L18">
        <f t="shared" si="4"/>
        <v>176.28685224371864</v>
      </c>
      <c r="M18">
        <f t="shared" si="5"/>
        <v>18.088526352883722</v>
      </c>
      <c r="N18">
        <f t="shared" si="6"/>
        <v>27.693646293005873</v>
      </c>
      <c r="O18">
        <f t="shared" si="7"/>
        <v>0.24403348228089561</v>
      </c>
      <c r="P18">
        <f t="shared" si="8"/>
        <v>2.4343692831467387</v>
      </c>
      <c r="Q18">
        <f t="shared" si="9"/>
        <v>0.22440792246543365</v>
      </c>
      <c r="R18">
        <f t="shared" si="10"/>
        <v>0.14188794656727607</v>
      </c>
      <c r="S18">
        <f t="shared" si="11"/>
        <v>178.44216699999996</v>
      </c>
      <c r="T18">
        <f t="shared" si="12"/>
        <v>27.119305059184224</v>
      </c>
      <c r="U18">
        <f t="shared" si="13"/>
        <v>25.908513333333332</v>
      </c>
      <c r="V18">
        <f t="shared" si="14"/>
        <v>3.3560347907453365</v>
      </c>
      <c r="W18">
        <f t="shared" si="15"/>
        <v>70.797726394522627</v>
      </c>
      <c r="X18">
        <f t="shared" si="16"/>
        <v>2.4594805143079763</v>
      </c>
      <c r="Y18">
        <f t="shared" si="17"/>
        <v>3.4739540936702418</v>
      </c>
      <c r="Z18">
        <f t="shared" si="18"/>
        <v>0.89655427643736019</v>
      </c>
      <c r="AA18">
        <f t="shared" si="19"/>
        <v>-88.992835855716891</v>
      </c>
      <c r="AB18">
        <f t="shared" si="20"/>
        <v>76.70728368639881</v>
      </c>
      <c r="AC18">
        <f t="shared" si="21"/>
        <v>6.7460537970339605</v>
      </c>
      <c r="AD18">
        <f t="shared" si="22"/>
        <v>172.90266862771585</v>
      </c>
      <c r="AE18">
        <f t="shared" si="23"/>
        <v>12.831853702236531</v>
      </c>
      <c r="AF18">
        <f t="shared" si="24"/>
        <v>2.0179781373178436</v>
      </c>
      <c r="AG18">
        <f t="shared" si="25"/>
        <v>12.877531139946409</v>
      </c>
      <c r="AH18">
        <v>305.99924174969101</v>
      </c>
      <c r="AI18">
        <v>276.45701212121207</v>
      </c>
      <c r="AJ18">
        <v>-5.6181975872014256E-4</v>
      </c>
      <c r="AK18">
        <v>83.967426544914119</v>
      </c>
      <c r="AL18">
        <f t="shared" si="26"/>
        <v>2.0251928084910786</v>
      </c>
      <c r="AM18">
        <v>19.53868558801436</v>
      </c>
      <c r="AN18">
        <v>23.985215076228119</v>
      </c>
      <c r="AO18">
        <v>1.5449415279519259E-5</v>
      </c>
      <c r="AP18">
        <v>90.554809006859813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54295.859922581541</v>
      </c>
      <c r="AV18">
        <f t="shared" si="30"/>
        <v>939.16929999999979</v>
      </c>
      <c r="AW18">
        <f t="shared" si="31"/>
        <v>751.33543999999983</v>
      </c>
      <c r="AX18">
        <f t="shared" si="32"/>
        <v>0.8</v>
      </c>
      <c r="AY18">
        <f t="shared" si="33"/>
        <v>0.19</v>
      </c>
      <c r="AZ18">
        <v>9</v>
      </c>
      <c r="BA18">
        <v>14.19</v>
      </c>
      <c r="BB18" t="s">
        <v>336</v>
      </c>
      <c r="BC18">
        <v>2</v>
      </c>
      <c r="BD18" t="b">
        <v>0</v>
      </c>
      <c r="BE18">
        <v>1750158245.849999</v>
      </c>
      <c r="BF18">
        <v>269.89626666666669</v>
      </c>
      <c r="BG18">
        <v>299.98853333333329</v>
      </c>
      <c r="BH18">
        <v>23.96956333333333</v>
      </c>
      <c r="BI18">
        <v>19.53866</v>
      </c>
      <c r="BJ18">
        <v>269.53996666666671</v>
      </c>
      <c r="BK18">
        <v>23.721399999999999</v>
      </c>
      <c r="BL18">
        <v>400.06453333333332</v>
      </c>
      <c r="BM18">
        <v>102.50846666666671</v>
      </c>
      <c r="BN18">
        <v>0.1000156033333333</v>
      </c>
      <c r="BO18">
        <v>26.49298666666667</v>
      </c>
      <c r="BP18">
        <v>25.908513333333332</v>
      </c>
      <c r="BQ18">
        <v>999.9000000000002</v>
      </c>
      <c r="BR18">
        <v>0</v>
      </c>
      <c r="BS18">
        <v>0</v>
      </c>
      <c r="BT18">
        <v>10000.1</v>
      </c>
      <c r="BU18">
        <v>939.16929999999979</v>
      </c>
      <c r="BV18">
        <v>17.727593333333331</v>
      </c>
      <c r="BW18">
        <v>-30.09222999999999</v>
      </c>
      <c r="BX18">
        <v>276.52456666666671</v>
      </c>
      <c r="BY18">
        <v>305.96673333333331</v>
      </c>
      <c r="BZ18">
        <v>4.4309089999999998</v>
      </c>
      <c r="CA18">
        <v>299.98853333333329</v>
      </c>
      <c r="CB18">
        <v>19.53866</v>
      </c>
      <c r="CC18">
        <v>2.4570803333333329</v>
      </c>
      <c r="CD18">
        <v>2.002875</v>
      </c>
      <c r="CE18">
        <v>20.74495666666666</v>
      </c>
      <c r="CF18">
        <v>17.467083333333331</v>
      </c>
      <c r="CG18">
        <v>1750157833.5</v>
      </c>
      <c r="CH18" t="s">
        <v>337</v>
      </c>
      <c r="CI18">
        <v>1750157830.5</v>
      </c>
      <c r="CJ18">
        <v>1750157833.5</v>
      </c>
      <c r="CK18">
        <v>8</v>
      </c>
      <c r="CL18">
        <v>-1.3089999999999999</v>
      </c>
      <c r="CM18">
        <v>2.9000000000000001E-2</v>
      </c>
      <c r="CN18">
        <v>1.9159999999999999</v>
      </c>
      <c r="CO18">
        <v>0.248</v>
      </c>
      <c r="CP18">
        <v>450</v>
      </c>
      <c r="CQ18">
        <v>19</v>
      </c>
      <c r="CR18">
        <v>0.03</v>
      </c>
      <c r="CS18">
        <v>0.02</v>
      </c>
      <c r="CT18">
        <v>-30.075312499999999</v>
      </c>
      <c r="CU18">
        <v>-0.39004840525327239</v>
      </c>
      <c r="CV18">
        <v>4.9891909101075618E-2</v>
      </c>
      <c r="CW18">
        <v>1</v>
      </c>
      <c r="CX18">
        <v>0</v>
      </c>
      <c r="CY18">
        <v>0</v>
      </c>
      <c r="CZ18">
        <v>0</v>
      </c>
      <c r="DA18">
        <v>-1</v>
      </c>
      <c r="DB18">
        <v>4.4250232500000006</v>
      </c>
      <c r="DC18">
        <v>0.1054094183864874</v>
      </c>
      <c r="DD18">
        <v>1.0193064894206341E-2</v>
      </c>
      <c r="DE18">
        <v>0</v>
      </c>
      <c r="DF18">
        <v>1</v>
      </c>
      <c r="DG18">
        <v>2</v>
      </c>
      <c r="DH18" t="s">
        <v>344</v>
      </c>
      <c r="DI18">
        <v>3.0245199999999999</v>
      </c>
      <c r="DJ18">
        <v>2.6913</v>
      </c>
      <c r="DK18">
        <v>6.9192699999999996E-2</v>
      </c>
      <c r="DL18">
        <v>7.596E-2</v>
      </c>
      <c r="DM18">
        <v>0.121332</v>
      </c>
      <c r="DN18">
        <v>0.10620400000000001</v>
      </c>
      <c r="DO18">
        <v>26010</v>
      </c>
      <c r="DP18">
        <v>17404.400000000001</v>
      </c>
      <c r="DQ18">
        <v>26505.9</v>
      </c>
      <c r="DR18">
        <v>17115.2</v>
      </c>
      <c r="DS18">
        <v>33109</v>
      </c>
      <c r="DT18">
        <v>19959.2</v>
      </c>
      <c r="DU18">
        <v>38611.199999999997</v>
      </c>
      <c r="DV18">
        <v>22661.3</v>
      </c>
      <c r="DW18">
        <v>1.82124</v>
      </c>
      <c r="DX18">
        <v>2.2250800000000002</v>
      </c>
      <c r="DY18">
        <v>8.7073399999999995E-2</v>
      </c>
      <c r="DZ18">
        <v>0</v>
      </c>
      <c r="EA18">
        <v>24.479399999999998</v>
      </c>
      <c r="EB18">
        <v>999.9</v>
      </c>
      <c r="EC18">
        <v>50.8</v>
      </c>
      <c r="ED18">
        <v>31.8</v>
      </c>
      <c r="EE18">
        <v>23.3979</v>
      </c>
      <c r="EF18">
        <v>62.476300000000002</v>
      </c>
      <c r="EG18">
        <v>35.224400000000003</v>
      </c>
      <c r="EH18">
        <v>1</v>
      </c>
      <c r="EI18">
        <v>-7.7772400000000005E-2</v>
      </c>
      <c r="EJ18">
        <v>-0.48110900000000001</v>
      </c>
      <c r="EK18">
        <v>20.328099999999999</v>
      </c>
      <c r="EL18">
        <v>5.2513100000000001</v>
      </c>
      <c r="EM18">
        <v>11.962</v>
      </c>
      <c r="EN18">
        <v>4.9897600000000004</v>
      </c>
      <c r="EO18">
        <v>3.29148</v>
      </c>
      <c r="EP18">
        <v>9999</v>
      </c>
      <c r="EQ18">
        <v>9999</v>
      </c>
      <c r="ER18">
        <v>9999</v>
      </c>
      <c r="ES18">
        <v>999.9</v>
      </c>
      <c r="ET18">
        <v>4.9727199999999998</v>
      </c>
      <c r="EU18">
        <v>1.87195</v>
      </c>
      <c r="EV18">
        <v>1.87219</v>
      </c>
      <c r="EW18">
        <v>1.8772200000000001</v>
      </c>
      <c r="EX18">
        <v>1.8713500000000001</v>
      </c>
      <c r="EY18">
        <v>1.8721000000000001</v>
      </c>
      <c r="EZ18">
        <v>1.8717999999999999</v>
      </c>
      <c r="FA18">
        <v>1.8687400000000001</v>
      </c>
      <c r="FB18">
        <v>0</v>
      </c>
      <c r="FC18">
        <v>0</v>
      </c>
      <c r="FD18">
        <v>0</v>
      </c>
      <c r="FE18">
        <v>0</v>
      </c>
      <c r="FF18" t="s">
        <v>339</v>
      </c>
      <c r="FG18" t="s">
        <v>340</v>
      </c>
      <c r="FH18" t="s">
        <v>341</v>
      </c>
      <c r="FI18" t="s">
        <v>341</v>
      </c>
      <c r="FJ18" t="s">
        <v>341</v>
      </c>
      <c r="FK18" t="s">
        <v>341</v>
      </c>
      <c r="FL18">
        <v>0</v>
      </c>
      <c r="FM18">
        <v>100</v>
      </c>
      <c r="FN18">
        <v>100</v>
      </c>
      <c r="FO18">
        <v>0.35599999999999998</v>
      </c>
      <c r="FP18">
        <v>0.2482</v>
      </c>
      <c r="FQ18">
        <v>-1.824124887782705</v>
      </c>
      <c r="FR18">
        <v>7.6898218637449396E-3</v>
      </c>
      <c r="FS18">
        <v>1.5097418776848419E-6</v>
      </c>
      <c r="FT18">
        <v>-9.8458676114205118E-11</v>
      </c>
      <c r="FU18">
        <v>0.24817000000000181</v>
      </c>
      <c r="FV18">
        <v>0</v>
      </c>
      <c r="FW18">
        <v>0</v>
      </c>
      <c r="FX18">
        <v>0</v>
      </c>
      <c r="FY18">
        <v>3</v>
      </c>
      <c r="FZ18">
        <v>2164</v>
      </c>
      <c r="GA18">
        <v>-1</v>
      </c>
      <c r="GB18">
        <v>-1</v>
      </c>
      <c r="GC18">
        <v>7.1</v>
      </c>
      <c r="GD18">
        <v>7</v>
      </c>
      <c r="GE18">
        <v>0.79956099999999997</v>
      </c>
      <c r="GF18">
        <v>2.63428</v>
      </c>
      <c r="GG18">
        <v>1.7981</v>
      </c>
      <c r="GH18">
        <v>2.3718300000000001</v>
      </c>
      <c r="GI18">
        <v>1.5979000000000001</v>
      </c>
      <c r="GJ18">
        <v>2.4853499999999999</v>
      </c>
      <c r="GK18">
        <v>34.852499999999999</v>
      </c>
      <c r="GL18">
        <v>24.1663</v>
      </c>
      <c r="GM18">
        <v>18</v>
      </c>
      <c r="GN18">
        <v>366.10399999999998</v>
      </c>
      <c r="GO18">
        <v>682.23</v>
      </c>
      <c r="GP18">
        <v>25.830200000000001</v>
      </c>
      <c r="GQ18">
        <v>26.088100000000001</v>
      </c>
      <c r="GR18">
        <v>30.0002</v>
      </c>
      <c r="GS18">
        <v>25.9909</v>
      </c>
      <c r="GT18">
        <v>26.003399999999999</v>
      </c>
      <c r="GU18">
        <v>15.982699999999999</v>
      </c>
      <c r="GV18">
        <v>21.979900000000001</v>
      </c>
      <c r="GW18">
        <v>0</v>
      </c>
      <c r="GX18">
        <v>25.83</v>
      </c>
      <c r="GY18">
        <v>300</v>
      </c>
      <c r="GZ18">
        <v>19.5</v>
      </c>
      <c r="HA18">
        <v>100.717</v>
      </c>
      <c r="HB18">
        <v>70.760099999999994</v>
      </c>
    </row>
    <row r="19" spans="1:210" x14ac:dyDescent="0.3">
      <c r="A19">
        <v>3</v>
      </c>
      <c r="B19">
        <v>1750158434.0999999</v>
      </c>
      <c r="C19">
        <v>361.09999990463263</v>
      </c>
      <c r="D19" t="s">
        <v>345</v>
      </c>
      <c r="E19" t="s">
        <v>346</v>
      </c>
      <c r="F19">
        <v>15</v>
      </c>
      <c r="G19">
        <v>1750158426.349999</v>
      </c>
      <c r="H19">
        <f t="shared" si="0"/>
        <v>2.2462993950203274E-3</v>
      </c>
      <c r="I19">
        <f t="shared" si="1"/>
        <v>2.2462993950203276</v>
      </c>
      <c r="J19">
        <f t="shared" si="2"/>
        <v>8.2612591262266264</v>
      </c>
      <c r="K19">
        <f t="shared" si="3"/>
        <v>180.47906666666671</v>
      </c>
      <c r="L19">
        <f t="shared" si="4"/>
        <v>128.10001892327114</v>
      </c>
      <c r="M19">
        <f t="shared" si="5"/>
        <v>13.144395343591587</v>
      </c>
      <c r="N19">
        <f t="shared" si="6"/>
        <v>18.519030859238466</v>
      </c>
      <c r="O19">
        <f t="shared" si="7"/>
        <v>0.28601610639484282</v>
      </c>
      <c r="P19">
        <f t="shared" si="8"/>
        <v>2.4344272845208068</v>
      </c>
      <c r="Q19">
        <f t="shared" si="9"/>
        <v>0.25944708078342421</v>
      </c>
      <c r="R19">
        <f t="shared" si="10"/>
        <v>0.16433745941764047</v>
      </c>
      <c r="S19">
        <f t="shared" si="11"/>
        <v>178.32526000000001</v>
      </c>
      <c r="T19">
        <f t="shared" si="12"/>
        <v>27.120439404335212</v>
      </c>
      <c r="U19">
        <f t="shared" si="13"/>
        <v>25.976156666666672</v>
      </c>
      <c r="V19">
        <f t="shared" si="14"/>
        <v>3.3695006684631337</v>
      </c>
      <c r="W19">
        <f t="shared" si="15"/>
        <v>71.84455170638708</v>
      </c>
      <c r="X19">
        <f t="shared" si="16"/>
        <v>2.5065345794657534</v>
      </c>
      <c r="Y19">
        <f t="shared" si="17"/>
        <v>3.4888304261531342</v>
      </c>
      <c r="Z19">
        <f t="shared" si="18"/>
        <v>0.86296608899738025</v>
      </c>
      <c r="AA19">
        <f t="shared" si="19"/>
        <v>-99.061803320396436</v>
      </c>
      <c r="AB19">
        <f t="shared" si="20"/>
        <v>77.34652377489796</v>
      </c>
      <c r="AC19">
        <f t="shared" si="21"/>
        <v>6.8068902724406124</v>
      </c>
      <c r="AD19">
        <f t="shared" si="22"/>
        <v>163.41687072694216</v>
      </c>
      <c r="AE19">
        <f t="shared" si="23"/>
        <v>8.2612591262266264</v>
      </c>
      <c r="AF19">
        <f t="shared" si="24"/>
        <v>2.2462993950203276</v>
      </c>
      <c r="AG19">
        <f t="shared" si="25"/>
        <v>8.2933684521731976</v>
      </c>
      <c r="AH19">
        <v>203.9366465337053</v>
      </c>
      <c r="AI19">
        <v>184.9174242424242</v>
      </c>
      <c r="AJ19">
        <v>-1.2282298350024261E-3</v>
      </c>
      <c r="AK19">
        <v>83.967426544914119</v>
      </c>
      <c r="AL19">
        <f t="shared" si="26"/>
        <v>2.2564175831202871</v>
      </c>
      <c r="AM19">
        <v>19.497133128428089</v>
      </c>
      <c r="AN19">
        <v>24.449495256917</v>
      </c>
      <c r="AO19">
        <v>1.167817984364778E-5</v>
      </c>
      <c r="AP19">
        <v>90.554809006859813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54284.715337880589</v>
      </c>
      <c r="AV19">
        <f t="shared" si="30"/>
        <v>938.55400000000009</v>
      </c>
      <c r="AW19">
        <f t="shared" si="31"/>
        <v>750.84320000000014</v>
      </c>
      <c r="AX19">
        <f t="shared" si="32"/>
        <v>0.8</v>
      </c>
      <c r="AY19">
        <f t="shared" si="33"/>
        <v>0.19</v>
      </c>
      <c r="AZ19">
        <v>9</v>
      </c>
      <c r="BA19">
        <v>14.19</v>
      </c>
      <c r="BB19" t="s">
        <v>336</v>
      </c>
      <c r="BC19">
        <v>2</v>
      </c>
      <c r="BD19" t="b">
        <v>0</v>
      </c>
      <c r="BE19">
        <v>1750158426.349999</v>
      </c>
      <c r="BF19">
        <v>180.47906666666671</v>
      </c>
      <c r="BG19">
        <v>199.9777333333333</v>
      </c>
      <c r="BH19">
        <v>24.427683333333331</v>
      </c>
      <c r="BI19">
        <v>19.497309999999999</v>
      </c>
      <c r="BJ19">
        <v>180.86349999999999</v>
      </c>
      <c r="BK19">
        <v>24.179503333333329</v>
      </c>
      <c r="BL19">
        <v>400.02746666666661</v>
      </c>
      <c r="BM19">
        <v>102.5104333333333</v>
      </c>
      <c r="BN19">
        <v>9.9975736666666662E-2</v>
      </c>
      <c r="BO19">
        <v>26.565486666666661</v>
      </c>
      <c r="BP19">
        <v>25.976156666666672</v>
      </c>
      <c r="BQ19">
        <v>999.9000000000002</v>
      </c>
      <c r="BR19">
        <v>0</v>
      </c>
      <c r="BS19">
        <v>0</v>
      </c>
      <c r="BT19">
        <v>10000.283333333329</v>
      </c>
      <c r="BU19">
        <v>938.55400000000009</v>
      </c>
      <c r="BV19">
        <v>17.705526666666671</v>
      </c>
      <c r="BW19">
        <v>-19.498650000000001</v>
      </c>
      <c r="BX19">
        <v>184.99813333333341</v>
      </c>
      <c r="BY19">
        <v>203.95416666666671</v>
      </c>
      <c r="BZ19">
        <v>4.9303739999999996</v>
      </c>
      <c r="CA19">
        <v>199.9777333333333</v>
      </c>
      <c r="CB19">
        <v>19.497309999999999</v>
      </c>
      <c r="CC19">
        <v>2.5040926666666672</v>
      </c>
      <c r="CD19">
        <v>1.998678</v>
      </c>
      <c r="CE19">
        <v>21.053133333333339</v>
      </c>
      <c r="CF19">
        <v>17.43386666666667</v>
      </c>
      <c r="CG19">
        <v>1750157833.5</v>
      </c>
      <c r="CH19" t="s">
        <v>337</v>
      </c>
      <c r="CI19">
        <v>1750157830.5</v>
      </c>
      <c r="CJ19">
        <v>1750157833.5</v>
      </c>
      <c r="CK19">
        <v>8</v>
      </c>
      <c r="CL19">
        <v>-1.3089999999999999</v>
      </c>
      <c r="CM19">
        <v>2.9000000000000001E-2</v>
      </c>
      <c r="CN19">
        <v>1.9159999999999999</v>
      </c>
      <c r="CO19">
        <v>0.248</v>
      </c>
      <c r="CP19">
        <v>450</v>
      </c>
      <c r="CQ19">
        <v>19</v>
      </c>
      <c r="CR19">
        <v>0.03</v>
      </c>
      <c r="CS19">
        <v>0.02</v>
      </c>
      <c r="CT19">
        <v>-19.479570731707319</v>
      </c>
      <c r="CU19">
        <v>-0.33714773519159852</v>
      </c>
      <c r="CV19">
        <v>3.6983537826934712E-2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4.9189524390243902</v>
      </c>
      <c r="DC19">
        <v>0.1870605574912981</v>
      </c>
      <c r="DD19">
        <v>1.845932717909346E-2</v>
      </c>
      <c r="DE19">
        <v>0</v>
      </c>
      <c r="DF19">
        <v>1</v>
      </c>
      <c r="DG19">
        <v>2</v>
      </c>
      <c r="DH19" t="s">
        <v>344</v>
      </c>
      <c r="DI19">
        <v>3.02427</v>
      </c>
      <c r="DJ19">
        <v>2.6910500000000002</v>
      </c>
      <c r="DK19">
        <v>4.8932400000000001E-2</v>
      </c>
      <c r="DL19">
        <v>5.3787000000000001E-2</v>
      </c>
      <c r="DM19">
        <v>0.122961</v>
      </c>
      <c r="DN19">
        <v>0.106019</v>
      </c>
      <c r="DO19">
        <v>26570.6</v>
      </c>
      <c r="DP19">
        <v>17819.900000000001</v>
      </c>
      <c r="DQ19">
        <v>26500.799999999999</v>
      </c>
      <c r="DR19">
        <v>17113.400000000001</v>
      </c>
      <c r="DS19">
        <v>33040.1</v>
      </c>
      <c r="DT19">
        <v>19962.2</v>
      </c>
      <c r="DU19">
        <v>38604.199999999997</v>
      </c>
      <c r="DV19">
        <v>22660.1</v>
      </c>
      <c r="DW19">
        <v>1.8202</v>
      </c>
      <c r="DX19">
        <v>2.2232599999999998</v>
      </c>
      <c r="DY19">
        <v>8.1759700000000005E-2</v>
      </c>
      <c r="DZ19">
        <v>0</v>
      </c>
      <c r="EA19">
        <v>24.635300000000001</v>
      </c>
      <c r="EB19">
        <v>999.9</v>
      </c>
      <c r="EC19">
        <v>51</v>
      </c>
      <c r="ED19">
        <v>31.7</v>
      </c>
      <c r="EE19">
        <v>23.354700000000001</v>
      </c>
      <c r="EF19">
        <v>62.766300000000001</v>
      </c>
      <c r="EG19">
        <v>35.1843</v>
      </c>
      <c r="EH19">
        <v>1</v>
      </c>
      <c r="EI19">
        <v>-6.9004099999999999E-2</v>
      </c>
      <c r="EJ19">
        <v>-0.41095399999999999</v>
      </c>
      <c r="EK19">
        <v>20.328399999999998</v>
      </c>
      <c r="EL19">
        <v>5.2498800000000001</v>
      </c>
      <c r="EM19">
        <v>11.962</v>
      </c>
      <c r="EN19">
        <v>4.98996</v>
      </c>
      <c r="EO19">
        <v>3.29142</v>
      </c>
      <c r="EP19">
        <v>9999</v>
      </c>
      <c r="EQ19">
        <v>9999</v>
      </c>
      <c r="ER19">
        <v>9999</v>
      </c>
      <c r="ES19">
        <v>999.9</v>
      </c>
      <c r="ET19">
        <v>4.9727300000000003</v>
      </c>
      <c r="EU19">
        <v>1.87195</v>
      </c>
      <c r="EV19">
        <v>1.87219</v>
      </c>
      <c r="EW19">
        <v>1.8772500000000001</v>
      </c>
      <c r="EX19">
        <v>1.8713500000000001</v>
      </c>
      <c r="EY19">
        <v>1.8721399999999999</v>
      </c>
      <c r="EZ19">
        <v>1.8717999999999999</v>
      </c>
      <c r="FA19">
        <v>1.86873</v>
      </c>
      <c r="FB19">
        <v>0</v>
      </c>
      <c r="FC19">
        <v>0</v>
      </c>
      <c r="FD19">
        <v>0</v>
      </c>
      <c r="FE19">
        <v>0</v>
      </c>
      <c r="FF19" t="s">
        <v>339</v>
      </c>
      <c r="FG19" t="s">
        <v>340</v>
      </c>
      <c r="FH19" t="s">
        <v>341</v>
      </c>
      <c r="FI19" t="s">
        <v>341</v>
      </c>
      <c r="FJ19" t="s">
        <v>341</v>
      </c>
      <c r="FK19" t="s">
        <v>341</v>
      </c>
      <c r="FL19">
        <v>0</v>
      </c>
      <c r="FM19">
        <v>100</v>
      </c>
      <c r="FN19">
        <v>100</v>
      </c>
      <c r="FO19">
        <v>-0.38500000000000001</v>
      </c>
      <c r="FP19">
        <v>0.24809999999999999</v>
      </c>
      <c r="FQ19">
        <v>-1.824124887782705</v>
      </c>
      <c r="FR19">
        <v>7.6898218637449396E-3</v>
      </c>
      <c r="FS19">
        <v>1.5097418776848419E-6</v>
      </c>
      <c r="FT19">
        <v>-9.8458676114205118E-11</v>
      </c>
      <c r="FU19">
        <v>0.24817000000000181</v>
      </c>
      <c r="FV19">
        <v>0</v>
      </c>
      <c r="FW19">
        <v>0</v>
      </c>
      <c r="FX19">
        <v>0</v>
      </c>
      <c r="FY19">
        <v>3</v>
      </c>
      <c r="FZ19">
        <v>2164</v>
      </c>
      <c r="GA19">
        <v>-1</v>
      </c>
      <c r="GB19">
        <v>-1</v>
      </c>
      <c r="GC19">
        <v>10.1</v>
      </c>
      <c r="GD19">
        <v>10</v>
      </c>
      <c r="GE19">
        <v>0.58715799999999996</v>
      </c>
      <c r="GF19">
        <v>2.6355</v>
      </c>
      <c r="GG19">
        <v>1.7981</v>
      </c>
      <c r="GH19">
        <v>2.3706100000000001</v>
      </c>
      <c r="GI19">
        <v>1.5979000000000001</v>
      </c>
      <c r="GJ19">
        <v>2.5366200000000001</v>
      </c>
      <c r="GK19">
        <v>34.875500000000002</v>
      </c>
      <c r="GL19">
        <v>24.1663</v>
      </c>
      <c r="GM19">
        <v>18</v>
      </c>
      <c r="GN19">
        <v>366.279</v>
      </c>
      <c r="GO19">
        <v>681.98099999999999</v>
      </c>
      <c r="GP19">
        <v>25.8306</v>
      </c>
      <c r="GQ19">
        <v>26.197900000000001</v>
      </c>
      <c r="GR19">
        <v>30.000299999999999</v>
      </c>
      <c r="GS19">
        <v>26.0944</v>
      </c>
      <c r="GT19">
        <v>26.105599999999999</v>
      </c>
      <c r="GU19">
        <v>11.7193</v>
      </c>
      <c r="GV19">
        <v>22.255199999999999</v>
      </c>
      <c r="GW19">
        <v>0</v>
      </c>
      <c r="GX19">
        <v>25.83</v>
      </c>
      <c r="GY19">
        <v>200</v>
      </c>
      <c r="GZ19">
        <v>19.5</v>
      </c>
      <c r="HA19">
        <v>100.699</v>
      </c>
      <c r="HB19">
        <v>70.7547</v>
      </c>
    </row>
    <row r="20" spans="1:210" x14ac:dyDescent="0.3">
      <c r="A20">
        <v>4</v>
      </c>
      <c r="B20">
        <v>1750158614.5999999</v>
      </c>
      <c r="C20">
        <v>541.59999990463257</v>
      </c>
      <c r="D20" t="s">
        <v>347</v>
      </c>
      <c r="E20" t="s">
        <v>348</v>
      </c>
      <c r="F20">
        <v>15</v>
      </c>
      <c r="G20">
        <v>1750158606.849999</v>
      </c>
      <c r="H20">
        <f t="shared" si="0"/>
        <v>2.5115738547265179E-3</v>
      </c>
      <c r="I20">
        <f t="shared" si="1"/>
        <v>2.5115738547265178</v>
      </c>
      <c r="J20">
        <f t="shared" si="2"/>
        <v>4.5055753720114868</v>
      </c>
      <c r="K20">
        <f t="shared" si="3"/>
        <v>114.2237333333333</v>
      </c>
      <c r="L20">
        <f t="shared" si="4"/>
        <v>90.098284746121351</v>
      </c>
      <c r="M20">
        <f t="shared" si="5"/>
        <v>9.2448116297790239</v>
      </c>
      <c r="N20">
        <f t="shared" si="6"/>
        <v>11.720277486883417</v>
      </c>
      <c r="O20">
        <f t="shared" si="7"/>
        <v>0.34967683004814909</v>
      </c>
      <c r="P20">
        <f t="shared" si="8"/>
        <v>2.4342369979922616</v>
      </c>
      <c r="Q20">
        <f t="shared" si="9"/>
        <v>0.31081261424003159</v>
      </c>
      <c r="R20">
        <f t="shared" si="10"/>
        <v>0.19739157487883546</v>
      </c>
      <c r="S20">
        <f t="shared" si="11"/>
        <v>178.23860733333333</v>
      </c>
      <c r="T20">
        <f t="shared" si="12"/>
        <v>27.081736931129903</v>
      </c>
      <c r="U20">
        <f t="shared" si="13"/>
        <v>25.987606666666661</v>
      </c>
      <c r="V20">
        <f t="shared" si="14"/>
        <v>3.3717847040751705</v>
      </c>
      <c r="W20">
        <f t="shared" si="15"/>
        <v>73.377672105843232</v>
      </c>
      <c r="X20">
        <f t="shared" si="16"/>
        <v>2.5666360136226265</v>
      </c>
      <c r="Y20">
        <f t="shared" si="17"/>
        <v>3.4978433356680982</v>
      </c>
      <c r="Z20">
        <f t="shared" si="18"/>
        <v>0.805148690452544</v>
      </c>
      <c r="AA20">
        <f t="shared" si="19"/>
        <v>-110.76040699343943</v>
      </c>
      <c r="AB20">
        <f t="shared" si="20"/>
        <v>81.585041927797491</v>
      </c>
      <c r="AC20">
        <f t="shared" si="21"/>
        <v>7.1824520030181693</v>
      </c>
      <c r="AD20">
        <f t="shared" si="22"/>
        <v>156.24569427070958</v>
      </c>
      <c r="AE20">
        <f t="shared" si="23"/>
        <v>4.5055753720114868</v>
      </c>
      <c r="AF20">
        <f t="shared" si="24"/>
        <v>2.5115738547265178</v>
      </c>
      <c r="AG20">
        <f t="shared" si="25"/>
        <v>4.5220901773593258</v>
      </c>
      <c r="AH20">
        <v>127.49159060381309</v>
      </c>
      <c r="AI20">
        <v>117.11610303030299</v>
      </c>
      <c r="AJ20">
        <v>-6.1882462755568024E-5</v>
      </c>
      <c r="AK20">
        <v>83.967426544914119</v>
      </c>
      <c r="AL20">
        <f t="shared" si="26"/>
        <v>2.521777125691107</v>
      </c>
      <c r="AM20">
        <v>19.50310140186312</v>
      </c>
      <c r="AN20">
        <v>25.034428289102209</v>
      </c>
      <c r="AO20">
        <v>5.1388905946824227E-6</v>
      </c>
      <c r="AP20">
        <v>90.554809006859813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54270.321943813891</v>
      </c>
      <c r="AV20">
        <f t="shared" si="30"/>
        <v>938.09793333333334</v>
      </c>
      <c r="AW20">
        <f t="shared" si="31"/>
        <v>750.47834666666677</v>
      </c>
      <c r="AX20">
        <f t="shared" si="32"/>
        <v>0.8</v>
      </c>
      <c r="AY20">
        <f t="shared" si="33"/>
        <v>0.19</v>
      </c>
      <c r="AZ20">
        <v>9</v>
      </c>
      <c r="BA20">
        <v>14.19</v>
      </c>
      <c r="BB20" t="s">
        <v>336</v>
      </c>
      <c r="BC20">
        <v>2</v>
      </c>
      <c r="BD20" t="b">
        <v>0</v>
      </c>
      <c r="BE20">
        <v>1750158606.849999</v>
      </c>
      <c r="BF20">
        <v>114.2237333333333</v>
      </c>
      <c r="BG20">
        <v>125.00563333333329</v>
      </c>
      <c r="BH20">
        <v>25.013976666666672</v>
      </c>
      <c r="BI20">
        <v>19.504866666666668</v>
      </c>
      <c r="BJ20">
        <v>115.14246666666671</v>
      </c>
      <c r="BK20">
        <v>24.765816666666669</v>
      </c>
      <c r="BL20">
        <v>400.04183333333327</v>
      </c>
      <c r="BM20">
        <v>102.50806666666671</v>
      </c>
      <c r="BN20">
        <v>0.1000091233333333</v>
      </c>
      <c r="BO20">
        <v>26.609279999999998</v>
      </c>
      <c r="BP20">
        <v>25.987606666666661</v>
      </c>
      <c r="BQ20">
        <v>999.9000000000002</v>
      </c>
      <c r="BR20">
        <v>0</v>
      </c>
      <c r="BS20">
        <v>0</v>
      </c>
      <c r="BT20">
        <v>9999.2833333333328</v>
      </c>
      <c r="BU20">
        <v>938.09793333333334</v>
      </c>
      <c r="BV20">
        <v>17.720066666666671</v>
      </c>
      <c r="BW20">
        <v>-10.78184666666667</v>
      </c>
      <c r="BX20">
        <v>117.1541666666667</v>
      </c>
      <c r="BY20">
        <v>127.4923</v>
      </c>
      <c r="BZ20">
        <v>5.5091216666666671</v>
      </c>
      <c r="CA20">
        <v>125.00563333333329</v>
      </c>
      <c r="CB20">
        <v>19.504866666666668</v>
      </c>
      <c r="CC20">
        <v>2.5641353333333341</v>
      </c>
      <c r="CD20">
        <v>1.999406</v>
      </c>
      <c r="CE20">
        <v>21.43942666666667</v>
      </c>
      <c r="CF20">
        <v>17.43963333333333</v>
      </c>
      <c r="CG20">
        <v>1750157833.5</v>
      </c>
      <c r="CH20" t="s">
        <v>337</v>
      </c>
      <c r="CI20">
        <v>1750157830.5</v>
      </c>
      <c r="CJ20">
        <v>1750157833.5</v>
      </c>
      <c r="CK20">
        <v>8</v>
      </c>
      <c r="CL20">
        <v>-1.3089999999999999</v>
      </c>
      <c r="CM20">
        <v>2.9000000000000001E-2</v>
      </c>
      <c r="CN20">
        <v>1.9159999999999999</v>
      </c>
      <c r="CO20">
        <v>0.248</v>
      </c>
      <c r="CP20">
        <v>450</v>
      </c>
      <c r="CQ20">
        <v>19</v>
      </c>
      <c r="CR20">
        <v>0.03</v>
      </c>
      <c r="CS20">
        <v>0.02</v>
      </c>
      <c r="CT20">
        <v>-10.767745</v>
      </c>
      <c r="CU20">
        <v>-0.28076622889304392</v>
      </c>
      <c r="CV20">
        <v>3.1656499727544217E-2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5.5004375000000003</v>
      </c>
      <c r="DC20">
        <v>0.1949434896810224</v>
      </c>
      <c r="DD20">
        <v>1.8862500066269001E-2</v>
      </c>
      <c r="DE20">
        <v>0</v>
      </c>
      <c r="DF20">
        <v>1</v>
      </c>
      <c r="DG20">
        <v>2</v>
      </c>
      <c r="DH20" t="s">
        <v>344</v>
      </c>
      <c r="DI20">
        <v>3.0244200000000001</v>
      </c>
      <c r="DJ20">
        <v>2.6911399999999999</v>
      </c>
      <c r="DK20">
        <v>3.21631E-2</v>
      </c>
      <c r="DL20">
        <v>3.4930099999999999E-2</v>
      </c>
      <c r="DM20">
        <v>0.124988</v>
      </c>
      <c r="DN20">
        <v>0.106012</v>
      </c>
      <c r="DO20">
        <v>27034</v>
      </c>
      <c r="DP20">
        <v>18174.400000000001</v>
      </c>
      <c r="DQ20">
        <v>26496.3</v>
      </c>
      <c r="DR20">
        <v>17113</v>
      </c>
      <c r="DS20">
        <v>32956.199999999997</v>
      </c>
      <c r="DT20">
        <v>19962.8</v>
      </c>
      <c r="DU20">
        <v>38597.699999999997</v>
      </c>
      <c r="DV20">
        <v>22660.6</v>
      </c>
      <c r="DW20">
        <v>1.81962</v>
      </c>
      <c r="DX20">
        <v>2.2214800000000001</v>
      </c>
      <c r="DY20">
        <v>7.9661599999999999E-2</v>
      </c>
      <c r="DZ20">
        <v>0</v>
      </c>
      <c r="EA20">
        <v>24.679099999999998</v>
      </c>
      <c r="EB20">
        <v>999.9</v>
      </c>
      <c r="EC20">
        <v>51.1</v>
      </c>
      <c r="ED20">
        <v>31.7</v>
      </c>
      <c r="EE20">
        <v>23.402699999999999</v>
      </c>
      <c r="EF20">
        <v>62.676299999999998</v>
      </c>
      <c r="EG20">
        <v>35.132199999999997</v>
      </c>
      <c r="EH20">
        <v>1</v>
      </c>
      <c r="EI20">
        <v>-6.0776400000000001E-2</v>
      </c>
      <c r="EJ20">
        <v>-0.33832200000000001</v>
      </c>
      <c r="EK20">
        <v>20.328299999999999</v>
      </c>
      <c r="EL20">
        <v>5.2513100000000001</v>
      </c>
      <c r="EM20">
        <v>11.962</v>
      </c>
      <c r="EN20">
        <v>4.9896000000000003</v>
      </c>
      <c r="EO20">
        <v>3.2912400000000002</v>
      </c>
      <c r="EP20">
        <v>9999</v>
      </c>
      <c r="EQ20">
        <v>9999</v>
      </c>
      <c r="ER20">
        <v>9999</v>
      </c>
      <c r="ES20">
        <v>999.9</v>
      </c>
      <c r="ET20">
        <v>4.9727600000000001</v>
      </c>
      <c r="EU20">
        <v>1.87195</v>
      </c>
      <c r="EV20">
        <v>1.87222</v>
      </c>
      <c r="EW20">
        <v>1.87727</v>
      </c>
      <c r="EX20">
        <v>1.8713500000000001</v>
      </c>
      <c r="EY20">
        <v>1.87216</v>
      </c>
      <c r="EZ20">
        <v>1.8717999999999999</v>
      </c>
      <c r="FA20">
        <v>1.8687400000000001</v>
      </c>
      <c r="FB20">
        <v>0</v>
      </c>
      <c r="FC20">
        <v>0</v>
      </c>
      <c r="FD20">
        <v>0</v>
      </c>
      <c r="FE20">
        <v>0</v>
      </c>
      <c r="FF20" t="s">
        <v>339</v>
      </c>
      <c r="FG20" t="s">
        <v>340</v>
      </c>
      <c r="FH20" t="s">
        <v>341</v>
      </c>
      <c r="FI20" t="s">
        <v>341</v>
      </c>
      <c r="FJ20" t="s">
        <v>341</v>
      </c>
      <c r="FK20" t="s">
        <v>341</v>
      </c>
      <c r="FL20">
        <v>0</v>
      </c>
      <c r="FM20">
        <v>100</v>
      </c>
      <c r="FN20">
        <v>100</v>
      </c>
      <c r="FO20">
        <v>-0.91900000000000004</v>
      </c>
      <c r="FP20">
        <v>0.24809999999999999</v>
      </c>
      <c r="FQ20">
        <v>-1.824124887782705</v>
      </c>
      <c r="FR20">
        <v>7.6898218637449396E-3</v>
      </c>
      <c r="FS20">
        <v>1.5097418776848419E-6</v>
      </c>
      <c r="FT20">
        <v>-9.8458676114205118E-11</v>
      </c>
      <c r="FU20">
        <v>0.24817000000000181</v>
      </c>
      <c r="FV20">
        <v>0</v>
      </c>
      <c r="FW20">
        <v>0</v>
      </c>
      <c r="FX20">
        <v>0</v>
      </c>
      <c r="FY20">
        <v>3</v>
      </c>
      <c r="FZ20">
        <v>2164</v>
      </c>
      <c r="GA20">
        <v>-1</v>
      </c>
      <c r="GB20">
        <v>-1</v>
      </c>
      <c r="GC20">
        <v>13.1</v>
      </c>
      <c r="GD20">
        <v>13</v>
      </c>
      <c r="GE20">
        <v>0.42236299999999999</v>
      </c>
      <c r="GF20">
        <v>2.6452599999999999</v>
      </c>
      <c r="GG20">
        <v>1.7981</v>
      </c>
      <c r="GH20">
        <v>2.3706100000000001</v>
      </c>
      <c r="GI20">
        <v>1.5979000000000001</v>
      </c>
      <c r="GJ20">
        <v>2.5671400000000002</v>
      </c>
      <c r="GK20">
        <v>34.898499999999999</v>
      </c>
      <c r="GL20">
        <v>24.1663</v>
      </c>
      <c r="GM20">
        <v>18</v>
      </c>
      <c r="GN20">
        <v>366.66800000000001</v>
      </c>
      <c r="GO20">
        <v>681.74400000000003</v>
      </c>
      <c r="GP20">
        <v>25.830200000000001</v>
      </c>
      <c r="GQ20">
        <v>26.3033</v>
      </c>
      <c r="GR20">
        <v>30.000299999999999</v>
      </c>
      <c r="GS20">
        <v>26.195399999999999</v>
      </c>
      <c r="GT20">
        <v>26.206299999999999</v>
      </c>
      <c r="GU20">
        <v>8.4240600000000008</v>
      </c>
      <c r="GV20">
        <v>22.255199999999999</v>
      </c>
      <c r="GW20">
        <v>0</v>
      </c>
      <c r="GX20">
        <v>25.83</v>
      </c>
      <c r="GY20">
        <v>125</v>
      </c>
      <c r="GZ20">
        <v>19.5</v>
      </c>
      <c r="HA20">
        <v>100.682</v>
      </c>
      <c r="HB20">
        <v>70.754900000000006</v>
      </c>
    </row>
    <row r="21" spans="1:210" x14ac:dyDescent="0.3">
      <c r="A21">
        <v>5</v>
      </c>
      <c r="B21">
        <v>1750158795.0999999</v>
      </c>
      <c r="C21">
        <v>722.09999990463257</v>
      </c>
      <c r="D21" t="s">
        <v>349</v>
      </c>
      <c r="E21" t="s">
        <v>350</v>
      </c>
      <c r="F21">
        <v>15</v>
      </c>
      <c r="G21">
        <v>1750158787.349999</v>
      </c>
      <c r="H21">
        <f t="shared" si="0"/>
        <v>2.7422904143475481E-3</v>
      </c>
      <c r="I21">
        <f t="shared" si="1"/>
        <v>2.7422904143475479</v>
      </c>
      <c r="J21">
        <f t="shared" si="2"/>
        <v>1.5971238647241492</v>
      </c>
      <c r="K21">
        <f t="shared" si="3"/>
        <v>70.964253333333346</v>
      </c>
      <c r="L21">
        <f t="shared" si="4"/>
        <v>63.226629036729648</v>
      </c>
      <c r="M21">
        <f t="shared" si="5"/>
        <v>6.4872667682833898</v>
      </c>
      <c r="N21">
        <f t="shared" si="6"/>
        <v>7.2811732872543669</v>
      </c>
      <c r="O21">
        <f t="shared" si="7"/>
        <v>0.41509536862739749</v>
      </c>
      <c r="P21">
        <f t="shared" si="8"/>
        <v>2.4348622196385614</v>
      </c>
      <c r="Q21">
        <f t="shared" si="9"/>
        <v>0.36152106486929592</v>
      </c>
      <c r="R21">
        <f t="shared" si="10"/>
        <v>0.23018939427106477</v>
      </c>
      <c r="S21">
        <f t="shared" si="11"/>
        <v>178.17335500000002</v>
      </c>
      <c r="T21">
        <f t="shared" si="12"/>
        <v>27.045048687150356</v>
      </c>
      <c r="U21">
        <f t="shared" si="13"/>
        <v>26.002109999999998</v>
      </c>
      <c r="V21">
        <f t="shared" si="14"/>
        <v>3.3746797569918026</v>
      </c>
      <c r="W21">
        <f t="shared" si="15"/>
        <v>74.723513443170489</v>
      </c>
      <c r="X21">
        <f t="shared" si="16"/>
        <v>2.6191223108113513</v>
      </c>
      <c r="Y21">
        <f t="shared" si="17"/>
        <v>3.5050845311272387</v>
      </c>
      <c r="Z21">
        <f t="shared" si="18"/>
        <v>0.75555744618045129</v>
      </c>
      <c r="AA21">
        <f t="shared" si="19"/>
        <v>-120.93500727272688</v>
      </c>
      <c r="AB21">
        <f t="shared" si="20"/>
        <v>84.311436137199237</v>
      </c>
      <c r="AC21">
        <f t="shared" si="21"/>
        <v>7.4224138776019828</v>
      </c>
      <c r="AD21">
        <f t="shared" si="22"/>
        <v>148.97219774207434</v>
      </c>
      <c r="AE21">
        <f t="shared" si="23"/>
        <v>1.5971238647241492</v>
      </c>
      <c r="AF21">
        <f t="shared" si="24"/>
        <v>2.7422904143475479</v>
      </c>
      <c r="AG21">
        <f t="shared" si="25"/>
        <v>1.5902943613059506</v>
      </c>
      <c r="AH21">
        <v>76.478462061917696</v>
      </c>
      <c r="AI21">
        <v>72.830348484848471</v>
      </c>
      <c r="AJ21">
        <v>-1.2344842177887039E-4</v>
      </c>
      <c r="AK21">
        <v>83.967426544914119</v>
      </c>
      <c r="AL21">
        <f t="shared" si="26"/>
        <v>2.751540723804637</v>
      </c>
      <c r="AM21">
        <v>19.51375815553272</v>
      </c>
      <c r="AN21">
        <v>25.54619904009034</v>
      </c>
      <c r="AO21">
        <v>4.5451122959929913E-6</v>
      </c>
      <c r="AP21">
        <v>90.554809006859813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54284.912222255785</v>
      </c>
      <c r="AV21">
        <f t="shared" si="30"/>
        <v>937.75450000000012</v>
      </c>
      <c r="AW21">
        <f t="shared" si="31"/>
        <v>750.20360000000016</v>
      </c>
      <c r="AX21">
        <f t="shared" si="32"/>
        <v>0.8</v>
      </c>
      <c r="AY21">
        <f t="shared" si="33"/>
        <v>0.19</v>
      </c>
      <c r="AZ21">
        <v>9</v>
      </c>
      <c r="BA21">
        <v>14.19</v>
      </c>
      <c r="BB21" t="s">
        <v>336</v>
      </c>
      <c r="BC21">
        <v>2</v>
      </c>
      <c r="BD21" t="b">
        <v>0</v>
      </c>
      <c r="BE21">
        <v>1750158787.349999</v>
      </c>
      <c r="BF21">
        <v>70.964253333333346</v>
      </c>
      <c r="BG21">
        <v>74.995423333333349</v>
      </c>
      <c r="BH21">
        <v>25.526663333333332</v>
      </c>
      <c r="BI21">
        <v>19.514340000000001</v>
      </c>
      <c r="BJ21">
        <v>72.225126666666682</v>
      </c>
      <c r="BK21">
        <v>25.278496666666669</v>
      </c>
      <c r="BL21">
        <v>400.02173333333332</v>
      </c>
      <c r="BM21">
        <v>102.5034</v>
      </c>
      <c r="BN21">
        <v>9.9994600000000003E-2</v>
      </c>
      <c r="BO21">
        <v>26.64439333333334</v>
      </c>
      <c r="BP21">
        <v>26.002109999999998</v>
      </c>
      <c r="BQ21">
        <v>999.9000000000002</v>
      </c>
      <c r="BR21">
        <v>0</v>
      </c>
      <c r="BS21">
        <v>0</v>
      </c>
      <c r="BT21">
        <v>10003.783333333329</v>
      </c>
      <c r="BU21">
        <v>937.75450000000012</v>
      </c>
      <c r="BV21">
        <v>17.69143</v>
      </c>
      <c r="BW21">
        <v>-4.0311743333333334</v>
      </c>
      <c r="BX21">
        <v>72.823176666666669</v>
      </c>
      <c r="BY21">
        <v>76.488036666666673</v>
      </c>
      <c r="BZ21">
        <v>6.012331333333333</v>
      </c>
      <c r="CA21">
        <v>74.995423333333349</v>
      </c>
      <c r="CB21">
        <v>19.514340000000001</v>
      </c>
      <c r="CC21">
        <v>2.6165703333333341</v>
      </c>
      <c r="CD21">
        <v>2.000284666666666</v>
      </c>
      <c r="CE21">
        <v>21.770356666666661</v>
      </c>
      <c r="CF21">
        <v>17.446603333333329</v>
      </c>
      <c r="CG21">
        <v>1750157833.5</v>
      </c>
      <c r="CH21" t="s">
        <v>337</v>
      </c>
      <c r="CI21">
        <v>1750157830.5</v>
      </c>
      <c r="CJ21">
        <v>1750157833.5</v>
      </c>
      <c r="CK21">
        <v>8</v>
      </c>
      <c r="CL21">
        <v>-1.3089999999999999</v>
      </c>
      <c r="CM21">
        <v>2.9000000000000001E-2</v>
      </c>
      <c r="CN21">
        <v>1.9159999999999999</v>
      </c>
      <c r="CO21">
        <v>0.248</v>
      </c>
      <c r="CP21">
        <v>450</v>
      </c>
      <c r="CQ21">
        <v>19</v>
      </c>
      <c r="CR21">
        <v>0.03</v>
      </c>
      <c r="CS21">
        <v>0.02</v>
      </c>
      <c r="CT21">
        <v>-4.0317924390243904</v>
      </c>
      <c r="CU21">
        <v>6.5327038327534892E-2</v>
      </c>
      <c r="CV21">
        <v>1.8173020713575301E-2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6.0059024390243909</v>
      </c>
      <c r="DC21">
        <v>0.1509702439024522</v>
      </c>
      <c r="DD21">
        <v>1.4966046088214949E-2</v>
      </c>
      <c r="DE21">
        <v>0</v>
      </c>
      <c r="DF21">
        <v>1</v>
      </c>
      <c r="DG21">
        <v>2</v>
      </c>
      <c r="DH21" t="s">
        <v>344</v>
      </c>
      <c r="DI21">
        <v>3.0244900000000001</v>
      </c>
      <c r="DJ21">
        <v>2.6912799999999999</v>
      </c>
      <c r="DK21">
        <v>2.0455999999999998E-2</v>
      </c>
      <c r="DL21">
        <v>2.1319000000000001E-2</v>
      </c>
      <c r="DM21">
        <v>0.12673699999999999</v>
      </c>
      <c r="DN21">
        <v>0.106007</v>
      </c>
      <c r="DO21">
        <v>27354.9</v>
      </c>
      <c r="DP21">
        <v>18428.2</v>
      </c>
      <c r="DQ21">
        <v>26490.9</v>
      </c>
      <c r="DR21">
        <v>17110.8</v>
      </c>
      <c r="DS21">
        <v>32882.6</v>
      </c>
      <c r="DT21">
        <v>19961.5</v>
      </c>
      <c r="DU21">
        <v>38590.400000000001</v>
      </c>
      <c r="DV21">
        <v>22658.799999999999</v>
      </c>
      <c r="DW21">
        <v>1.8193600000000001</v>
      </c>
      <c r="DX21">
        <v>2.21936</v>
      </c>
      <c r="DY21">
        <v>7.88629E-2</v>
      </c>
      <c r="DZ21">
        <v>0</v>
      </c>
      <c r="EA21">
        <v>24.706800000000001</v>
      </c>
      <c r="EB21">
        <v>999.9</v>
      </c>
      <c r="EC21">
        <v>51.1</v>
      </c>
      <c r="ED21">
        <v>31.7</v>
      </c>
      <c r="EE21">
        <v>23.402999999999999</v>
      </c>
      <c r="EF21">
        <v>62.846299999999999</v>
      </c>
      <c r="EG21">
        <v>35.064100000000003</v>
      </c>
      <c r="EH21">
        <v>1</v>
      </c>
      <c r="EI21">
        <v>-5.1935000000000002E-2</v>
      </c>
      <c r="EJ21">
        <v>-0.28301500000000002</v>
      </c>
      <c r="EK21">
        <v>20.328499999999998</v>
      </c>
      <c r="EL21">
        <v>5.2516699999999998</v>
      </c>
      <c r="EM21">
        <v>11.962</v>
      </c>
      <c r="EN21">
        <v>4.9897200000000002</v>
      </c>
      <c r="EO21">
        <v>3.2913999999999999</v>
      </c>
      <c r="EP21">
        <v>9999</v>
      </c>
      <c r="EQ21">
        <v>9999</v>
      </c>
      <c r="ER21">
        <v>9999</v>
      </c>
      <c r="ES21">
        <v>999.9</v>
      </c>
      <c r="ET21">
        <v>4.9727300000000003</v>
      </c>
      <c r="EU21">
        <v>1.87195</v>
      </c>
      <c r="EV21">
        <v>1.87216</v>
      </c>
      <c r="EW21">
        <v>1.87727</v>
      </c>
      <c r="EX21">
        <v>1.87137</v>
      </c>
      <c r="EY21">
        <v>1.87215</v>
      </c>
      <c r="EZ21">
        <v>1.87182</v>
      </c>
      <c r="FA21">
        <v>1.8687400000000001</v>
      </c>
      <c r="FB21">
        <v>0</v>
      </c>
      <c r="FC21">
        <v>0</v>
      </c>
      <c r="FD21">
        <v>0</v>
      </c>
      <c r="FE21">
        <v>0</v>
      </c>
      <c r="FF21" t="s">
        <v>339</v>
      </c>
      <c r="FG21" t="s">
        <v>340</v>
      </c>
      <c r="FH21" t="s">
        <v>341</v>
      </c>
      <c r="FI21" t="s">
        <v>341</v>
      </c>
      <c r="FJ21" t="s">
        <v>341</v>
      </c>
      <c r="FK21" t="s">
        <v>341</v>
      </c>
      <c r="FL21">
        <v>0</v>
      </c>
      <c r="FM21">
        <v>100</v>
      </c>
      <c r="FN21">
        <v>100</v>
      </c>
      <c r="FO21">
        <v>-1.2609999999999999</v>
      </c>
      <c r="FP21">
        <v>0.24809999999999999</v>
      </c>
      <c r="FQ21">
        <v>-1.824124887782705</v>
      </c>
      <c r="FR21">
        <v>7.6898218637449396E-3</v>
      </c>
      <c r="FS21">
        <v>1.5097418776848419E-6</v>
      </c>
      <c r="FT21">
        <v>-9.8458676114205118E-11</v>
      </c>
      <c r="FU21">
        <v>0.24817000000000181</v>
      </c>
      <c r="FV21">
        <v>0</v>
      </c>
      <c r="FW21">
        <v>0</v>
      </c>
      <c r="FX21">
        <v>0</v>
      </c>
      <c r="FY21">
        <v>3</v>
      </c>
      <c r="FZ21">
        <v>2164</v>
      </c>
      <c r="GA21">
        <v>-1</v>
      </c>
      <c r="GB21">
        <v>-1</v>
      </c>
      <c r="GC21">
        <v>16.100000000000001</v>
      </c>
      <c r="GD21">
        <v>16</v>
      </c>
      <c r="GE21">
        <v>0.3125</v>
      </c>
      <c r="GF21">
        <v>2.6892100000000001</v>
      </c>
      <c r="GG21">
        <v>1.79932</v>
      </c>
      <c r="GH21">
        <v>2.3718300000000001</v>
      </c>
      <c r="GI21">
        <v>1.5979000000000001</v>
      </c>
      <c r="GJ21">
        <v>2.4475099999999999</v>
      </c>
      <c r="GK21">
        <v>34.921399999999998</v>
      </c>
      <c r="GL21">
        <v>24.157499999999999</v>
      </c>
      <c r="GM21">
        <v>18</v>
      </c>
      <c r="GN21">
        <v>367.26299999999998</v>
      </c>
      <c r="GO21">
        <v>681.29100000000005</v>
      </c>
      <c r="GP21">
        <v>25.830300000000001</v>
      </c>
      <c r="GQ21">
        <v>26.415400000000002</v>
      </c>
      <c r="GR21">
        <v>30.000299999999999</v>
      </c>
      <c r="GS21">
        <v>26.302900000000001</v>
      </c>
      <c r="GT21">
        <v>26.313600000000001</v>
      </c>
      <c r="GU21">
        <v>6.2073999999999998</v>
      </c>
      <c r="GV21">
        <v>22.255199999999999</v>
      </c>
      <c r="GW21">
        <v>0</v>
      </c>
      <c r="GX21">
        <v>25.83</v>
      </c>
      <c r="GY21">
        <v>75</v>
      </c>
      <c r="GZ21">
        <v>19.5</v>
      </c>
      <c r="HA21">
        <v>100.66200000000001</v>
      </c>
      <c r="HB21">
        <v>70.748000000000005</v>
      </c>
    </row>
    <row r="22" spans="1:210" x14ac:dyDescent="0.3">
      <c r="A22">
        <v>6</v>
      </c>
      <c r="B22">
        <v>1750158975.5999999</v>
      </c>
      <c r="C22">
        <v>902.59999990463257</v>
      </c>
      <c r="D22" t="s">
        <v>351</v>
      </c>
      <c r="E22" t="s">
        <v>352</v>
      </c>
      <c r="F22">
        <v>15</v>
      </c>
      <c r="G22">
        <v>1750158967.849999</v>
      </c>
      <c r="H22">
        <f t="shared" si="0"/>
        <v>2.8475285433782545E-3</v>
      </c>
      <c r="I22">
        <f t="shared" si="1"/>
        <v>2.8475285433782545</v>
      </c>
      <c r="J22">
        <f t="shared" si="2"/>
        <v>21.297955684734617</v>
      </c>
      <c r="K22">
        <f t="shared" si="3"/>
        <v>399.53626666666662</v>
      </c>
      <c r="L22">
        <f t="shared" si="4"/>
        <v>309.11024716979335</v>
      </c>
      <c r="M22">
        <f t="shared" si="5"/>
        <v>31.714985884552767</v>
      </c>
      <c r="N22">
        <f t="shared" si="6"/>
        <v>40.992775793485556</v>
      </c>
      <c r="O22">
        <f t="shared" si="7"/>
        <v>0.44891531128852191</v>
      </c>
      <c r="P22">
        <f t="shared" si="8"/>
        <v>2.4340428865255359</v>
      </c>
      <c r="Q22">
        <f t="shared" si="9"/>
        <v>0.38692759346671546</v>
      </c>
      <c r="R22">
        <f t="shared" si="10"/>
        <v>0.24668675450392186</v>
      </c>
      <c r="S22">
        <f t="shared" si="11"/>
        <v>178.13724233333332</v>
      </c>
      <c r="T22">
        <f t="shared" si="12"/>
        <v>27.039435666824652</v>
      </c>
      <c r="U22">
        <f t="shared" si="13"/>
        <v>26.013750000000002</v>
      </c>
      <c r="V22">
        <f t="shared" si="14"/>
        <v>3.3770048217149506</v>
      </c>
      <c r="W22">
        <f t="shared" si="15"/>
        <v>75.315816138600695</v>
      </c>
      <c r="X22">
        <f t="shared" si="16"/>
        <v>2.6440864472134673</v>
      </c>
      <c r="Y22">
        <f t="shared" si="17"/>
        <v>3.5106655982425528</v>
      </c>
      <c r="Z22">
        <f t="shared" si="18"/>
        <v>0.73291837450148334</v>
      </c>
      <c r="AA22">
        <f t="shared" si="19"/>
        <v>-125.57600876298102</v>
      </c>
      <c r="AB22">
        <f t="shared" si="20"/>
        <v>86.301292237624935</v>
      </c>
      <c r="AC22">
        <f t="shared" si="21"/>
        <v>7.6016226001576248</v>
      </c>
      <c r="AD22">
        <f t="shared" si="22"/>
        <v>146.46414840813486</v>
      </c>
      <c r="AE22">
        <f t="shared" si="23"/>
        <v>21.297955684734617</v>
      </c>
      <c r="AF22">
        <f t="shared" si="24"/>
        <v>2.8475285433782545</v>
      </c>
      <c r="AG22">
        <f t="shared" si="25"/>
        <v>21.360949597635003</v>
      </c>
      <c r="AH22">
        <v>458.96498617999077</v>
      </c>
      <c r="AI22">
        <v>409.97674545454538</v>
      </c>
      <c r="AJ22">
        <v>-2.96051440853062E-3</v>
      </c>
      <c r="AK22">
        <v>83.967426544914119</v>
      </c>
      <c r="AL22">
        <f t="shared" si="26"/>
        <v>2.8389674043226605</v>
      </c>
      <c r="AM22">
        <v>19.528605231188731</v>
      </c>
      <c r="AN22">
        <v>25.751110107284021</v>
      </c>
      <c r="AO22">
        <v>-4.0517220727947949E-6</v>
      </c>
      <c r="AP22">
        <v>90.554809006859813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54252.378567800435</v>
      </c>
      <c r="AV22">
        <f t="shared" si="30"/>
        <v>937.56443333333323</v>
      </c>
      <c r="AW22">
        <f t="shared" si="31"/>
        <v>750.05154666666658</v>
      </c>
      <c r="AX22">
        <f t="shared" si="32"/>
        <v>0.8</v>
      </c>
      <c r="AY22">
        <f t="shared" si="33"/>
        <v>0.19</v>
      </c>
      <c r="AZ22">
        <v>9</v>
      </c>
      <c r="BA22">
        <v>14.19</v>
      </c>
      <c r="BB22" t="s">
        <v>336</v>
      </c>
      <c r="BC22">
        <v>2</v>
      </c>
      <c r="BD22" t="b">
        <v>0</v>
      </c>
      <c r="BE22">
        <v>1750158967.849999</v>
      </c>
      <c r="BF22">
        <v>399.53626666666662</v>
      </c>
      <c r="BG22">
        <v>450.01063333333332</v>
      </c>
      <c r="BH22">
        <v>25.770600000000002</v>
      </c>
      <c r="BI22">
        <v>19.529493333333338</v>
      </c>
      <c r="BJ22">
        <v>398.06626666666659</v>
      </c>
      <c r="BK22">
        <v>25.522433333333339</v>
      </c>
      <c r="BL22">
        <v>400.04626666666672</v>
      </c>
      <c r="BM22">
        <v>102.5008333333333</v>
      </c>
      <c r="BN22">
        <v>0.10005478</v>
      </c>
      <c r="BO22">
        <v>26.671413333333341</v>
      </c>
      <c r="BP22">
        <v>26.013750000000002</v>
      </c>
      <c r="BQ22">
        <v>999.9000000000002</v>
      </c>
      <c r="BR22">
        <v>0</v>
      </c>
      <c r="BS22">
        <v>0</v>
      </c>
      <c r="BT22">
        <v>9998.7333333333336</v>
      </c>
      <c r="BU22">
        <v>937.56443333333323</v>
      </c>
      <c r="BV22">
        <v>17.674399999999999</v>
      </c>
      <c r="BW22">
        <v>-50.474213333333331</v>
      </c>
      <c r="BX22">
        <v>410.10493333333329</v>
      </c>
      <c r="BY22">
        <v>458.97399999999999</v>
      </c>
      <c r="BZ22">
        <v>6.2411046666666667</v>
      </c>
      <c r="CA22">
        <v>450.01063333333332</v>
      </c>
      <c r="CB22">
        <v>19.529493333333338</v>
      </c>
      <c r="CC22">
        <v>2.6415109999999999</v>
      </c>
      <c r="CD22">
        <v>2.001792333333333</v>
      </c>
      <c r="CE22">
        <v>21.925726666666669</v>
      </c>
      <c r="CF22">
        <v>17.458506666666668</v>
      </c>
      <c r="CG22">
        <v>1750157833.5</v>
      </c>
      <c r="CH22" t="s">
        <v>337</v>
      </c>
      <c r="CI22">
        <v>1750157830.5</v>
      </c>
      <c r="CJ22">
        <v>1750157833.5</v>
      </c>
      <c r="CK22">
        <v>8</v>
      </c>
      <c r="CL22">
        <v>-1.3089999999999999</v>
      </c>
      <c r="CM22">
        <v>2.9000000000000001E-2</v>
      </c>
      <c r="CN22">
        <v>1.9159999999999999</v>
      </c>
      <c r="CO22">
        <v>0.248</v>
      </c>
      <c r="CP22">
        <v>450</v>
      </c>
      <c r="CQ22">
        <v>19</v>
      </c>
      <c r="CR22">
        <v>0.03</v>
      </c>
      <c r="CS22">
        <v>0.02</v>
      </c>
      <c r="CT22">
        <v>-50.432502439024383</v>
      </c>
      <c r="CU22">
        <v>-0.75343484320563114</v>
      </c>
      <c r="CV22">
        <v>7.6406734117101818E-2</v>
      </c>
      <c r="CW22">
        <v>0</v>
      </c>
      <c r="CX22">
        <v>0</v>
      </c>
      <c r="CY22">
        <v>0</v>
      </c>
      <c r="CZ22">
        <v>0</v>
      </c>
      <c r="DA22">
        <v>-1</v>
      </c>
      <c r="DB22">
        <v>6.2475334146341464</v>
      </c>
      <c r="DC22">
        <v>-0.1220291289198458</v>
      </c>
      <c r="DD22">
        <v>1.2243876440551599E-2</v>
      </c>
      <c r="DE22">
        <v>0</v>
      </c>
      <c r="DF22">
        <v>0</v>
      </c>
      <c r="DG22">
        <v>2</v>
      </c>
      <c r="DH22" t="s">
        <v>353</v>
      </c>
      <c r="DI22">
        <v>3.0244</v>
      </c>
      <c r="DJ22">
        <v>2.6914699999999998</v>
      </c>
      <c r="DK22">
        <v>9.4315399999999994E-2</v>
      </c>
      <c r="DL22">
        <v>0.10396900000000001</v>
      </c>
      <c r="DM22">
        <v>0.12740199999999999</v>
      </c>
      <c r="DN22">
        <v>0.106056</v>
      </c>
      <c r="DO22">
        <v>25287.1</v>
      </c>
      <c r="DP22">
        <v>16870.900000000001</v>
      </c>
      <c r="DQ22">
        <v>26486</v>
      </c>
      <c r="DR22">
        <v>17110.099999999999</v>
      </c>
      <c r="DS22">
        <v>32853.599999999999</v>
      </c>
      <c r="DT22">
        <v>19961.8</v>
      </c>
      <c r="DU22">
        <v>38583.4</v>
      </c>
      <c r="DV22">
        <v>22658.7</v>
      </c>
      <c r="DW22">
        <v>1.8183</v>
      </c>
      <c r="DX22">
        <v>2.2185000000000001</v>
      </c>
      <c r="DY22">
        <v>7.6049599999999995E-2</v>
      </c>
      <c r="DZ22">
        <v>0</v>
      </c>
      <c r="EA22">
        <v>24.777799999999999</v>
      </c>
      <c r="EB22">
        <v>999.9</v>
      </c>
      <c r="EC22">
        <v>51.1</v>
      </c>
      <c r="ED22">
        <v>31.7</v>
      </c>
      <c r="EE22">
        <v>23.4024</v>
      </c>
      <c r="EF22">
        <v>62.576300000000003</v>
      </c>
      <c r="EG22">
        <v>35.180300000000003</v>
      </c>
      <c r="EH22">
        <v>1</v>
      </c>
      <c r="EI22">
        <v>-4.2857699999999999E-2</v>
      </c>
      <c r="EJ22">
        <v>-0.240704</v>
      </c>
      <c r="EK22">
        <v>20.328700000000001</v>
      </c>
      <c r="EL22">
        <v>5.2532300000000003</v>
      </c>
      <c r="EM22">
        <v>11.962</v>
      </c>
      <c r="EN22">
        <v>4.9897600000000004</v>
      </c>
      <c r="EO22">
        <v>3.29122</v>
      </c>
      <c r="EP22">
        <v>9999</v>
      </c>
      <c r="EQ22">
        <v>9999</v>
      </c>
      <c r="ER22">
        <v>9999</v>
      </c>
      <c r="ES22">
        <v>999.9</v>
      </c>
      <c r="ET22">
        <v>4.9727300000000003</v>
      </c>
      <c r="EU22">
        <v>1.87195</v>
      </c>
      <c r="EV22">
        <v>1.87222</v>
      </c>
      <c r="EW22">
        <v>1.8772500000000001</v>
      </c>
      <c r="EX22">
        <v>1.87138</v>
      </c>
      <c r="EY22">
        <v>1.8721300000000001</v>
      </c>
      <c r="EZ22">
        <v>1.87181</v>
      </c>
      <c r="FA22">
        <v>1.8687400000000001</v>
      </c>
      <c r="FB22">
        <v>0</v>
      </c>
      <c r="FC22">
        <v>0</v>
      </c>
      <c r="FD22">
        <v>0</v>
      </c>
      <c r="FE22">
        <v>0</v>
      </c>
      <c r="FF22" t="s">
        <v>339</v>
      </c>
      <c r="FG22" t="s">
        <v>340</v>
      </c>
      <c r="FH22" t="s">
        <v>341</v>
      </c>
      <c r="FI22" t="s">
        <v>341</v>
      </c>
      <c r="FJ22" t="s">
        <v>341</v>
      </c>
      <c r="FK22" t="s">
        <v>341</v>
      </c>
      <c r="FL22">
        <v>0</v>
      </c>
      <c r="FM22">
        <v>100</v>
      </c>
      <c r="FN22">
        <v>100</v>
      </c>
      <c r="FO22">
        <v>1.4690000000000001</v>
      </c>
      <c r="FP22">
        <v>0.2482</v>
      </c>
      <c r="FQ22">
        <v>-1.824124887782705</v>
      </c>
      <c r="FR22">
        <v>7.6898218637449396E-3</v>
      </c>
      <c r="FS22">
        <v>1.5097418776848419E-6</v>
      </c>
      <c r="FT22">
        <v>-9.8458676114205118E-11</v>
      </c>
      <c r="FU22">
        <v>0.24817000000000181</v>
      </c>
      <c r="FV22">
        <v>0</v>
      </c>
      <c r="FW22">
        <v>0</v>
      </c>
      <c r="FX22">
        <v>0</v>
      </c>
      <c r="FY22">
        <v>3</v>
      </c>
      <c r="FZ22">
        <v>2164</v>
      </c>
      <c r="GA22">
        <v>-1</v>
      </c>
      <c r="GB22">
        <v>-1</v>
      </c>
      <c r="GC22">
        <v>19.100000000000001</v>
      </c>
      <c r="GD22">
        <v>19</v>
      </c>
      <c r="GE22">
        <v>1.10229</v>
      </c>
      <c r="GF22">
        <v>2.63306</v>
      </c>
      <c r="GG22">
        <v>1.7981</v>
      </c>
      <c r="GH22">
        <v>2.3718300000000001</v>
      </c>
      <c r="GI22">
        <v>1.5979000000000001</v>
      </c>
      <c r="GJ22">
        <v>2.5903299999999998</v>
      </c>
      <c r="GK22">
        <v>34.944400000000002</v>
      </c>
      <c r="GL22">
        <v>24.1663</v>
      </c>
      <c r="GM22">
        <v>18</v>
      </c>
      <c r="GN22">
        <v>367.45</v>
      </c>
      <c r="GO22">
        <v>681.95299999999997</v>
      </c>
      <c r="GP22">
        <v>25.830400000000001</v>
      </c>
      <c r="GQ22">
        <v>26.524899999999999</v>
      </c>
      <c r="GR22">
        <v>30.000299999999999</v>
      </c>
      <c r="GS22">
        <v>26.410399999999999</v>
      </c>
      <c r="GT22">
        <v>26.421800000000001</v>
      </c>
      <c r="GU22">
        <v>22.0291</v>
      </c>
      <c r="GV22">
        <v>22.255199999999999</v>
      </c>
      <c r="GW22">
        <v>0</v>
      </c>
      <c r="GX22">
        <v>25.83</v>
      </c>
      <c r="GY22">
        <v>450</v>
      </c>
      <c r="GZ22">
        <v>19.5</v>
      </c>
      <c r="HA22">
        <v>100.64400000000001</v>
      </c>
      <c r="HB22">
        <v>70.746499999999997</v>
      </c>
    </row>
    <row r="23" spans="1:210" x14ac:dyDescent="0.3">
      <c r="A23">
        <v>7</v>
      </c>
      <c r="B23">
        <v>1750159156.0999999</v>
      </c>
      <c r="C23">
        <v>1083.099999904633</v>
      </c>
      <c r="D23" t="s">
        <v>354</v>
      </c>
      <c r="E23" t="s">
        <v>355</v>
      </c>
      <c r="F23">
        <v>15</v>
      </c>
      <c r="G23">
        <v>1750159148.349999</v>
      </c>
      <c r="H23">
        <f t="shared" si="0"/>
        <v>2.3608383671522163E-3</v>
      </c>
      <c r="I23">
        <f t="shared" si="1"/>
        <v>2.3608383671522164</v>
      </c>
      <c r="J23">
        <f t="shared" si="2"/>
        <v>20.881035197217848</v>
      </c>
      <c r="K23">
        <f t="shared" si="3"/>
        <v>400.89436666666671</v>
      </c>
      <c r="L23">
        <f t="shared" si="4"/>
        <v>275.08063657689729</v>
      </c>
      <c r="M23">
        <f t="shared" si="5"/>
        <v>28.224537930913918</v>
      </c>
      <c r="N23">
        <f t="shared" si="6"/>
        <v>41.13360503697244</v>
      </c>
      <c r="O23">
        <f t="shared" si="7"/>
        <v>0.30116618371939591</v>
      </c>
      <c r="P23">
        <f t="shared" si="8"/>
        <v>2.4344418645272903</v>
      </c>
      <c r="Q23">
        <f t="shared" si="9"/>
        <v>0.27186082956927637</v>
      </c>
      <c r="R23">
        <f t="shared" si="10"/>
        <v>0.17231004154472088</v>
      </c>
      <c r="S23">
        <f t="shared" si="11"/>
        <v>178.12819200000001</v>
      </c>
      <c r="T23">
        <f t="shared" si="12"/>
        <v>27.241375284849493</v>
      </c>
      <c r="U23">
        <f t="shared" si="13"/>
        <v>26.10740333333333</v>
      </c>
      <c r="V23">
        <f t="shared" si="14"/>
        <v>3.3957628416991765</v>
      </c>
      <c r="W23">
        <f t="shared" si="15"/>
        <v>71.860132077603112</v>
      </c>
      <c r="X23">
        <f t="shared" si="16"/>
        <v>2.5304766455932057</v>
      </c>
      <c r="Y23">
        <f t="shared" si="17"/>
        <v>3.521391587285835</v>
      </c>
      <c r="Z23">
        <f t="shared" si="18"/>
        <v>0.8652861961059708</v>
      </c>
      <c r="AA23">
        <f t="shared" si="19"/>
        <v>-104.11297199141273</v>
      </c>
      <c r="AB23">
        <f t="shared" si="20"/>
        <v>80.825433685409791</v>
      </c>
      <c r="AC23">
        <f t="shared" si="21"/>
        <v>7.1233183901916144</v>
      </c>
      <c r="AD23">
        <f t="shared" si="22"/>
        <v>161.9639720841887</v>
      </c>
      <c r="AE23">
        <f t="shared" si="23"/>
        <v>20.881035197217848</v>
      </c>
      <c r="AF23">
        <f t="shared" si="24"/>
        <v>2.3608383671522164</v>
      </c>
      <c r="AG23">
        <f t="shared" si="25"/>
        <v>20.824821814564771</v>
      </c>
      <c r="AH23">
        <v>458.97359184697359</v>
      </c>
      <c r="AI23">
        <v>411.13304848484842</v>
      </c>
      <c r="AJ23">
        <v>7.0906869992011026E-3</v>
      </c>
      <c r="AK23">
        <v>83.967426544914119</v>
      </c>
      <c r="AL23">
        <f t="shared" si="26"/>
        <v>2.3249025508862391</v>
      </c>
      <c r="AM23">
        <v>19.479976149502878</v>
      </c>
      <c r="AN23">
        <v>24.631632467532469</v>
      </c>
      <c r="AO23">
        <v>-5.4021745081930224E-3</v>
      </c>
      <c r="AP23">
        <v>90.554809006859813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54256.508072007578</v>
      </c>
      <c r="AV23">
        <f t="shared" si="30"/>
        <v>937.51679999999999</v>
      </c>
      <c r="AW23">
        <f t="shared" si="31"/>
        <v>750.01344000000006</v>
      </c>
      <c r="AX23">
        <f t="shared" si="32"/>
        <v>0.8</v>
      </c>
      <c r="AY23">
        <f t="shared" si="33"/>
        <v>0.19</v>
      </c>
      <c r="AZ23">
        <v>9</v>
      </c>
      <c r="BA23">
        <v>14.19</v>
      </c>
      <c r="BB23" t="s">
        <v>336</v>
      </c>
      <c r="BC23">
        <v>2</v>
      </c>
      <c r="BD23" t="b">
        <v>0</v>
      </c>
      <c r="BE23">
        <v>1750159148.349999</v>
      </c>
      <c r="BF23">
        <v>400.89436666666671</v>
      </c>
      <c r="BG23">
        <v>449.99849999999998</v>
      </c>
      <c r="BH23">
        <v>24.662410000000001</v>
      </c>
      <c r="BI23">
        <v>19.482340000000001</v>
      </c>
      <c r="BJ23">
        <v>399.4126</v>
      </c>
      <c r="BK23">
        <v>24.414249999999999</v>
      </c>
      <c r="BL23">
        <v>400.06273333333331</v>
      </c>
      <c r="BM23">
        <v>102.5045666666667</v>
      </c>
      <c r="BN23">
        <v>0.10003059666666669</v>
      </c>
      <c r="BO23">
        <v>26.723236666666661</v>
      </c>
      <c r="BP23">
        <v>26.10740333333333</v>
      </c>
      <c r="BQ23">
        <v>999.9000000000002</v>
      </c>
      <c r="BR23">
        <v>0</v>
      </c>
      <c r="BS23">
        <v>0</v>
      </c>
      <c r="BT23">
        <v>10000.950000000001</v>
      </c>
      <c r="BU23">
        <v>937.51679999999999</v>
      </c>
      <c r="BV23">
        <v>17.674399999999999</v>
      </c>
      <c r="BW23">
        <v>-49.104036666666673</v>
      </c>
      <c r="BX23">
        <v>411.03150000000011</v>
      </c>
      <c r="BY23">
        <v>458.93953333333337</v>
      </c>
      <c r="BZ23">
        <v>5.1800653333333333</v>
      </c>
      <c r="CA23">
        <v>449.99849999999998</v>
      </c>
      <c r="CB23">
        <v>19.482340000000001</v>
      </c>
      <c r="CC23">
        <v>2.5280109999999998</v>
      </c>
      <c r="CD23">
        <v>1.997031</v>
      </c>
      <c r="CE23">
        <v>21.207973333333332</v>
      </c>
      <c r="CF23">
        <v>17.420813333333339</v>
      </c>
      <c r="CG23">
        <v>1750157833.5</v>
      </c>
      <c r="CH23" t="s">
        <v>337</v>
      </c>
      <c r="CI23">
        <v>1750157830.5</v>
      </c>
      <c r="CJ23">
        <v>1750157833.5</v>
      </c>
      <c r="CK23">
        <v>8</v>
      </c>
      <c r="CL23">
        <v>-1.3089999999999999</v>
      </c>
      <c r="CM23">
        <v>2.9000000000000001E-2</v>
      </c>
      <c r="CN23">
        <v>1.9159999999999999</v>
      </c>
      <c r="CO23">
        <v>0.248</v>
      </c>
      <c r="CP23">
        <v>450</v>
      </c>
      <c r="CQ23">
        <v>19</v>
      </c>
      <c r="CR23">
        <v>0.03</v>
      </c>
      <c r="CS23">
        <v>0.02</v>
      </c>
      <c r="CT23">
        <v>-49.162407500000008</v>
      </c>
      <c r="CU23">
        <v>1.058979737336011</v>
      </c>
      <c r="CV23">
        <v>0.1048722446300733</v>
      </c>
      <c r="CW23">
        <v>0</v>
      </c>
      <c r="CX23">
        <v>0</v>
      </c>
      <c r="CY23">
        <v>0</v>
      </c>
      <c r="CZ23">
        <v>0</v>
      </c>
      <c r="DA23">
        <v>-1</v>
      </c>
      <c r="DB23">
        <v>5.1940620000000006</v>
      </c>
      <c r="DC23">
        <v>-0.27766086303940868</v>
      </c>
      <c r="DD23">
        <v>2.6741993212922581E-2</v>
      </c>
      <c r="DE23">
        <v>0</v>
      </c>
      <c r="DF23">
        <v>0</v>
      </c>
      <c r="DG23">
        <v>2</v>
      </c>
      <c r="DH23" t="s">
        <v>353</v>
      </c>
      <c r="DI23">
        <v>3.0243199999999999</v>
      </c>
      <c r="DJ23">
        <v>2.6910699999999999</v>
      </c>
      <c r="DK23">
        <v>9.4568399999999997E-2</v>
      </c>
      <c r="DL23">
        <v>0.103936</v>
      </c>
      <c r="DM23">
        <v>0.123459</v>
      </c>
      <c r="DN23">
        <v>0.105847</v>
      </c>
      <c r="DO23">
        <v>25273.5</v>
      </c>
      <c r="DP23">
        <v>16869</v>
      </c>
      <c r="DQ23">
        <v>26479.8</v>
      </c>
      <c r="DR23">
        <v>17107.8</v>
      </c>
      <c r="DS23">
        <v>33000.400000000001</v>
      </c>
      <c r="DT23">
        <v>19965.2</v>
      </c>
      <c r="DU23">
        <v>38574.9</v>
      </c>
      <c r="DV23">
        <v>22656.799999999999</v>
      </c>
      <c r="DW23">
        <v>1.8164</v>
      </c>
      <c r="DX23">
        <v>2.2165599999999999</v>
      </c>
      <c r="DY23">
        <v>7.5140600000000002E-2</v>
      </c>
      <c r="DZ23">
        <v>0</v>
      </c>
      <c r="EA23">
        <v>24.8765</v>
      </c>
      <c r="EB23">
        <v>999.9</v>
      </c>
      <c r="EC23">
        <v>51.3</v>
      </c>
      <c r="ED23">
        <v>31.7</v>
      </c>
      <c r="EE23">
        <v>23.495799999999999</v>
      </c>
      <c r="EF23">
        <v>62.626399999999997</v>
      </c>
      <c r="EG23">
        <v>34.879800000000003</v>
      </c>
      <c r="EH23">
        <v>1</v>
      </c>
      <c r="EI23">
        <v>-3.2207300000000001E-2</v>
      </c>
      <c r="EJ23">
        <v>-0.20206299999999999</v>
      </c>
      <c r="EK23">
        <v>20.328299999999999</v>
      </c>
      <c r="EL23">
        <v>5.2516699999999998</v>
      </c>
      <c r="EM23">
        <v>11.962</v>
      </c>
      <c r="EN23">
        <v>4.9897600000000004</v>
      </c>
      <c r="EO23">
        <v>3.2912599999999999</v>
      </c>
      <c r="EP23">
        <v>9999</v>
      </c>
      <c r="EQ23">
        <v>9999</v>
      </c>
      <c r="ER23">
        <v>9999</v>
      </c>
      <c r="ES23">
        <v>999.9</v>
      </c>
      <c r="ET23">
        <v>4.9727399999999999</v>
      </c>
      <c r="EU23">
        <v>1.8719600000000001</v>
      </c>
      <c r="EV23">
        <v>1.8722000000000001</v>
      </c>
      <c r="EW23">
        <v>1.8772800000000001</v>
      </c>
      <c r="EX23">
        <v>1.87141</v>
      </c>
      <c r="EY23">
        <v>1.87216</v>
      </c>
      <c r="EZ23">
        <v>1.87182</v>
      </c>
      <c r="FA23">
        <v>1.8687400000000001</v>
      </c>
      <c r="FB23">
        <v>0</v>
      </c>
      <c r="FC23">
        <v>0</v>
      </c>
      <c r="FD23">
        <v>0</v>
      </c>
      <c r="FE23">
        <v>0</v>
      </c>
      <c r="FF23" t="s">
        <v>339</v>
      </c>
      <c r="FG23" t="s">
        <v>340</v>
      </c>
      <c r="FH23" t="s">
        <v>341</v>
      </c>
      <c r="FI23" t="s">
        <v>341</v>
      </c>
      <c r="FJ23" t="s">
        <v>341</v>
      </c>
      <c r="FK23" t="s">
        <v>341</v>
      </c>
      <c r="FL23">
        <v>0</v>
      </c>
      <c r="FM23">
        <v>100</v>
      </c>
      <c r="FN23">
        <v>100</v>
      </c>
      <c r="FO23">
        <v>1.4830000000000001</v>
      </c>
      <c r="FP23">
        <v>0.2482</v>
      </c>
      <c r="FQ23">
        <v>-1.824124887782705</v>
      </c>
      <c r="FR23">
        <v>7.6898218637449396E-3</v>
      </c>
      <c r="FS23">
        <v>1.5097418776848419E-6</v>
      </c>
      <c r="FT23">
        <v>-9.8458676114205118E-11</v>
      </c>
      <c r="FU23">
        <v>0.24817000000000181</v>
      </c>
      <c r="FV23">
        <v>0</v>
      </c>
      <c r="FW23">
        <v>0</v>
      </c>
      <c r="FX23">
        <v>0</v>
      </c>
      <c r="FY23">
        <v>3</v>
      </c>
      <c r="FZ23">
        <v>2164</v>
      </c>
      <c r="GA23">
        <v>-1</v>
      </c>
      <c r="GB23">
        <v>-1</v>
      </c>
      <c r="GC23">
        <v>22.1</v>
      </c>
      <c r="GD23">
        <v>22</v>
      </c>
      <c r="GE23">
        <v>1.10229</v>
      </c>
      <c r="GF23">
        <v>2.65381</v>
      </c>
      <c r="GG23">
        <v>1.7981</v>
      </c>
      <c r="GH23">
        <v>2.3706100000000001</v>
      </c>
      <c r="GI23">
        <v>1.5979000000000001</v>
      </c>
      <c r="GJ23">
        <v>2.4291999999999998</v>
      </c>
      <c r="GK23">
        <v>35.013399999999997</v>
      </c>
      <c r="GL23">
        <v>24.157499999999999</v>
      </c>
      <c r="GM23">
        <v>18</v>
      </c>
      <c r="GN23">
        <v>367.28</v>
      </c>
      <c r="GO23">
        <v>681.82399999999996</v>
      </c>
      <c r="GP23">
        <v>25.830100000000002</v>
      </c>
      <c r="GQ23">
        <v>26.647300000000001</v>
      </c>
      <c r="GR23">
        <v>30.000399999999999</v>
      </c>
      <c r="GS23">
        <v>26.5291</v>
      </c>
      <c r="GT23">
        <v>26.542400000000001</v>
      </c>
      <c r="GU23">
        <v>22.026</v>
      </c>
      <c r="GV23">
        <v>22.5412</v>
      </c>
      <c r="GW23">
        <v>0</v>
      </c>
      <c r="GX23">
        <v>25.83</v>
      </c>
      <c r="GY23">
        <v>450</v>
      </c>
      <c r="GZ23">
        <v>19.5</v>
      </c>
      <c r="HA23">
        <v>100.621</v>
      </c>
      <c r="HB23">
        <v>70.739000000000004</v>
      </c>
    </row>
    <row r="24" spans="1:210" x14ac:dyDescent="0.3">
      <c r="A24">
        <v>8</v>
      </c>
      <c r="B24">
        <v>1750159336.5999999</v>
      </c>
      <c r="C24">
        <v>1263.599999904633</v>
      </c>
      <c r="D24" t="s">
        <v>356</v>
      </c>
      <c r="E24" t="s">
        <v>357</v>
      </c>
      <c r="F24">
        <v>15</v>
      </c>
      <c r="G24">
        <v>1750159328.849999</v>
      </c>
      <c r="H24">
        <f t="shared" si="0"/>
        <v>2.182822995093538E-3</v>
      </c>
      <c r="I24">
        <f t="shared" si="1"/>
        <v>2.1828229950935381</v>
      </c>
      <c r="J24">
        <f t="shared" si="2"/>
        <v>20.316627494734849</v>
      </c>
      <c r="K24">
        <f t="shared" si="3"/>
        <v>402.34083333333342</v>
      </c>
      <c r="L24">
        <f t="shared" si="4"/>
        <v>263.40892291620776</v>
      </c>
      <c r="M24">
        <f t="shared" si="5"/>
        <v>27.027760690750583</v>
      </c>
      <c r="N24">
        <f t="shared" si="6"/>
        <v>41.283232318252622</v>
      </c>
      <c r="O24">
        <f t="shared" si="7"/>
        <v>0.26182617250511625</v>
      </c>
      <c r="P24">
        <f t="shared" si="8"/>
        <v>2.4338202484819487</v>
      </c>
      <c r="Q24">
        <f t="shared" si="9"/>
        <v>0.23936931980030821</v>
      </c>
      <c r="R24">
        <f t="shared" si="10"/>
        <v>0.15146437107223878</v>
      </c>
      <c r="S24">
        <f t="shared" si="11"/>
        <v>178.13456333333332</v>
      </c>
      <c r="T24">
        <f t="shared" si="12"/>
        <v>27.330735163113811</v>
      </c>
      <c r="U24">
        <f t="shared" si="13"/>
        <v>26.15262000000001</v>
      </c>
      <c r="V24">
        <f t="shared" si="14"/>
        <v>3.4048519087762776</v>
      </c>
      <c r="W24">
        <f t="shared" si="15"/>
        <v>70.740447779881535</v>
      </c>
      <c r="X24">
        <f t="shared" si="16"/>
        <v>2.4960724565374126</v>
      </c>
      <c r="Y24">
        <f t="shared" si="17"/>
        <v>3.5284940014859387</v>
      </c>
      <c r="Z24">
        <f t="shared" si="18"/>
        <v>0.90877945223886503</v>
      </c>
      <c r="AA24">
        <f t="shared" si="19"/>
        <v>-96.262494083625029</v>
      </c>
      <c r="AB24">
        <f t="shared" si="20"/>
        <v>79.364523857736572</v>
      </c>
      <c r="AC24">
        <f t="shared" si="21"/>
        <v>6.9991368140714512</v>
      </c>
      <c r="AD24">
        <f t="shared" si="22"/>
        <v>168.23572992151631</v>
      </c>
      <c r="AE24">
        <f t="shared" si="23"/>
        <v>20.316627494734849</v>
      </c>
      <c r="AF24">
        <f t="shared" si="24"/>
        <v>2.1828229950935381</v>
      </c>
      <c r="AG24">
        <f t="shared" si="25"/>
        <v>20.316280611088526</v>
      </c>
      <c r="AH24">
        <v>459.00231021745788</v>
      </c>
      <c r="AI24">
        <v>412.3846545454544</v>
      </c>
      <c r="AJ24">
        <v>-2.2586532834220789E-4</v>
      </c>
      <c r="AK24">
        <v>83.967426544914119</v>
      </c>
      <c r="AL24">
        <f t="shared" si="26"/>
        <v>2.1810034258360247</v>
      </c>
      <c r="AM24">
        <v>19.53471616594517</v>
      </c>
      <c r="AN24">
        <v>24.32240632411067</v>
      </c>
      <c r="AO24">
        <v>-8.0402211364524953E-6</v>
      </c>
      <c r="AP24">
        <v>90.554809006859813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54229.455668750881</v>
      </c>
      <c r="AV24">
        <f t="shared" si="30"/>
        <v>937.55033333333324</v>
      </c>
      <c r="AW24">
        <f t="shared" si="31"/>
        <v>750.04026666666664</v>
      </c>
      <c r="AX24">
        <f t="shared" si="32"/>
        <v>0.8</v>
      </c>
      <c r="AY24">
        <f t="shared" si="33"/>
        <v>0.19</v>
      </c>
      <c r="AZ24">
        <v>9</v>
      </c>
      <c r="BA24">
        <v>14.19</v>
      </c>
      <c r="BB24" t="s">
        <v>336</v>
      </c>
      <c r="BC24">
        <v>2</v>
      </c>
      <c r="BD24" t="b">
        <v>0</v>
      </c>
      <c r="BE24">
        <v>1750159328.849999</v>
      </c>
      <c r="BF24">
        <v>402.34083333333342</v>
      </c>
      <c r="BG24">
        <v>450.02643333333327</v>
      </c>
      <c r="BH24">
        <v>24.326386666666671</v>
      </c>
      <c r="BI24">
        <v>19.534796666666669</v>
      </c>
      <c r="BJ24">
        <v>400.84616666666659</v>
      </c>
      <c r="BK24">
        <v>24.07822333333333</v>
      </c>
      <c r="BL24">
        <v>400.02390000000003</v>
      </c>
      <c r="BM24">
        <v>102.5076</v>
      </c>
      <c r="BN24">
        <v>0.1000124966666667</v>
      </c>
      <c r="BO24">
        <v>26.757476666666658</v>
      </c>
      <c r="BP24">
        <v>26.15262000000001</v>
      </c>
      <c r="BQ24">
        <v>999.9000000000002</v>
      </c>
      <c r="BR24">
        <v>0</v>
      </c>
      <c r="BS24">
        <v>0</v>
      </c>
      <c r="BT24">
        <v>9996.6333333333332</v>
      </c>
      <c r="BU24">
        <v>937.55033333333324</v>
      </c>
      <c r="BV24">
        <v>17.674399999999999</v>
      </c>
      <c r="BW24">
        <v>-47.685816666666668</v>
      </c>
      <c r="BX24">
        <v>412.37226666666669</v>
      </c>
      <c r="BY24">
        <v>458.99286666666671</v>
      </c>
      <c r="BZ24">
        <v>4.7915936666666674</v>
      </c>
      <c r="CA24">
        <v>450.02643333333327</v>
      </c>
      <c r="CB24">
        <v>19.534796666666669</v>
      </c>
      <c r="CC24">
        <v>2.4936400000000001</v>
      </c>
      <c r="CD24">
        <v>2.0024649999999999</v>
      </c>
      <c r="CE24">
        <v>20.985039999999991</v>
      </c>
      <c r="CF24">
        <v>17.463840000000001</v>
      </c>
      <c r="CG24">
        <v>1750157833.5</v>
      </c>
      <c r="CH24" t="s">
        <v>337</v>
      </c>
      <c r="CI24">
        <v>1750157830.5</v>
      </c>
      <c r="CJ24">
        <v>1750157833.5</v>
      </c>
      <c r="CK24">
        <v>8</v>
      </c>
      <c r="CL24">
        <v>-1.3089999999999999</v>
      </c>
      <c r="CM24">
        <v>2.9000000000000001E-2</v>
      </c>
      <c r="CN24">
        <v>1.9159999999999999</v>
      </c>
      <c r="CO24">
        <v>0.248</v>
      </c>
      <c r="CP24">
        <v>450</v>
      </c>
      <c r="CQ24">
        <v>19</v>
      </c>
      <c r="CR24">
        <v>0.03</v>
      </c>
      <c r="CS24">
        <v>0.02</v>
      </c>
      <c r="CT24">
        <v>-47.679729999999999</v>
      </c>
      <c r="CU24">
        <v>3.5234521576066408E-2</v>
      </c>
      <c r="CV24">
        <v>2.931392331299245E-2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4.7937877499999999</v>
      </c>
      <c r="DC24">
        <v>-5.0466529080690152E-2</v>
      </c>
      <c r="DD24">
        <v>5.0374762964702814E-3</v>
      </c>
      <c r="DE24">
        <v>1</v>
      </c>
      <c r="DF24">
        <v>2</v>
      </c>
      <c r="DG24">
        <v>2</v>
      </c>
      <c r="DH24" t="s">
        <v>338</v>
      </c>
      <c r="DI24">
        <v>3.0245600000000001</v>
      </c>
      <c r="DJ24">
        <v>2.6915</v>
      </c>
      <c r="DK24">
        <v>9.4774999999999998E-2</v>
      </c>
      <c r="DL24">
        <v>0.103912</v>
      </c>
      <c r="DM24">
        <v>0.122337</v>
      </c>
      <c r="DN24">
        <v>0.106019</v>
      </c>
      <c r="DO24">
        <v>25261.200000000001</v>
      </c>
      <c r="DP24">
        <v>16866.5</v>
      </c>
      <c r="DQ24">
        <v>26473.7</v>
      </c>
      <c r="DR24">
        <v>17105.099999999999</v>
      </c>
      <c r="DS24">
        <v>33037.5</v>
      </c>
      <c r="DT24">
        <v>19959.400000000001</v>
      </c>
      <c r="DU24">
        <v>38566.199999999997</v>
      </c>
      <c r="DV24">
        <v>22654.400000000001</v>
      </c>
      <c r="DW24">
        <v>1.81514</v>
      </c>
      <c r="DX24">
        <v>2.2139799999999998</v>
      </c>
      <c r="DY24">
        <v>7.5304499999999996E-2</v>
      </c>
      <c r="DZ24">
        <v>0</v>
      </c>
      <c r="EA24">
        <v>24.914200000000001</v>
      </c>
      <c r="EB24">
        <v>999.9</v>
      </c>
      <c r="EC24">
        <v>51.3</v>
      </c>
      <c r="ED24">
        <v>31.7</v>
      </c>
      <c r="EE24">
        <v>23.4953</v>
      </c>
      <c r="EF24">
        <v>62.626399999999997</v>
      </c>
      <c r="EG24">
        <v>34.875799999999998</v>
      </c>
      <c r="EH24">
        <v>1</v>
      </c>
      <c r="EI24">
        <v>-2.1327200000000001E-2</v>
      </c>
      <c r="EJ24">
        <v>-0.175817</v>
      </c>
      <c r="EK24">
        <v>20.328499999999998</v>
      </c>
      <c r="EL24">
        <v>5.25251</v>
      </c>
      <c r="EM24">
        <v>11.962</v>
      </c>
      <c r="EN24">
        <v>4.9897200000000002</v>
      </c>
      <c r="EO24">
        <v>3.2912599999999999</v>
      </c>
      <c r="EP24">
        <v>9999</v>
      </c>
      <c r="EQ24">
        <v>9999</v>
      </c>
      <c r="ER24">
        <v>9999</v>
      </c>
      <c r="ES24">
        <v>999.9</v>
      </c>
      <c r="ET24">
        <v>4.9727100000000002</v>
      </c>
      <c r="EU24">
        <v>1.87195</v>
      </c>
      <c r="EV24">
        <v>1.8722099999999999</v>
      </c>
      <c r="EW24">
        <v>1.8772800000000001</v>
      </c>
      <c r="EX24">
        <v>1.87137</v>
      </c>
      <c r="EY24">
        <v>1.8721300000000001</v>
      </c>
      <c r="EZ24">
        <v>1.8717999999999999</v>
      </c>
      <c r="FA24">
        <v>1.8687400000000001</v>
      </c>
      <c r="FB24">
        <v>0</v>
      </c>
      <c r="FC24">
        <v>0</v>
      </c>
      <c r="FD24">
        <v>0</v>
      </c>
      <c r="FE24">
        <v>0</v>
      </c>
      <c r="FF24" t="s">
        <v>339</v>
      </c>
      <c r="FG24" t="s">
        <v>340</v>
      </c>
      <c r="FH24" t="s">
        <v>341</v>
      </c>
      <c r="FI24" t="s">
        <v>341</v>
      </c>
      <c r="FJ24" t="s">
        <v>341</v>
      </c>
      <c r="FK24" t="s">
        <v>341</v>
      </c>
      <c r="FL24">
        <v>0</v>
      </c>
      <c r="FM24">
        <v>100</v>
      </c>
      <c r="FN24">
        <v>100</v>
      </c>
      <c r="FO24">
        <v>1.4950000000000001</v>
      </c>
      <c r="FP24">
        <v>0.24809999999999999</v>
      </c>
      <c r="FQ24">
        <v>-1.824124887782705</v>
      </c>
      <c r="FR24">
        <v>7.6898218637449396E-3</v>
      </c>
      <c r="FS24">
        <v>1.5097418776848419E-6</v>
      </c>
      <c r="FT24">
        <v>-9.8458676114205118E-11</v>
      </c>
      <c r="FU24">
        <v>0.24817000000000181</v>
      </c>
      <c r="FV24">
        <v>0</v>
      </c>
      <c r="FW24">
        <v>0</v>
      </c>
      <c r="FX24">
        <v>0</v>
      </c>
      <c r="FY24">
        <v>3</v>
      </c>
      <c r="FZ24">
        <v>2164</v>
      </c>
      <c r="GA24">
        <v>-1</v>
      </c>
      <c r="GB24">
        <v>-1</v>
      </c>
      <c r="GC24">
        <v>25.1</v>
      </c>
      <c r="GD24">
        <v>25.1</v>
      </c>
      <c r="GE24">
        <v>1.10107</v>
      </c>
      <c r="GF24">
        <v>2.6403799999999999</v>
      </c>
      <c r="GG24">
        <v>1.7981</v>
      </c>
      <c r="GH24">
        <v>2.3718300000000001</v>
      </c>
      <c r="GI24">
        <v>1.5979000000000001</v>
      </c>
      <c r="GJ24">
        <v>2.5146500000000001</v>
      </c>
      <c r="GK24">
        <v>35.082500000000003</v>
      </c>
      <c r="GL24">
        <v>24.1663</v>
      </c>
      <c r="GM24">
        <v>18</v>
      </c>
      <c r="GN24">
        <v>367.49799999999999</v>
      </c>
      <c r="GO24">
        <v>681.22400000000005</v>
      </c>
      <c r="GP24">
        <v>25.830100000000002</v>
      </c>
      <c r="GQ24">
        <v>26.7758</v>
      </c>
      <c r="GR24">
        <v>30.000399999999999</v>
      </c>
      <c r="GS24">
        <v>26.657299999999999</v>
      </c>
      <c r="GT24">
        <v>26.670300000000001</v>
      </c>
      <c r="GU24">
        <v>22.022600000000001</v>
      </c>
      <c r="GV24">
        <v>22.5412</v>
      </c>
      <c r="GW24">
        <v>0</v>
      </c>
      <c r="GX24">
        <v>25.83</v>
      </c>
      <c r="GY24">
        <v>450</v>
      </c>
      <c r="GZ24">
        <v>19.5</v>
      </c>
      <c r="HA24">
        <v>100.598</v>
      </c>
      <c r="HB24">
        <v>70.729900000000001</v>
      </c>
    </row>
    <row r="25" spans="1:210" x14ac:dyDescent="0.3">
      <c r="A25">
        <v>9</v>
      </c>
      <c r="B25">
        <v>1750159517.0999999</v>
      </c>
      <c r="C25">
        <v>1444.099999904633</v>
      </c>
      <c r="D25" t="s">
        <v>358</v>
      </c>
      <c r="E25" t="s">
        <v>359</v>
      </c>
      <c r="F25">
        <v>15</v>
      </c>
      <c r="G25">
        <v>1750159509.349999</v>
      </c>
      <c r="H25">
        <f t="shared" si="0"/>
        <v>2.0169031548489071E-3</v>
      </c>
      <c r="I25">
        <f t="shared" si="1"/>
        <v>2.0169031548489071</v>
      </c>
      <c r="J25">
        <f t="shared" si="2"/>
        <v>24.950128003229157</v>
      </c>
      <c r="K25">
        <f t="shared" si="3"/>
        <v>541.40293333333329</v>
      </c>
      <c r="L25">
        <f t="shared" si="4"/>
        <v>352.2566300856534</v>
      </c>
      <c r="M25">
        <f t="shared" si="5"/>
        <v>36.142076433609049</v>
      </c>
      <c r="N25">
        <f t="shared" si="6"/>
        <v>55.548780425099551</v>
      </c>
      <c r="O25">
        <f t="shared" si="7"/>
        <v>0.23442639352512581</v>
      </c>
      <c r="P25">
        <f t="shared" si="8"/>
        <v>2.4338808039941844</v>
      </c>
      <c r="Q25">
        <f t="shared" si="9"/>
        <v>0.21625135115898048</v>
      </c>
      <c r="R25">
        <f t="shared" si="10"/>
        <v>0.13667378085517293</v>
      </c>
      <c r="S25">
        <f t="shared" si="11"/>
        <v>178.09751333333335</v>
      </c>
      <c r="T25">
        <f t="shared" si="12"/>
        <v>27.314598769029239</v>
      </c>
      <c r="U25">
        <f t="shared" si="13"/>
        <v>26.068873333333329</v>
      </c>
      <c r="V25">
        <f t="shared" si="14"/>
        <v>3.3880345995346435</v>
      </c>
      <c r="W25">
        <f t="shared" si="15"/>
        <v>69.947695193950537</v>
      </c>
      <c r="X25">
        <f t="shared" si="16"/>
        <v>2.4583683773908835</v>
      </c>
      <c r="Y25">
        <f t="shared" si="17"/>
        <v>3.5145809602079598</v>
      </c>
      <c r="Z25">
        <f t="shared" si="18"/>
        <v>0.92966622214375993</v>
      </c>
      <c r="AA25">
        <f t="shared" si="19"/>
        <v>-88.945429128836807</v>
      </c>
      <c r="AB25">
        <f t="shared" si="20"/>
        <v>81.546860777065632</v>
      </c>
      <c r="AC25">
        <f t="shared" si="21"/>
        <v>7.1859844364479883</v>
      </c>
      <c r="AD25">
        <f t="shared" si="22"/>
        <v>177.88492941801019</v>
      </c>
      <c r="AE25">
        <f t="shared" si="23"/>
        <v>24.950128003229157</v>
      </c>
      <c r="AF25">
        <f t="shared" si="24"/>
        <v>2.0169031548489071</v>
      </c>
      <c r="AG25">
        <f t="shared" si="25"/>
        <v>24.916269344944091</v>
      </c>
      <c r="AH25">
        <v>611.90840715460286</v>
      </c>
      <c r="AI25">
        <v>554.73358181818173</v>
      </c>
      <c r="AJ25">
        <v>2.0494776523032271E-4</v>
      </c>
      <c r="AK25">
        <v>83.967426544914119</v>
      </c>
      <c r="AL25">
        <f t="shared" si="26"/>
        <v>2.006245954637691</v>
      </c>
      <c r="AM25">
        <v>19.5308376114894</v>
      </c>
      <c r="AN25">
        <v>23.936630434782611</v>
      </c>
      <c r="AO25">
        <v>-2.1606635736002161E-5</v>
      </c>
      <c r="AP25">
        <v>90.554809006859813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54243.510323734597</v>
      </c>
      <c r="AV25">
        <f t="shared" si="30"/>
        <v>937.35533333333342</v>
      </c>
      <c r="AW25">
        <f t="shared" si="31"/>
        <v>749.8842666666668</v>
      </c>
      <c r="AX25">
        <f t="shared" si="32"/>
        <v>0.8</v>
      </c>
      <c r="AY25">
        <f t="shared" si="33"/>
        <v>0.19</v>
      </c>
      <c r="AZ25">
        <v>9</v>
      </c>
      <c r="BA25">
        <v>14.19</v>
      </c>
      <c r="BB25" t="s">
        <v>336</v>
      </c>
      <c r="BC25">
        <v>2</v>
      </c>
      <c r="BD25" t="b">
        <v>0</v>
      </c>
      <c r="BE25">
        <v>1750159509.349999</v>
      </c>
      <c r="BF25">
        <v>541.40293333333329</v>
      </c>
      <c r="BG25">
        <v>599.99216666666666</v>
      </c>
      <c r="BH25">
        <v>23.960343333333331</v>
      </c>
      <c r="BI25">
        <v>19.53145666666666</v>
      </c>
      <c r="BJ25">
        <v>538.66223333333323</v>
      </c>
      <c r="BK25">
        <v>23.71219</v>
      </c>
      <c r="BL25">
        <v>400.03726666666671</v>
      </c>
      <c r="BM25">
        <v>102.5015333333333</v>
      </c>
      <c r="BN25">
        <v>0.1000172033333333</v>
      </c>
      <c r="BO25">
        <v>26.69034666666666</v>
      </c>
      <c r="BP25">
        <v>26.068873333333329</v>
      </c>
      <c r="BQ25">
        <v>999.9000000000002</v>
      </c>
      <c r="BR25">
        <v>0</v>
      </c>
      <c r="BS25">
        <v>0</v>
      </c>
      <c r="BT25">
        <v>9997.6166666666668</v>
      </c>
      <c r="BU25">
        <v>937.35533333333342</v>
      </c>
      <c r="BV25">
        <v>17.674399999999999</v>
      </c>
      <c r="BW25">
        <v>-58.589113333333337</v>
      </c>
      <c r="BX25">
        <v>554.6936333333332</v>
      </c>
      <c r="BY25">
        <v>611.94426666666675</v>
      </c>
      <c r="BZ25">
        <v>4.428897666666666</v>
      </c>
      <c r="CA25">
        <v>599.99216666666666</v>
      </c>
      <c r="CB25">
        <v>19.53145666666666</v>
      </c>
      <c r="CC25">
        <v>2.4559709999999999</v>
      </c>
      <c r="CD25">
        <v>2.0020030000000002</v>
      </c>
      <c r="CE25">
        <v>20.73762</v>
      </c>
      <c r="CF25">
        <v>17.460186666666669</v>
      </c>
      <c r="CG25">
        <v>1750157833.5</v>
      </c>
      <c r="CH25" t="s">
        <v>337</v>
      </c>
      <c r="CI25">
        <v>1750157830.5</v>
      </c>
      <c r="CJ25">
        <v>1750157833.5</v>
      </c>
      <c r="CK25">
        <v>8</v>
      </c>
      <c r="CL25">
        <v>-1.3089999999999999</v>
      </c>
      <c r="CM25">
        <v>2.9000000000000001E-2</v>
      </c>
      <c r="CN25">
        <v>1.9159999999999999</v>
      </c>
      <c r="CO25">
        <v>0.248</v>
      </c>
      <c r="CP25">
        <v>450</v>
      </c>
      <c r="CQ25">
        <v>19</v>
      </c>
      <c r="CR25">
        <v>0.03</v>
      </c>
      <c r="CS25">
        <v>0.02</v>
      </c>
      <c r="CT25">
        <v>-58.6116575</v>
      </c>
      <c r="CU25">
        <v>0.51189906191391932</v>
      </c>
      <c r="CV25">
        <v>6.2381952067484578E-2</v>
      </c>
      <c r="CW25">
        <v>0</v>
      </c>
      <c r="CX25">
        <v>0</v>
      </c>
      <c r="CY25">
        <v>0</v>
      </c>
      <c r="CZ25">
        <v>0</v>
      </c>
      <c r="DA25">
        <v>-1</v>
      </c>
      <c r="DB25">
        <v>4.4376117499999994</v>
      </c>
      <c r="DC25">
        <v>-0.18509437148217611</v>
      </c>
      <c r="DD25">
        <v>1.7941482782576821E-2</v>
      </c>
      <c r="DE25">
        <v>0</v>
      </c>
      <c r="DF25">
        <v>0</v>
      </c>
      <c r="DG25">
        <v>2</v>
      </c>
      <c r="DH25" t="s">
        <v>353</v>
      </c>
      <c r="DI25">
        <v>3.0245000000000002</v>
      </c>
      <c r="DJ25">
        <v>2.6912799999999999</v>
      </c>
      <c r="DK25">
        <v>0.117769</v>
      </c>
      <c r="DL25">
        <v>0.127745</v>
      </c>
      <c r="DM25">
        <v>0.12093</v>
      </c>
      <c r="DN25">
        <v>0.105976</v>
      </c>
      <c r="DO25">
        <v>24617.8</v>
      </c>
      <c r="DP25">
        <v>16416.900000000001</v>
      </c>
      <c r="DQ25">
        <v>26472.1</v>
      </c>
      <c r="DR25">
        <v>17104.2</v>
      </c>
      <c r="DS25">
        <v>33090.9</v>
      </c>
      <c r="DT25">
        <v>19960.099999999999</v>
      </c>
      <c r="DU25">
        <v>38563.800000000003</v>
      </c>
      <c r="DV25">
        <v>22653.4</v>
      </c>
      <c r="DW25">
        <v>1.81402</v>
      </c>
      <c r="DX25">
        <v>2.21332</v>
      </c>
      <c r="DY25">
        <v>8.1291799999999997E-2</v>
      </c>
      <c r="DZ25">
        <v>0</v>
      </c>
      <c r="EA25">
        <v>24.725100000000001</v>
      </c>
      <c r="EB25">
        <v>999.9</v>
      </c>
      <c r="EC25">
        <v>51.3</v>
      </c>
      <c r="ED25">
        <v>31.7</v>
      </c>
      <c r="EE25">
        <v>23.4955</v>
      </c>
      <c r="EF25">
        <v>62.766399999999997</v>
      </c>
      <c r="EG25">
        <v>34.951900000000002</v>
      </c>
      <c r="EH25">
        <v>1</v>
      </c>
      <c r="EI25">
        <v>-1.6778499999999998E-2</v>
      </c>
      <c r="EJ25">
        <v>-0.244645</v>
      </c>
      <c r="EK25">
        <v>20.328399999999998</v>
      </c>
      <c r="EL25">
        <v>5.2526299999999999</v>
      </c>
      <c r="EM25">
        <v>11.962</v>
      </c>
      <c r="EN25">
        <v>4.9896799999999999</v>
      </c>
      <c r="EO25">
        <v>3.2911999999999999</v>
      </c>
      <c r="EP25">
        <v>9999</v>
      </c>
      <c r="EQ25">
        <v>9999</v>
      </c>
      <c r="ER25">
        <v>9999</v>
      </c>
      <c r="ES25">
        <v>999.9</v>
      </c>
      <c r="ET25">
        <v>4.9727300000000003</v>
      </c>
      <c r="EU25">
        <v>1.87195</v>
      </c>
      <c r="EV25">
        <v>1.87222</v>
      </c>
      <c r="EW25">
        <v>1.8772599999999999</v>
      </c>
      <c r="EX25">
        <v>1.8713599999999999</v>
      </c>
      <c r="EY25">
        <v>1.8721399999999999</v>
      </c>
      <c r="EZ25">
        <v>1.8718300000000001</v>
      </c>
      <c r="FA25">
        <v>1.8687400000000001</v>
      </c>
      <c r="FB25">
        <v>0</v>
      </c>
      <c r="FC25">
        <v>0</v>
      </c>
      <c r="FD25">
        <v>0</v>
      </c>
      <c r="FE25">
        <v>0</v>
      </c>
      <c r="FF25" t="s">
        <v>339</v>
      </c>
      <c r="FG25" t="s">
        <v>340</v>
      </c>
      <c r="FH25" t="s">
        <v>341</v>
      </c>
      <c r="FI25" t="s">
        <v>341</v>
      </c>
      <c r="FJ25" t="s">
        <v>341</v>
      </c>
      <c r="FK25" t="s">
        <v>341</v>
      </c>
      <c r="FL25">
        <v>0</v>
      </c>
      <c r="FM25">
        <v>100</v>
      </c>
      <c r="FN25">
        <v>100</v>
      </c>
      <c r="FO25">
        <v>2.742</v>
      </c>
      <c r="FP25">
        <v>0.2482</v>
      </c>
      <c r="FQ25">
        <v>-1.824124887782705</v>
      </c>
      <c r="FR25">
        <v>7.6898218637449396E-3</v>
      </c>
      <c r="FS25">
        <v>1.5097418776848419E-6</v>
      </c>
      <c r="FT25">
        <v>-9.8458676114205118E-11</v>
      </c>
      <c r="FU25">
        <v>0.24817000000000181</v>
      </c>
      <c r="FV25">
        <v>0</v>
      </c>
      <c r="FW25">
        <v>0</v>
      </c>
      <c r="FX25">
        <v>0</v>
      </c>
      <c r="FY25">
        <v>3</v>
      </c>
      <c r="FZ25">
        <v>2164</v>
      </c>
      <c r="GA25">
        <v>-1</v>
      </c>
      <c r="GB25">
        <v>-1</v>
      </c>
      <c r="GC25">
        <v>28.1</v>
      </c>
      <c r="GD25">
        <v>28.1</v>
      </c>
      <c r="GE25">
        <v>1.38916</v>
      </c>
      <c r="GF25">
        <v>2.6355</v>
      </c>
      <c r="GG25">
        <v>1.7981</v>
      </c>
      <c r="GH25">
        <v>2.3706100000000001</v>
      </c>
      <c r="GI25">
        <v>1.5979000000000001</v>
      </c>
      <c r="GJ25">
        <v>2.5561500000000001</v>
      </c>
      <c r="GK25">
        <v>35.105499999999999</v>
      </c>
      <c r="GL25">
        <v>24.1663</v>
      </c>
      <c r="GM25">
        <v>18</v>
      </c>
      <c r="GN25">
        <v>367.46499999999997</v>
      </c>
      <c r="GO25">
        <v>681.69200000000001</v>
      </c>
      <c r="GP25">
        <v>25.829799999999999</v>
      </c>
      <c r="GQ25">
        <v>26.840599999999998</v>
      </c>
      <c r="GR25">
        <v>30.0001</v>
      </c>
      <c r="GS25">
        <v>26.7376</v>
      </c>
      <c r="GT25">
        <v>26.750900000000001</v>
      </c>
      <c r="GU25">
        <v>27.757400000000001</v>
      </c>
      <c r="GV25">
        <v>22.5412</v>
      </c>
      <c r="GW25">
        <v>0</v>
      </c>
      <c r="GX25">
        <v>25.83</v>
      </c>
      <c r="GY25">
        <v>600</v>
      </c>
      <c r="GZ25">
        <v>19.5</v>
      </c>
      <c r="HA25">
        <v>100.592</v>
      </c>
      <c r="HB25">
        <v>70.726500000000001</v>
      </c>
    </row>
    <row r="26" spans="1:210" x14ac:dyDescent="0.3">
      <c r="A26">
        <v>10</v>
      </c>
      <c r="B26">
        <v>1750159697.5999999</v>
      </c>
      <c r="C26">
        <v>1624.599999904633</v>
      </c>
      <c r="D26" t="s">
        <v>360</v>
      </c>
      <c r="E26" t="s">
        <v>361</v>
      </c>
      <c r="F26">
        <v>15</v>
      </c>
      <c r="G26">
        <v>1750159689.849999</v>
      </c>
      <c r="H26">
        <f t="shared" si="0"/>
        <v>1.7325593127254268E-3</v>
      </c>
      <c r="I26">
        <f t="shared" si="1"/>
        <v>1.7325593127254268</v>
      </c>
      <c r="J26">
        <f t="shared" si="2"/>
        <v>28.373706745959584</v>
      </c>
      <c r="K26">
        <f t="shared" si="3"/>
        <v>832.91179999999997</v>
      </c>
      <c r="L26">
        <f t="shared" si="4"/>
        <v>564.38648318227729</v>
      </c>
      <c r="M26">
        <f t="shared" si="5"/>
        <v>57.902940662060985</v>
      </c>
      <c r="N26">
        <f t="shared" si="6"/>
        <v>85.452157288030619</v>
      </c>
      <c r="O26">
        <f t="shared" si="7"/>
        <v>0.18637636786866257</v>
      </c>
      <c r="P26">
        <f t="shared" si="8"/>
        <v>2.4342570465298374</v>
      </c>
      <c r="Q26">
        <f t="shared" si="9"/>
        <v>0.17469331792676607</v>
      </c>
      <c r="R26">
        <f t="shared" si="10"/>
        <v>0.11017269497398233</v>
      </c>
      <c r="S26">
        <f t="shared" si="11"/>
        <v>178.05267966666662</v>
      </c>
      <c r="T26">
        <f t="shared" si="12"/>
        <v>27.357126379382375</v>
      </c>
      <c r="U26">
        <f t="shared" si="13"/>
        <v>26.033850000000001</v>
      </c>
      <c r="V26">
        <f t="shared" si="14"/>
        <v>3.3810230471070044</v>
      </c>
      <c r="W26">
        <f t="shared" si="15"/>
        <v>68.243655662764297</v>
      </c>
      <c r="X26">
        <f t="shared" si="16"/>
        <v>2.3921480745645982</v>
      </c>
      <c r="Y26">
        <f t="shared" si="17"/>
        <v>3.505304707569795</v>
      </c>
      <c r="Z26">
        <f t="shared" si="18"/>
        <v>0.98887497254240619</v>
      </c>
      <c r="AA26">
        <f t="shared" si="19"/>
        <v>-76.405865691191323</v>
      </c>
      <c r="AB26">
        <f t="shared" si="20"/>
        <v>80.265045616521931</v>
      </c>
      <c r="AC26">
        <f t="shared" si="21"/>
        <v>7.0691051786192904</v>
      </c>
      <c r="AD26">
        <f t="shared" si="22"/>
        <v>188.98096477061651</v>
      </c>
      <c r="AE26">
        <f t="shared" si="23"/>
        <v>28.373706745959584</v>
      </c>
      <c r="AF26">
        <f t="shared" si="24"/>
        <v>1.7325593127254268</v>
      </c>
      <c r="AG26">
        <f t="shared" si="25"/>
        <v>28.259492541082203</v>
      </c>
      <c r="AH26">
        <v>917.87603708162555</v>
      </c>
      <c r="AI26">
        <v>852.84516969696972</v>
      </c>
      <c r="AJ26">
        <v>2.118841895440295E-2</v>
      </c>
      <c r="AK26">
        <v>83.967426544914119</v>
      </c>
      <c r="AL26">
        <f t="shared" si="26"/>
        <v>1.7218496346314855</v>
      </c>
      <c r="AM26">
        <v>19.508191946352159</v>
      </c>
      <c r="AN26">
        <v>23.292194409937899</v>
      </c>
      <c r="AO26">
        <v>-1.4971262409002901E-5</v>
      </c>
      <c r="AP26">
        <v>90.554809006859813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54264.151351004301</v>
      </c>
      <c r="AV26">
        <f t="shared" si="30"/>
        <v>937.11936666666645</v>
      </c>
      <c r="AW26">
        <f t="shared" si="31"/>
        <v>749.69549333333316</v>
      </c>
      <c r="AX26">
        <f t="shared" si="32"/>
        <v>0.8</v>
      </c>
      <c r="AY26">
        <f t="shared" si="33"/>
        <v>0.19</v>
      </c>
      <c r="AZ26">
        <v>9</v>
      </c>
      <c r="BA26">
        <v>14.19</v>
      </c>
      <c r="BB26" t="s">
        <v>336</v>
      </c>
      <c r="BC26">
        <v>2</v>
      </c>
      <c r="BD26" t="b">
        <v>0</v>
      </c>
      <c r="BE26">
        <v>1750159689.849999</v>
      </c>
      <c r="BF26">
        <v>832.91179999999997</v>
      </c>
      <c r="BG26">
        <v>899.99846666666679</v>
      </c>
      <c r="BH26">
        <v>23.316536666666671</v>
      </c>
      <c r="BI26">
        <v>19.509233333333331</v>
      </c>
      <c r="BJ26">
        <v>827.39563333333342</v>
      </c>
      <c r="BK26">
        <v>23.068370000000002</v>
      </c>
      <c r="BL26">
        <v>400.00643333333329</v>
      </c>
      <c r="BM26">
        <v>102.49453333333329</v>
      </c>
      <c r="BN26">
        <v>9.995180666666667E-2</v>
      </c>
      <c r="BO26">
        <v>26.64546</v>
      </c>
      <c r="BP26">
        <v>26.033850000000001</v>
      </c>
      <c r="BQ26">
        <v>999.9000000000002</v>
      </c>
      <c r="BR26">
        <v>0</v>
      </c>
      <c r="BS26">
        <v>0</v>
      </c>
      <c r="BT26">
        <v>10000.73333333333</v>
      </c>
      <c r="BU26">
        <v>937.11936666666645</v>
      </c>
      <c r="BV26">
        <v>17.674399999999999</v>
      </c>
      <c r="BW26">
        <v>-67.086619999999996</v>
      </c>
      <c r="BX26">
        <v>852.79613333333327</v>
      </c>
      <c r="BY26">
        <v>917.90613333333329</v>
      </c>
      <c r="BZ26">
        <v>3.8073036666666669</v>
      </c>
      <c r="CA26">
        <v>899.99846666666679</v>
      </c>
      <c r="CB26">
        <v>19.509233333333331</v>
      </c>
      <c r="CC26">
        <v>2.3898173333333328</v>
      </c>
      <c r="CD26">
        <v>1.9995890000000001</v>
      </c>
      <c r="CE26">
        <v>20.29494</v>
      </c>
      <c r="CF26">
        <v>17.441089999999999</v>
      </c>
      <c r="CG26">
        <v>1750157833.5</v>
      </c>
      <c r="CH26" t="s">
        <v>337</v>
      </c>
      <c r="CI26">
        <v>1750157830.5</v>
      </c>
      <c r="CJ26">
        <v>1750157833.5</v>
      </c>
      <c r="CK26">
        <v>8</v>
      </c>
      <c r="CL26">
        <v>-1.3089999999999999</v>
      </c>
      <c r="CM26">
        <v>2.9000000000000001E-2</v>
      </c>
      <c r="CN26">
        <v>1.9159999999999999</v>
      </c>
      <c r="CO26">
        <v>0.248</v>
      </c>
      <c r="CP26">
        <v>450</v>
      </c>
      <c r="CQ26">
        <v>19</v>
      </c>
      <c r="CR26">
        <v>0.03</v>
      </c>
      <c r="CS26">
        <v>0.02</v>
      </c>
      <c r="CT26">
        <v>-67.134890243902433</v>
      </c>
      <c r="CU26">
        <v>0.8542829268292822</v>
      </c>
      <c r="CV26">
        <v>9.1677852752484496E-2</v>
      </c>
      <c r="CW26">
        <v>0</v>
      </c>
      <c r="CX26">
        <v>0</v>
      </c>
      <c r="CY26">
        <v>0</v>
      </c>
      <c r="CZ26">
        <v>0</v>
      </c>
      <c r="DA26">
        <v>-1</v>
      </c>
      <c r="DB26">
        <v>3.81879756097561</v>
      </c>
      <c r="DC26">
        <v>-0.2094606271776977</v>
      </c>
      <c r="DD26">
        <v>2.0674547068561991E-2</v>
      </c>
      <c r="DE26">
        <v>0</v>
      </c>
      <c r="DF26">
        <v>0</v>
      </c>
      <c r="DG26">
        <v>2</v>
      </c>
      <c r="DH26" t="s">
        <v>353</v>
      </c>
      <c r="DI26">
        <v>3.02407</v>
      </c>
      <c r="DJ26">
        <v>2.6909999999999998</v>
      </c>
      <c r="DK26">
        <v>0.157774</v>
      </c>
      <c r="DL26">
        <v>0.16761599999999999</v>
      </c>
      <c r="DM26">
        <v>0.11860800000000001</v>
      </c>
      <c r="DN26">
        <v>0.105865</v>
      </c>
      <c r="DO26">
        <v>23501.3</v>
      </c>
      <c r="DP26">
        <v>15667.5</v>
      </c>
      <c r="DQ26">
        <v>26471.7</v>
      </c>
      <c r="DR26">
        <v>17105.2</v>
      </c>
      <c r="DS26">
        <v>33181.300000000003</v>
      </c>
      <c r="DT26">
        <v>19965.099999999999</v>
      </c>
      <c r="DU26">
        <v>38563.199999999997</v>
      </c>
      <c r="DV26">
        <v>22655.5</v>
      </c>
      <c r="DW26">
        <v>1.8130999999999999</v>
      </c>
      <c r="DX26">
        <v>2.2141999999999999</v>
      </c>
      <c r="DY26">
        <v>8.6081000000000005E-2</v>
      </c>
      <c r="DZ26">
        <v>0</v>
      </c>
      <c r="EA26">
        <v>24.635100000000001</v>
      </c>
      <c r="EB26">
        <v>999.9</v>
      </c>
      <c r="EC26">
        <v>51.3</v>
      </c>
      <c r="ED26">
        <v>31.7</v>
      </c>
      <c r="EE26">
        <v>23.499199999999998</v>
      </c>
      <c r="EF26">
        <v>62.766399999999997</v>
      </c>
      <c r="EG26">
        <v>35.036099999999998</v>
      </c>
      <c r="EH26">
        <v>1</v>
      </c>
      <c r="EI26">
        <v>-1.6317100000000001E-2</v>
      </c>
      <c r="EJ26">
        <v>-0.26889800000000003</v>
      </c>
      <c r="EK26">
        <v>20.3278</v>
      </c>
      <c r="EL26">
        <v>5.2498800000000001</v>
      </c>
      <c r="EM26">
        <v>11.962</v>
      </c>
      <c r="EN26">
        <v>4.9892799999999999</v>
      </c>
      <c r="EO26">
        <v>3.2908599999999999</v>
      </c>
      <c r="EP26">
        <v>9999</v>
      </c>
      <c r="EQ26">
        <v>9999</v>
      </c>
      <c r="ER26">
        <v>9999</v>
      </c>
      <c r="ES26">
        <v>999.9</v>
      </c>
      <c r="ET26">
        <v>4.9727399999999999</v>
      </c>
      <c r="EU26">
        <v>1.87195</v>
      </c>
      <c r="EV26">
        <v>1.8722099999999999</v>
      </c>
      <c r="EW26">
        <v>1.87727</v>
      </c>
      <c r="EX26">
        <v>1.8713900000000001</v>
      </c>
      <c r="EY26">
        <v>1.87212</v>
      </c>
      <c r="EZ26">
        <v>1.87181</v>
      </c>
      <c r="FA26">
        <v>1.8687400000000001</v>
      </c>
      <c r="FB26">
        <v>0</v>
      </c>
      <c r="FC26">
        <v>0</v>
      </c>
      <c r="FD26">
        <v>0</v>
      </c>
      <c r="FE26">
        <v>0</v>
      </c>
      <c r="FF26" t="s">
        <v>339</v>
      </c>
      <c r="FG26" t="s">
        <v>340</v>
      </c>
      <c r="FH26" t="s">
        <v>341</v>
      </c>
      <c r="FI26" t="s">
        <v>341</v>
      </c>
      <c r="FJ26" t="s">
        <v>341</v>
      </c>
      <c r="FK26" t="s">
        <v>341</v>
      </c>
      <c r="FL26">
        <v>0</v>
      </c>
      <c r="FM26">
        <v>100</v>
      </c>
      <c r="FN26">
        <v>100</v>
      </c>
      <c r="FO26">
        <v>5.5170000000000003</v>
      </c>
      <c r="FP26">
        <v>0.24809999999999999</v>
      </c>
      <c r="FQ26">
        <v>-1.824124887782705</v>
      </c>
      <c r="FR26">
        <v>7.6898218637449396E-3</v>
      </c>
      <c r="FS26">
        <v>1.5097418776848419E-6</v>
      </c>
      <c r="FT26">
        <v>-9.8458676114205118E-11</v>
      </c>
      <c r="FU26">
        <v>0.24817000000000181</v>
      </c>
      <c r="FV26">
        <v>0</v>
      </c>
      <c r="FW26">
        <v>0</v>
      </c>
      <c r="FX26">
        <v>0</v>
      </c>
      <c r="FY26">
        <v>3</v>
      </c>
      <c r="FZ26">
        <v>2164</v>
      </c>
      <c r="GA26">
        <v>-1</v>
      </c>
      <c r="GB26">
        <v>-1</v>
      </c>
      <c r="GC26">
        <v>31.1</v>
      </c>
      <c r="GD26">
        <v>31.1</v>
      </c>
      <c r="GE26">
        <v>1.9311499999999999</v>
      </c>
      <c r="GF26">
        <v>2.6159699999999999</v>
      </c>
      <c r="GG26">
        <v>1.7981</v>
      </c>
      <c r="GH26">
        <v>2.3706100000000001</v>
      </c>
      <c r="GI26">
        <v>1.5979000000000001</v>
      </c>
      <c r="GJ26">
        <v>2.5134300000000001</v>
      </c>
      <c r="GK26">
        <v>35.082500000000003</v>
      </c>
      <c r="GL26">
        <v>24.1663</v>
      </c>
      <c r="GM26">
        <v>18</v>
      </c>
      <c r="GN26">
        <v>367.18</v>
      </c>
      <c r="GO26">
        <v>682.87599999999998</v>
      </c>
      <c r="GP26">
        <v>25.829899999999999</v>
      </c>
      <c r="GQ26">
        <v>26.8475</v>
      </c>
      <c r="GR26">
        <v>30.0001</v>
      </c>
      <c r="GS26">
        <v>26.7653</v>
      </c>
      <c r="GT26">
        <v>26.782599999999999</v>
      </c>
      <c r="GU26">
        <v>38.626600000000003</v>
      </c>
      <c r="GV26">
        <v>22.5412</v>
      </c>
      <c r="GW26">
        <v>0</v>
      </c>
      <c r="GX26">
        <v>25.83</v>
      </c>
      <c r="GY26">
        <v>900</v>
      </c>
      <c r="GZ26">
        <v>19.5</v>
      </c>
      <c r="HA26">
        <v>100.59</v>
      </c>
      <c r="HB26">
        <v>70.731899999999996</v>
      </c>
    </row>
    <row r="27" spans="1:210" x14ac:dyDescent="0.3">
      <c r="A27">
        <v>11</v>
      </c>
      <c r="B27">
        <v>1750159878.0999999</v>
      </c>
      <c r="C27">
        <v>1805.099999904633</v>
      </c>
      <c r="D27" t="s">
        <v>362</v>
      </c>
      <c r="E27" t="s">
        <v>363</v>
      </c>
      <c r="F27">
        <v>15</v>
      </c>
      <c r="G27">
        <v>1750159870.349999</v>
      </c>
      <c r="H27">
        <f t="shared" si="0"/>
        <v>1.5201515362982328E-3</v>
      </c>
      <c r="I27">
        <f t="shared" si="1"/>
        <v>1.5201515362982327</v>
      </c>
      <c r="J27">
        <f t="shared" si="2"/>
        <v>28.978251290558177</v>
      </c>
      <c r="K27">
        <f t="shared" si="3"/>
        <v>1130.9380000000001</v>
      </c>
      <c r="L27">
        <f t="shared" si="4"/>
        <v>798.33200279778373</v>
      </c>
      <c r="M27">
        <f t="shared" si="5"/>
        <v>81.90157616883134</v>
      </c>
      <c r="N27">
        <f t="shared" si="6"/>
        <v>116.02391539436721</v>
      </c>
      <c r="O27">
        <f t="shared" si="7"/>
        <v>0.15336325812753399</v>
      </c>
      <c r="P27">
        <f t="shared" si="8"/>
        <v>2.4341656757035106</v>
      </c>
      <c r="Q27">
        <f t="shared" si="9"/>
        <v>0.14535804308559278</v>
      </c>
      <c r="R27">
        <f t="shared" si="10"/>
        <v>9.1533655213655502E-2</v>
      </c>
      <c r="S27">
        <f t="shared" si="11"/>
        <v>178.04329999999999</v>
      </c>
      <c r="T27">
        <f t="shared" si="12"/>
        <v>27.417237341806256</v>
      </c>
      <c r="U27">
        <f t="shared" si="13"/>
        <v>26.049076666666661</v>
      </c>
      <c r="V27">
        <f t="shared" si="14"/>
        <v>3.3840698153599353</v>
      </c>
      <c r="W27">
        <f t="shared" si="15"/>
        <v>66.809116090672319</v>
      </c>
      <c r="X27">
        <f t="shared" si="16"/>
        <v>2.3411134358452186</v>
      </c>
      <c r="Y27">
        <f t="shared" si="17"/>
        <v>3.5041826218264811</v>
      </c>
      <c r="Z27">
        <f t="shared" si="18"/>
        <v>1.0429563795147168</v>
      </c>
      <c r="AA27">
        <f t="shared" si="19"/>
        <v>-67.038682750752059</v>
      </c>
      <c r="AB27">
        <f t="shared" si="20"/>
        <v>77.550368313146237</v>
      </c>
      <c r="AC27">
        <f t="shared" si="21"/>
        <v>6.8306090370878607</v>
      </c>
      <c r="AD27">
        <f t="shared" si="22"/>
        <v>195.38559459948203</v>
      </c>
      <c r="AE27">
        <f t="shared" si="23"/>
        <v>28.978251290558177</v>
      </c>
      <c r="AF27">
        <f t="shared" si="24"/>
        <v>1.5201515362982327</v>
      </c>
      <c r="AG27">
        <f t="shared" si="25"/>
        <v>28.965528343296448</v>
      </c>
      <c r="AH27">
        <v>1223.8026402447611</v>
      </c>
      <c r="AI27">
        <v>1157.3371515151509</v>
      </c>
      <c r="AJ27">
        <v>7.7290656042121461E-4</v>
      </c>
      <c r="AK27">
        <v>83.967426544914119</v>
      </c>
      <c r="AL27">
        <f t="shared" si="26"/>
        <v>1.5126270310992007</v>
      </c>
      <c r="AM27">
        <v>19.47887059419244</v>
      </c>
      <c r="AN27">
        <v>22.804301581027669</v>
      </c>
      <c r="AO27">
        <v>-4.9749655000634839E-6</v>
      </c>
      <c r="AP27">
        <v>90.554809006859813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54261.980340722148</v>
      </c>
      <c r="AV27">
        <f t="shared" si="30"/>
        <v>937.06999999999994</v>
      </c>
      <c r="AW27">
        <f t="shared" si="31"/>
        <v>749.65599999999995</v>
      </c>
      <c r="AX27">
        <f t="shared" si="32"/>
        <v>0.8</v>
      </c>
      <c r="AY27">
        <f t="shared" si="33"/>
        <v>0.19</v>
      </c>
      <c r="AZ27">
        <v>9</v>
      </c>
      <c r="BA27">
        <v>14.19</v>
      </c>
      <c r="BB27" t="s">
        <v>336</v>
      </c>
      <c r="BC27">
        <v>2</v>
      </c>
      <c r="BD27" t="b">
        <v>0</v>
      </c>
      <c r="BE27">
        <v>1750159870.349999</v>
      </c>
      <c r="BF27">
        <v>1130.9380000000001</v>
      </c>
      <c r="BG27">
        <v>1199.9986666666671</v>
      </c>
      <c r="BH27">
        <v>22.819900000000001</v>
      </c>
      <c r="BI27">
        <v>19.478026666666668</v>
      </c>
      <c r="BJ27">
        <v>1122.3693333333331</v>
      </c>
      <c r="BK27">
        <v>22.571723333333338</v>
      </c>
      <c r="BL27">
        <v>400.04976666666659</v>
      </c>
      <c r="BM27">
        <v>102.4908666666667</v>
      </c>
      <c r="BN27">
        <v>0.1000051533333333</v>
      </c>
      <c r="BO27">
        <v>26.640023333333339</v>
      </c>
      <c r="BP27">
        <v>26.049076666666661</v>
      </c>
      <c r="BQ27">
        <v>999.9000000000002</v>
      </c>
      <c r="BR27">
        <v>0</v>
      </c>
      <c r="BS27">
        <v>0</v>
      </c>
      <c r="BT27">
        <v>10000.5</v>
      </c>
      <c r="BU27">
        <v>937.06999999999994</v>
      </c>
      <c r="BV27">
        <v>17.674399999999999</v>
      </c>
      <c r="BW27">
        <v>-69.060450000000003</v>
      </c>
      <c r="BX27">
        <v>1157.3493333333331</v>
      </c>
      <c r="BY27">
        <v>1223.836</v>
      </c>
      <c r="BZ27">
        <v>3.3418706666666669</v>
      </c>
      <c r="CA27">
        <v>1199.9986666666671</v>
      </c>
      <c r="CB27">
        <v>19.478026666666668</v>
      </c>
      <c r="CC27">
        <v>2.3388283333333328</v>
      </c>
      <c r="CD27">
        <v>1.996318666666667</v>
      </c>
      <c r="CE27">
        <v>19.946360000000009</v>
      </c>
      <c r="CF27">
        <v>17.415163333333329</v>
      </c>
      <c r="CG27">
        <v>1750157833.5</v>
      </c>
      <c r="CH27" t="s">
        <v>337</v>
      </c>
      <c r="CI27">
        <v>1750157830.5</v>
      </c>
      <c r="CJ27">
        <v>1750157833.5</v>
      </c>
      <c r="CK27">
        <v>8</v>
      </c>
      <c r="CL27">
        <v>-1.3089999999999999</v>
      </c>
      <c r="CM27">
        <v>2.9000000000000001E-2</v>
      </c>
      <c r="CN27">
        <v>1.9159999999999999</v>
      </c>
      <c r="CO27">
        <v>0.248</v>
      </c>
      <c r="CP27">
        <v>450</v>
      </c>
      <c r="CQ27">
        <v>19</v>
      </c>
      <c r="CR27">
        <v>0.03</v>
      </c>
      <c r="CS27">
        <v>0.02</v>
      </c>
      <c r="CT27">
        <v>-69.091975609756091</v>
      </c>
      <c r="CU27">
        <v>0.3756794425085867</v>
      </c>
      <c r="CV27">
        <v>6.6826724537666887E-2</v>
      </c>
      <c r="CW27">
        <v>1</v>
      </c>
      <c r="CX27">
        <v>0</v>
      </c>
      <c r="CY27">
        <v>0</v>
      </c>
      <c r="CZ27">
        <v>0</v>
      </c>
      <c r="DA27">
        <v>-1</v>
      </c>
      <c r="DB27">
        <v>3.3493573170731712</v>
      </c>
      <c r="DC27">
        <v>-0.1160577700348437</v>
      </c>
      <c r="DD27">
        <v>1.1514313684765231E-2</v>
      </c>
      <c r="DE27">
        <v>0</v>
      </c>
      <c r="DF27">
        <v>1</v>
      </c>
      <c r="DG27">
        <v>2</v>
      </c>
      <c r="DH27" t="s">
        <v>344</v>
      </c>
      <c r="DI27">
        <v>3.0245799999999998</v>
      </c>
      <c r="DJ27">
        <v>2.6912799999999999</v>
      </c>
      <c r="DK27">
        <v>0.19162199999999999</v>
      </c>
      <c r="DL27">
        <v>0.200963</v>
      </c>
      <c r="DM27">
        <v>0.11683300000000001</v>
      </c>
      <c r="DN27">
        <v>0.10573100000000001</v>
      </c>
      <c r="DO27">
        <v>22556.7</v>
      </c>
      <c r="DP27">
        <v>15040.6</v>
      </c>
      <c r="DQ27">
        <v>26471.3</v>
      </c>
      <c r="DR27">
        <v>17105.8</v>
      </c>
      <c r="DS27">
        <v>33250.1</v>
      </c>
      <c r="DT27">
        <v>19970</v>
      </c>
      <c r="DU27">
        <v>38562.400000000001</v>
      </c>
      <c r="DV27">
        <v>22657.1</v>
      </c>
      <c r="DW27">
        <v>1.81358</v>
      </c>
      <c r="DX27">
        <v>2.2144400000000002</v>
      </c>
      <c r="DY27">
        <v>8.6641300000000004E-2</v>
      </c>
      <c r="DZ27">
        <v>0</v>
      </c>
      <c r="EA27">
        <v>24.618099999999998</v>
      </c>
      <c r="EB27">
        <v>999.9</v>
      </c>
      <c r="EC27">
        <v>51.2</v>
      </c>
      <c r="ED27">
        <v>31.7</v>
      </c>
      <c r="EE27">
        <v>23.450900000000001</v>
      </c>
      <c r="EF27">
        <v>63.026400000000002</v>
      </c>
      <c r="EG27">
        <v>34.647399999999998</v>
      </c>
      <c r="EH27">
        <v>1</v>
      </c>
      <c r="EI27">
        <v>-1.5908499999999999E-2</v>
      </c>
      <c r="EJ27">
        <v>-0.276229</v>
      </c>
      <c r="EK27">
        <v>20.328299999999999</v>
      </c>
      <c r="EL27">
        <v>5.2522700000000002</v>
      </c>
      <c r="EM27">
        <v>11.962</v>
      </c>
      <c r="EN27">
        <v>4.9898400000000001</v>
      </c>
      <c r="EO27">
        <v>3.29114</v>
      </c>
      <c r="EP27">
        <v>9999</v>
      </c>
      <c r="EQ27">
        <v>9999</v>
      </c>
      <c r="ER27">
        <v>9999</v>
      </c>
      <c r="ES27">
        <v>999.9</v>
      </c>
      <c r="ET27">
        <v>4.9727199999999998</v>
      </c>
      <c r="EU27">
        <v>1.87195</v>
      </c>
      <c r="EV27">
        <v>1.87218</v>
      </c>
      <c r="EW27">
        <v>1.87727</v>
      </c>
      <c r="EX27">
        <v>1.8713599999999999</v>
      </c>
      <c r="EY27">
        <v>1.8721300000000001</v>
      </c>
      <c r="EZ27">
        <v>1.8717999999999999</v>
      </c>
      <c r="FA27">
        <v>1.8687400000000001</v>
      </c>
      <c r="FB27">
        <v>0</v>
      </c>
      <c r="FC27">
        <v>0</v>
      </c>
      <c r="FD27">
        <v>0</v>
      </c>
      <c r="FE27">
        <v>0</v>
      </c>
      <c r="FF27" t="s">
        <v>339</v>
      </c>
      <c r="FG27" t="s">
        <v>340</v>
      </c>
      <c r="FH27" t="s">
        <v>341</v>
      </c>
      <c r="FI27" t="s">
        <v>341</v>
      </c>
      <c r="FJ27" t="s">
        <v>341</v>
      </c>
      <c r="FK27" t="s">
        <v>341</v>
      </c>
      <c r="FL27">
        <v>0</v>
      </c>
      <c r="FM27">
        <v>100</v>
      </c>
      <c r="FN27">
        <v>100</v>
      </c>
      <c r="FO27">
        <v>8.57</v>
      </c>
      <c r="FP27">
        <v>0.2482</v>
      </c>
      <c r="FQ27">
        <v>-1.824124887782705</v>
      </c>
      <c r="FR27">
        <v>7.6898218637449396E-3</v>
      </c>
      <c r="FS27">
        <v>1.5097418776848419E-6</v>
      </c>
      <c r="FT27">
        <v>-9.8458676114205118E-11</v>
      </c>
      <c r="FU27">
        <v>0.24817000000000181</v>
      </c>
      <c r="FV27">
        <v>0</v>
      </c>
      <c r="FW27">
        <v>0</v>
      </c>
      <c r="FX27">
        <v>0</v>
      </c>
      <c r="FY27">
        <v>3</v>
      </c>
      <c r="FZ27">
        <v>2164</v>
      </c>
      <c r="GA27">
        <v>-1</v>
      </c>
      <c r="GB27">
        <v>-1</v>
      </c>
      <c r="GC27">
        <v>34.1</v>
      </c>
      <c r="GD27">
        <v>34.1</v>
      </c>
      <c r="GE27">
        <v>2.4475099999999999</v>
      </c>
      <c r="GF27">
        <v>2.6208499999999999</v>
      </c>
      <c r="GG27">
        <v>1.7981</v>
      </c>
      <c r="GH27">
        <v>2.3718300000000001</v>
      </c>
      <c r="GI27">
        <v>1.5979000000000001</v>
      </c>
      <c r="GJ27">
        <v>2.5122100000000001</v>
      </c>
      <c r="GK27">
        <v>35.082500000000003</v>
      </c>
      <c r="GL27">
        <v>24.1663</v>
      </c>
      <c r="GM27">
        <v>18</v>
      </c>
      <c r="GN27">
        <v>367.52499999999998</v>
      </c>
      <c r="GO27">
        <v>683.29399999999998</v>
      </c>
      <c r="GP27">
        <v>25.830100000000002</v>
      </c>
      <c r="GQ27">
        <v>26.852</v>
      </c>
      <c r="GR27">
        <v>30.0001</v>
      </c>
      <c r="GS27">
        <v>26.780100000000001</v>
      </c>
      <c r="GT27">
        <v>26.798500000000001</v>
      </c>
      <c r="GU27">
        <v>48.918700000000001</v>
      </c>
      <c r="GV27">
        <v>22.5412</v>
      </c>
      <c r="GW27">
        <v>0</v>
      </c>
      <c r="GX27">
        <v>25.83</v>
      </c>
      <c r="GY27">
        <v>1200</v>
      </c>
      <c r="GZ27">
        <v>19.5</v>
      </c>
      <c r="HA27">
        <v>100.589</v>
      </c>
      <c r="HB27">
        <v>70.735900000000001</v>
      </c>
    </row>
    <row r="28" spans="1:210" x14ac:dyDescent="0.3">
      <c r="A28">
        <v>12</v>
      </c>
      <c r="B28">
        <v>1750160059</v>
      </c>
      <c r="C28">
        <v>1986</v>
      </c>
      <c r="D28" t="s">
        <v>364</v>
      </c>
      <c r="E28" t="s">
        <v>365</v>
      </c>
      <c r="F28">
        <v>15</v>
      </c>
      <c r="G28">
        <v>1750160051</v>
      </c>
      <c r="H28">
        <f t="shared" si="0"/>
        <v>1.3788199724840151E-3</v>
      </c>
      <c r="I28">
        <f t="shared" si="1"/>
        <v>1.3788199724840151</v>
      </c>
      <c r="J28">
        <f t="shared" si="2"/>
        <v>28.751449846245475</v>
      </c>
      <c r="K28">
        <f t="shared" si="3"/>
        <v>1530.5822580645161</v>
      </c>
      <c r="L28">
        <f t="shared" si="4"/>
        <v>1149.6659079000608</v>
      </c>
      <c r="M28">
        <f t="shared" si="5"/>
        <v>117.94701785565334</v>
      </c>
      <c r="N28">
        <f t="shared" si="6"/>
        <v>157.02615140708753</v>
      </c>
      <c r="O28">
        <f t="shared" si="7"/>
        <v>0.13382256756026051</v>
      </c>
      <c r="P28">
        <f t="shared" si="8"/>
        <v>2.4339073521067442</v>
      </c>
      <c r="Q28">
        <f t="shared" si="9"/>
        <v>0.12768346563505614</v>
      </c>
      <c r="R28">
        <f t="shared" si="10"/>
        <v>8.0330601939920643E-2</v>
      </c>
      <c r="S28">
        <f t="shared" si="11"/>
        <v>178.02740129032256</v>
      </c>
      <c r="T28">
        <f t="shared" si="12"/>
        <v>27.463452502601886</v>
      </c>
      <c r="U28">
        <f t="shared" si="13"/>
        <v>26.053603225806452</v>
      </c>
      <c r="V28">
        <f t="shared" si="14"/>
        <v>3.3849760160123807</v>
      </c>
      <c r="W28">
        <f t="shared" si="15"/>
        <v>65.849610248204726</v>
      </c>
      <c r="X28">
        <f t="shared" si="16"/>
        <v>2.3078451480698901</v>
      </c>
      <c r="Y28">
        <f t="shared" si="17"/>
        <v>3.5047210444693704</v>
      </c>
      <c r="Z28">
        <f t="shared" si="18"/>
        <v>1.0771308679424907</v>
      </c>
      <c r="AA28">
        <f t="shared" si="19"/>
        <v>-60.805960786545064</v>
      </c>
      <c r="AB28">
        <f t="shared" si="20"/>
        <v>77.290512475615458</v>
      </c>
      <c r="AC28">
        <f t="shared" si="21"/>
        <v>6.8086869658964027</v>
      </c>
      <c r="AD28">
        <f t="shared" si="22"/>
        <v>201.32063994528937</v>
      </c>
      <c r="AE28">
        <f t="shared" si="23"/>
        <v>28.751449846245475</v>
      </c>
      <c r="AF28">
        <f t="shared" si="24"/>
        <v>1.3788199724840151</v>
      </c>
      <c r="AG28">
        <f t="shared" si="25"/>
        <v>28.847778143965527</v>
      </c>
      <c r="AH28">
        <v>1631.79911932095</v>
      </c>
      <c r="AI28">
        <v>1565.666363636363</v>
      </c>
      <c r="AJ28">
        <v>-7.0121044087125021E-3</v>
      </c>
      <c r="AK28">
        <v>83.967426544914119</v>
      </c>
      <c r="AL28">
        <f t="shared" si="26"/>
        <v>1.3738943262236418</v>
      </c>
      <c r="AM28">
        <v>19.460080196039311</v>
      </c>
      <c r="AN28">
        <v>22.481759909655569</v>
      </c>
      <c r="AO28">
        <v>-3.458329284045024E-6</v>
      </c>
      <c r="AP28">
        <v>90.554809006859813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54252.844743989794</v>
      </c>
      <c r="AV28">
        <f t="shared" si="30"/>
        <v>936.98632258064504</v>
      </c>
      <c r="AW28">
        <f t="shared" si="31"/>
        <v>749.58905806451605</v>
      </c>
      <c r="AX28">
        <f t="shared" si="32"/>
        <v>0.8</v>
      </c>
      <c r="AY28">
        <f t="shared" si="33"/>
        <v>0.19</v>
      </c>
      <c r="AZ28">
        <v>9</v>
      </c>
      <c r="BA28">
        <v>14.19</v>
      </c>
      <c r="BB28" t="s">
        <v>336</v>
      </c>
      <c r="BC28">
        <v>2</v>
      </c>
      <c r="BD28" t="b">
        <v>0</v>
      </c>
      <c r="BE28">
        <v>1750160051</v>
      </c>
      <c r="BF28">
        <v>1530.5822580645161</v>
      </c>
      <c r="BG28">
        <v>1600.0187096774191</v>
      </c>
      <c r="BH28">
        <v>22.495277419354839</v>
      </c>
      <c r="BI28">
        <v>19.46283870967742</v>
      </c>
      <c r="BJ28">
        <v>1517.603225806452</v>
      </c>
      <c r="BK28">
        <v>22.247116129032261</v>
      </c>
      <c r="BL28">
        <v>400.01558064516132</v>
      </c>
      <c r="BM28">
        <v>102.4924193548387</v>
      </c>
      <c r="BN28">
        <v>0.1000094935483871</v>
      </c>
      <c r="BO28">
        <v>26.64263225806452</v>
      </c>
      <c r="BP28">
        <v>26.053603225806452</v>
      </c>
      <c r="BQ28">
        <v>999.90000000000032</v>
      </c>
      <c r="BR28">
        <v>0</v>
      </c>
      <c r="BS28">
        <v>0</v>
      </c>
      <c r="BT28">
        <v>9998.677419354839</v>
      </c>
      <c r="BU28">
        <v>936.98632258064504</v>
      </c>
      <c r="BV28">
        <v>17.674399999999999</v>
      </c>
      <c r="BW28">
        <v>-69.437309677419364</v>
      </c>
      <c r="BX28">
        <v>1565.804516129032</v>
      </c>
      <c r="BY28">
        <v>1631.7777419354841</v>
      </c>
      <c r="BZ28">
        <v>3.0324503225806452</v>
      </c>
      <c r="CA28">
        <v>1600.0187096774191</v>
      </c>
      <c r="CB28">
        <v>19.46283870967742</v>
      </c>
      <c r="CC28">
        <v>2.305598709677418</v>
      </c>
      <c r="CD28">
        <v>1.994795161290323</v>
      </c>
      <c r="CE28">
        <v>19.715567741935491</v>
      </c>
      <c r="CF28">
        <v>17.403090322580649</v>
      </c>
      <c r="CG28">
        <v>1750157833.5</v>
      </c>
      <c r="CH28" t="s">
        <v>337</v>
      </c>
      <c r="CI28">
        <v>1750157830.5</v>
      </c>
      <c r="CJ28">
        <v>1750157833.5</v>
      </c>
      <c r="CK28">
        <v>8</v>
      </c>
      <c r="CL28">
        <v>-1.3089999999999999</v>
      </c>
      <c r="CM28">
        <v>2.9000000000000001E-2</v>
      </c>
      <c r="CN28">
        <v>1.9159999999999999</v>
      </c>
      <c r="CO28">
        <v>0.248</v>
      </c>
      <c r="CP28">
        <v>450</v>
      </c>
      <c r="CQ28">
        <v>19</v>
      </c>
      <c r="CR28">
        <v>0.03</v>
      </c>
      <c r="CS28">
        <v>0.02</v>
      </c>
      <c r="CT28">
        <v>-69.396589999999989</v>
      </c>
      <c r="CU28">
        <v>-1.1596682926828119</v>
      </c>
      <c r="CV28">
        <v>0.1376222888924612</v>
      </c>
      <c r="CW28">
        <v>0</v>
      </c>
      <c r="CX28">
        <v>0</v>
      </c>
      <c r="CY28">
        <v>0</v>
      </c>
      <c r="CZ28">
        <v>0</v>
      </c>
      <c r="DA28">
        <v>-1</v>
      </c>
      <c r="DB28">
        <v>3.0364650000000002</v>
      </c>
      <c r="DC28">
        <v>-8.4209380863043123E-2</v>
      </c>
      <c r="DD28">
        <v>8.2805371202597632E-3</v>
      </c>
      <c r="DE28">
        <v>1</v>
      </c>
      <c r="DF28">
        <v>1</v>
      </c>
      <c r="DG28">
        <v>2</v>
      </c>
      <c r="DH28" t="s">
        <v>344</v>
      </c>
      <c r="DI28">
        <v>3.0244200000000001</v>
      </c>
      <c r="DJ28">
        <v>2.6912500000000001</v>
      </c>
      <c r="DK28">
        <v>0.230127</v>
      </c>
      <c r="DL28">
        <v>0.23896400000000001</v>
      </c>
      <c r="DM28">
        <v>0.11565599999999999</v>
      </c>
      <c r="DN28">
        <v>0.10569000000000001</v>
      </c>
      <c r="DO28">
        <v>21482</v>
      </c>
      <c r="DP28">
        <v>14325.5</v>
      </c>
      <c r="DQ28">
        <v>26470.6</v>
      </c>
      <c r="DR28">
        <v>17105.900000000001</v>
      </c>
      <c r="DS28">
        <v>33295.5</v>
      </c>
      <c r="DT28">
        <v>19971.7</v>
      </c>
      <c r="DU28">
        <v>38561.1</v>
      </c>
      <c r="DV28">
        <v>22657.3</v>
      </c>
      <c r="DW28">
        <v>1.8134999999999999</v>
      </c>
      <c r="DX28">
        <v>2.2154600000000002</v>
      </c>
      <c r="DY28">
        <v>8.7332699999999999E-2</v>
      </c>
      <c r="DZ28">
        <v>0</v>
      </c>
      <c r="EA28">
        <v>24.622299999999999</v>
      </c>
      <c r="EB28">
        <v>999.9</v>
      </c>
      <c r="EC28">
        <v>51.2</v>
      </c>
      <c r="ED28">
        <v>31.7</v>
      </c>
      <c r="EE28">
        <v>23.452500000000001</v>
      </c>
      <c r="EF28">
        <v>62.746400000000001</v>
      </c>
      <c r="EG28">
        <v>34.639400000000002</v>
      </c>
      <c r="EH28">
        <v>1</v>
      </c>
      <c r="EI28">
        <v>-1.49573E-2</v>
      </c>
      <c r="EJ28">
        <v>-0.268488</v>
      </c>
      <c r="EK28">
        <v>20.328299999999999</v>
      </c>
      <c r="EL28">
        <v>5.25251</v>
      </c>
      <c r="EM28">
        <v>11.962</v>
      </c>
      <c r="EN28">
        <v>4.9897999999999998</v>
      </c>
      <c r="EO28">
        <v>3.2911800000000002</v>
      </c>
      <c r="EP28">
        <v>9999</v>
      </c>
      <c r="EQ28">
        <v>9999</v>
      </c>
      <c r="ER28">
        <v>9999</v>
      </c>
      <c r="ES28">
        <v>999.9</v>
      </c>
      <c r="ET28">
        <v>4.9727399999999999</v>
      </c>
      <c r="EU28">
        <v>1.87195</v>
      </c>
      <c r="EV28">
        <v>1.87222</v>
      </c>
      <c r="EW28">
        <v>1.87727</v>
      </c>
      <c r="EX28">
        <v>1.87138</v>
      </c>
      <c r="EY28">
        <v>1.8721399999999999</v>
      </c>
      <c r="EZ28">
        <v>1.87181</v>
      </c>
      <c r="FA28">
        <v>1.8687400000000001</v>
      </c>
      <c r="FB28">
        <v>0</v>
      </c>
      <c r="FC28">
        <v>0</v>
      </c>
      <c r="FD28">
        <v>0</v>
      </c>
      <c r="FE28">
        <v>0</v>
      </c>
      <c r="FF28" t="s">
        <v>339</v>
      </c>
      <c r="FG28" t="s">
        <v>340</v>
      </c>
      <c r="FH28" t="s">
        <v>341</v>
      </c>
      <c r="FI28" t="s">
        <v>341</v>
      </c>
      <c r="FJ28" t="s">
        <v>341</v>
      </c>
      <c r="FK28" t="s">
        <v>341</v>
      </c>
      <c r="FL28">
        <v>0</v>
      </c>
      <c r="FM28">
        <v>100</v>
      </c>
      <c r="FN28">
        <v>100</v>
      </c>
      <c r="FO28">
        <v>12.98</v>
      </c>
      <c r="FP28">
        <v>0.2482</v>
      </c>
      <c r="FQ28">
        <v>-1.824124887782705</v>
      </c>
      <c r="FR28">
        <v>7.6898218637449396E-3</v>
      </c>
      <c r="FS28">
        <v>1.5097418776848419E-6</v>
      </c>
      <c r="FT28">
        <v>-9.8458676114205118E-11</v>
      </c>
      <c r="FU28">
        <v>0.24817000000000181</v>
      </c>
      <c r="FV28">
        <v>0</v>
      </c>
      <c r="FW28">
        <v>0</v>
      </c>
      <c r="FX28">
        <v>0</v>
      </c>
      <c r="FY28">
        <v>3</v>
      </c>
      <c r="FZ28">
        <v>2164</v>
      </c>
      <c r="GA28">
        <v>-1</v>
      </c>
      <c r="GB28">
        <v>-1</v>
      </c>
      <c r="GC28">
        <v>37.1</v>
      </c>
      <c r="GD28">
        <v>37.1</v>
      </c>
      <c r="GE28">
        <v>3.0981399999999999</v>
      </c>
      <c r="GF28">
        <v>2.6159699999999999</v>
      </c>
      <c r="GG28">
        <v>1.7981</v>
      </c>
      <c r="GH28">
        <v>2.3718300000000001</v>
      </c>
      <c r="GI28">
        <v>1.5979000000000001</v>
      </c>
      <c r="GJ28">
        <v>2.4414099999999999</v>
      </c>
      <c r="GK28">
        <v>35.059399999999997</v>
      </c>
      <c r="GL28">
        <v>24.157499999999999</v>
      </c>
      <c r="GM28">
        <v>18</v>
      </c>
      <c r="GN28">
        <v>367.57400000000001</v>
      </c>
      <c r="GO28">
        <v>684.36800000000005</v>
      </c>
      <c r="GP28">
        <v>25.830200000000001</v>
      </c>
      <c r="GQ28">
        <v>26.8611</v>
      </c>
      <c r="GR28">
        <v>30.0001</v>
      </c>
      <c r="GS28">
        <v>26.793600000000001</v>
      </c>
      <c r="GT28">
        <v>26.812100000000001</v>
      </c>
      <c r="GU28">
        <v>61.9178</v>
      </c>
      <c r="GV28">
        <v>22.5412</v>
      </c>
      <c r="GW28">
        <v>0</v>
      </c>
      <c r="GX28">
        <v>25.83</v>
      </c>
      <c r="GY28">
        <v>1600</v>
      </c>
      <c r="GZ28">
        <v>19.5</v>
      </c>
      <c r="HA28">
        <v>100.58499999999999</v>
      </c>
      <c r="HB28">
        <v>70.7363</v>
      </c>
    </row>
    <row r="29" spans="1:210" x14ac:dyDescent="0.3">
      <c r="A29">
        <v>13</v>
      </c>
      <c r="B29">
        <v>1750160239.5</v>
      </c>
      <c r="C29">
        <v>2166.5</v>
      </c>
      <c r="D29" t="s">
        <v>366</v>
      </c>
      <c r="E29" t="s">
        <v>367</v>
      </c>
      <c r="F29">
        <v>15</v>
      </c>
      <c r="G29">
        <v>1750160231.75</v>
      </c>
      <c r="H29">
        <f t="shared" si="0"/>
        <v>1.3536586987434708E-3</v>
      </c>
      <c r="I29">
        <f t="shared" si="1"/>
        <v>1.3536586987434709</v>
      </c>
      <c r="J29">
        <f t="shared" si="2"/>
        <v>14.666503540366321</v>
      </c>
      <c r="K29">
        <f t="shared" si="3"/>
        <v>415.73493333333329</v>
      </c>
      <c r="L29">
        <f t="shared" si="4"/>
        <v>222.18946414117204</v>
      </c>
      <c r="M29">
        <f t="shared" si="5"/>
        <v>22.794507021137498</v>
      </c>
      <c r="N29">
        <f t="shared" si="6"/>
        <v>42.650415011477541</v>
      </c>
      <c r="O29">
        <f t="shared" si="7"/>
        <v>0.12979998028540815</v>
      </c>
      <c r="P29">
        <f t="shared" si="8"/>
        <v>2.434259612401994</v>
      </c>
      <c r="Q29">
        <f t="shared" si="9"/>
        <v>0.12401674755654833</v>
      </c>
      <c r="R29">
        <f t="shared" si="10"/>
        <v>7.8008901775257017E-2</v>
      </c>
      <c r="S29">
        <f t="shared" si="11"/>
        <v>178.00635133333333</v>
      </c>
      <c r="T29">
        <f t="shared" si="12"/>
        <v>27.478757287061992</v>
      </c>
      <c r="U29">
        <f t="shared" si="13"/>
        <v>26.07927999999999</v>
      </c>
      <c r="V29">
        <f t="shared" si="14"/>
        <v>3.3901204246420682</v>
      </c>
      <c r="W29">
        <f t="shared" si="15"/>
        <v>65.635417156401417</v>
      </c>
      <c r="X29">
        <f t="shared" si="16"/>
        <v>2.3013948155639894</v>
      </c>
      <c r="Y29">
        <f t="shared" si="17"/>
        <v>3.5063307513991089</v>
      </c>
      <c r="Z29">
        <f t="shared" si="18"/>
        <v>1.0887256090780788</v>
      </c>
      <c r="AA29">
        <f t="shared" si="19"/>
        <v>-59.696348614587066</v>
      </c>
      <c r="AB29">
        <f t="shared" si="20"/>
        <v>74.955329582434004</v>
      </c>
      <c r="AC29">
        <f t="shared" si="21"/>
        <v>6.6031272676904598</v>
      </c>
      <c r="AD29">
        <f t="shared" si="22"/>
        <v>199.86845956887072</v>
      </c>
      <c r="AE29">
        <f t="shared" si="23"/>
        <v>14.666503540366321</v>
      </c>
      <c r="AF29">
        <f t="shared" si="24"/>
        <v>1.3536586987434709</v>
      </c>
      <c r="AG29">
        <f t="shared" si="25"/>
        <v>14.843001589045842</v>
      </c>
      <c r="AH29">
        <v>458.93168384224322</v>
      </c>
      <c r="AI29">
        <v>425.1212363636364</v>
      </c>
      <c r="AJ29">
        <v>-2.897988935977874E-2</v>
      </c>
      <c r="AK29">
        <v>83.967426544914119</v>
      </c>
      <c r="AL29">
        <f t="shared" si="26"/>
        <v>1.3574515955022191</v>
      </c>
      <c r="AM29">
        <v>19.45643523739869</v>
      </c>
      <c r="AN29">
        <v>22.442247939017509</v>
      </c>
      <c r="AO29">
        <v>1.58858168616403E-6</v>
      </c>
      <c r="AP29">
        <v>90.554809006859813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54263.248938342345</v>
      </c>
      <c r="AV29">
        <f t="shared" si="30"/>
        <v>936.87553333333324</v>
      </c>
      <c r="AW29">
        <f t="shared" si="31"/>
        <v>749.50042666666661</v>
      </c>
      <c r="AX29">
        <f t="shared" si="32"/>
        <v>0.8</v>
      </c>
      <c r="AY29">
        <f t="shared" si="33"/>
        <v>0.19</v>
      </c>
      <c r="AZ29">
        <v>9</v>
      </c>
      <c r="BA29">
        <v>14.19</v>
      </c>
      <c r="BB29" t="s">
        <v>336</v>
      </c>
      <c r="BC29">
        <v>2</v>
      </c>
      <c r="BD29" t="b">
        <v>0</v>
      </c>
      <c r="BE29">
        <v>1750160231.75</v>
      </c>
      <c r="BF29">
        <v>415.73493333333329</v>
      </c>
      <c r="BG29">
        <v>450.00200000000012</v>
      </c>
      <c r="BH29">
        <v>22.43284666666667</v>
      </c>
      <c r="BI29">
        <v>19.455333333333328</v>
      </c>
      <c r="BJ29">
        <v>414.12270000000001</v>
      </c>
      <c r="BK29">
        <v>22.184686666666671</v>
      </c>
      <c r="BL29">
        <v>399.98579999999998</v>
      </c>
      <c r="BM29">
        <v>102.4904333333333</v>
      </c>
      <c r="BN29">
        <v>9.9971253333333329E-2</v>
      </c>
      <c r="BO29">
        <v>26.65043</v>
      </c>
      <c r="BP29">
        <v>26.07927999999999</v>
      </c>
      <c r="BQ29">
        <v>999.9000000000002</v>
      </c>
      <c r="BR29">
        <v>0</v>
      </c>
      <c r="BS29">
        <v>0</v>
      </c>
      <c r="BT29">
        <v>10001.15</v>
      </c>
      <c r="BU29">
        <v>936.87553333333324</v>
      </c>
      <c r="BV29">
        <v>17.674399999999999</v>
      </c>
      <c r="BW29">
        <v>-34.267036666666662</v>
      </c>
      <c r="BX29">
        <v>425.27499999999998</v>
      </c>
      <c r="BY29">
        <v>458.93059999999991</v>
      </c>
      <c r="BZ29">
        <v>2.977511999999999</v>
      </c>
      <c r="CA29">
        <v>450.00200000000012</v>
      </c>
      <c r="CB29">
        <v>19.455333333333328</v>
      </c>
      <c r="CC29">
        <v>2.2991533333333338</v>
      </c>
      <c r="CD29">
        <v>1.993986333333333</v>
      </c>
      <c r="CE29">
        <v>19.670463333333331</v>
      </c>
      <c r="CF29">
        <v>17.396660000000001</v>
      </c>
      <c r="CG29">
        <v>1750157833.5</v>
      </c>
      <c r="CH29" t="s">
        <v>337</v>
      </c>
      <c r="CI29">
        <v>1750157830.5</v>
      </c>
      <c r="CJ29">
        <v>1750157833.5</v>
      </c>
      <c r="CK29">
        <v>8</v>
      </c>
      <c r="CL29">
        <v>-1.3089999999999999</v>
      </c>
      <c r="CM29">
        <v>2.9000000000000001E-2</v>
      </c>
      <c r="CN29">
        <v>1.9159999999999999</v>
      </c>
      <c r="CO29">
        <v>0.248</v>
      </c>
      <c r="CP29">
        <v>450</v>
      </c>
      <c r="CQ29">
        <v>19</v>
      </c>
      <c r="CR29">
        <v>0.03</v>
      </c>
      <c r="CS29">
        <v>0.02</v>
      </c>
      <c r="CT29">
        <v>-34.225850000000001</v>
      </c>
      <c r="CU29">
        <v>-1.040983114446524</v>
      </c>
      <c r="CV29">
        <v>0.1017429162153313</v>
      </c>
      <c r="CW29">
        <v>0</v>
      </c>
      <c r="CX29">
        <v>0</v>
      </c>
      <c r="CY29">
        <v>0</v>
      </c>
      <c r="CZ29">
        <v>0</v>
      </c>
      <c r="DA29">
        <v>-1</v>
      </c>
      <c r="DB29">
        <v>2.9743865</v>
      </c>
      <c r="DC29">
        <v>6.4107467166970342E-2</v>
      </c>
      <c r="DD29">
        <v>6.3646522096654883E-3</v>
      </c>
      <c r="DE29">
        <v>1</v>
      </c>
      <c r="DF29">
        <v>1</v>
      </c>
      <c r="DG29">
        <v>2</v>
      </c>
      <c r="DH29" t="s">
        <v>344</v>
      </c>
      <c r="DI29">
        <v>3.0243799999999998</v>
      </c>
      <c r="DJ29">
        <v>2.69143</v>
      </c>
      <c r="DK29">
        <v>9.7042699999999996E-2</v>
      </c>
      <c r="DL29">
        <v>0.10385</v>
      </c>
      <c r="DM29">
        <v>0.115511</v>
      </c>
      <c r="DN29">
        <v>0.105657</v>
      </c>
      <c r="DO29">
        <v>25193.9</v>
      </c>
      <c r="DP29">
        <v>16868.400000000001</v>
      </c>
      <c r="DQ29">
        <v>26470.1</v>
      </c>
      <c r="DR29">
        <v>17106.099999999999</v>
      </c>
      <c r="DS29">
        <v>33297.800000000003</v>
      </c>
      <c r="DT29">
        <v>19970.7</v>
      </c>
      <c r="DU29">
        <v>38560.9</v>
      </c>
      <c r="DV29">
        <v>22657.5</v>
      </c>
      <c r="DW29">
        <v>1.8124199999999999</v>
      </c>
      <c r="DX29">
        <v>2.2120199999999999</v>
      </c>
      <c r="DY29">
        <v>8.7302900000000003E-2</v>
      </c>
      <c r="DZ29">
        <v>0</v>
      </c>
      <c r="EA29">
        <v>24.6389</v>
      </c>
      <c r="EB29">
        <v>999.9</v>
      </c>
      <c r="EC29">
        <v>51.2</v>
      </c>
      <c r="ED29">
        <v>31.7</v>
      </c>
      <c r="EE29">
        <v>23.452000000000002</v>
      </c>
      <c r="EF29">
        <v>62.656399999999998</v>
      </c>
      <c r="EG29">
        <v>35.068100000000001</v>
      </c>
      <c r="EH29">
        <v>1</v>
      </c>
      <c r="EI29">
        <v>-1.34614E-2</v>
      </c>
      <c r="EJ29">
        <v>-0.25629600000000002</v>
      </c>
      <c r="EK29">
        <v>20.328299999999999</v>
      </c>
      <c r="EL29">
        <v>5.2480799999999999</v>
      </c>
      <c r="EM29">
        <v>11.962</v>
      </c>
      <c r="EN29">
        <v>4.9896799999999999</v>
      </c>
      <c r="EO29">
        <v>3.2911999999999999</v>
      </c>
      <c r="EP29">
        <v>9999</v>
      </c>
      <c r="EQ29">
        <v>9999</v>
      </c>
      <c r="ER29">
        <v>9999</v>
      </c>
      <c r="ES29">
        <v>999.9</v>
      </c>
      <c r="ET29">
        <v>4.9727399999999999</v>
      </c>
      <c r="EU29">
        <v>1.87195</v>
      </c>
      <c r="EV29">
        <v>1.87219</v>
      </c>
      <c r="EW29">
        <v>1.8772500000000001</v>
      </c>
      <c r="EX29">
        <v>1.8713599999999999</v>
      </c>
      <c r="EY29">
        <v>1.8721300000000001</v>
      </c>
      <c r="EZ29">
        <v>1.87181</v>
      </c>
      <c r="FA29">
        <v>1.8687400000000001</v>
      </c>
      <c r="FB29">
        <v>0</v>
      </c>
      <c r="FC29">
        <v>0</v>
      </c>
      <c r="FD29">
        <v>0</v>
      </c>
      <c r="FE29">
        <v>0</v>
      </c>
      <c r="FF29" t="s">
        <v>339</v>
      </c>
      <c r="FG29" t="s">
        <v>340</v>
      </c>
      <c r="FH29" t="s">
        <v>341</v>
      </c>
      <c r="FI29" t="s">
        <v>341</v>
      </c>
      <c r="FJ29" t="s">
        <v>341</v>
      </c>
      <c r="FK29" t="s">
        <v>341</v>
      </c>
      <c r="FL29">
        <v>0</v>
      </c>
      <c r="FM29">
        <v>100</v>
      </c>
      <c r="FN29">
        <v>100</v>
      </c>
      <c r="FO29">
        <v>1.611</v>
      </c>
      <c r="FP29">
        <v>0.24809999999999999</v>
      </c>
      <c r="FQ29">
        <v>-1.824124887782705</v>
      </c>
      <c r="FR29">
        <v>7.6898218637449396E-3</v>
      </c>
      <c r="FS29">
        <v>1.5097418776848419E-6</v>
      </c>
      <c r="FT29">
        <v>-9.8458676114205118E-11</v>
      </c>
      <c r="FU29">
        <v>0.24817000000000181</v>
      </c>
      <c r="FV29">
        <v>0</v>
      </c>
      <c r="FW29">
        <v>0</v>
      </c>
      <c r="FX29">
        <v>0</v>
      </c>
      <c r="FY29">
        <v>3</v>
      </c>
      <c r="FZ29">
        <v>2164</v>
      </c>
      <c r="GA29">
        <v>-1</v>
      </c>
      <c r="GB29">
        <v>-1</v>
      </c>
      <c r="GC29">
        <v>40.1</v>
      </c>
      <c r="GD29">
        <v>40.1</v>
      </c>
      <c r="GE29">
        <v>1.10107</v>
      </c>
      <c r="GF29">
        <v>2.6159699999999999</v>
      </c>
      <c r="GG29">
        <v>1.7981</v>
      </c>
      <c r="GH29">
        <v>2.3730500000000001</v>
      </c>
      <c r="GI29">
        <v>1.5979000000000001</v>
      </c>
      <c r="GJ29">
        <v>2.5634800000000002</v>
      </c>
      <c r="GK29">
        <v>35.059399999999997</v>
      </c>
      <c r="GL29">
        <v>24.1663</v>
      </c>
      <c r="GM29">
        <v>18</v>
      </c>
      <c r="GN29">
        <v>367.14699999999999</v>
      </c>
      <c r="GO29">
        <v>681.58</v>
      </c>
      <c r="GP29">
        <v>25.830100000000002</v>
      </c>
      <c r="GQ29">
        <v>26.881</v>
      </c>
      <c r="GR29">
        <v>30.0001</v>
      </c>
      <c r="GS29">
        <v>26.8123</v>
      </c>
      <c r="GT29">
        <v>26.830200000000001</v>
      </c>
      <c r="GU29">
        <v>22.002800000000001</v>
      </c>
      <c r="GV29">
        <v>22.5412</v>
      </c>
      <c r="GW29">
        <v>0</v>
      </c>
      <c r="GX29">
        <v>25.83</v>
      </c>
      <c r="GY29">
        <v>450</v>
      </c>
      <c r="GZ29">
        <v>19.5</v>
      </c>
      <c r="HA29">
        <v>100.584</v>
      </c>
      <c r="HB29">
        <v>70.737200000000001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2025-06-17T11:37:31Z</dcterms:created>
  <dcterms:modified xsi:type="dcterms:W3CDTF">2025-12-01T11:37:28Z</dcterms:modified>
</cp:coreProperties>
</file>