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30331F9D59FEF4EBA102F0143002FF0D" xr6:coauthVersionLast="47" xr6:coauthVersionMax="47" xr10:uidLastSave="{EC679077-4337-4A87-9636-EF01792517A1}"/>
  <bookViews>
    <workbookView xWindow="2820" yWindow="2820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 s="1"/>
  <c r="AL29" i="1"/>
  <c r="AG29" i="1"/>
  <c r="Y29" i="1"/>
  <c r="X29" i="1"/>
  <c r="W29" i="1" s="1"/>
  <c r="P29" i="1"/>
  <c r="AY28" i="1"/>
  <c r="AX28" i="1"/>
  <c r="AV28" i="1"/>
  <c r="AW28" i="1" s="1"/>
  <c r="AU28" i="1"/>
  <c r="AS28" i="1"/>
  <c r="AF28" i="1" s="1"/>
  <c r="I28" i="1" s="1"/>
  <c r="H28" i="1" s="1"/>
  <c r="AL28" i="1"/>
  <c r="AG28" i="1"/>
  <c r="Y28" i="1"/>
  <c r="X28" i="1"/>
  <c r="W28" i="1" s="1"/>
  <c r="S28" i="1"/>
  <c r="P28" i="1"/>
  <c r="K28" i="1"/>
  <c r="AY27" i="1"/>
  <c r="AX27" i="1"/>
  <c r="AV27" i="1"/>
  <c r="AW27" i="1" s="1"/>
  <c r="AU27" i="1"/>
  <c r="AS27" i="1" s="1"/>
  <c r="AL27" i="1"/>
  <c r="AG27" i="1"/>
  <c r="Y27" i="1"/>
  <c r="X27" i="1"/>
  <c r="W27" i="1"/>
  <c r="S27" i="1"/>
  <c r="P27" i="1"/>
  <c r="AY26" i="1"/>
  <c r="AX26" i="1"/>
  <c r="AV26" i="1"/>
  <c r="AW26" i="1" s="1"/>
  <c r="AU26" i="1"/>
  <c r="AS26" i="1" s="1"/>
  <c r="AL26" i="1"/>
  <c r="AG26" i="1"/>
  <c r="Y26" i="1"/>
  <c r="X26" i="1"/>
  <c r="W26" i="1"/>
  <c r="P26" i="1"/>
  <c r="AY25" i="1"/>
  <c r="S25" i="1" s="1"/>
  <c r="AX25" i="1"/>
  <c r="AV25" i="1"/>
  <c r="AW25" i="1" s="1"/>
  <c r="AU25" i="1"/>
  <c r="AT25" i="1"/>
  <c r="AS25" i="1"/>
  <c r="AE25" i="1" s="1"/>
  <c r="J25" i="1" s="1"/>
  <c r="AL25" i="1"/>
  <c r="AG25" i="1"/>
  <c r="AF25" i="1"/>
  <c r="I25" i="1" s="1"/>
  <c r="H25" i="1" s="1"/>
  <c r="Y25" i="1"/>
  <c r="X25" i="1"/>
  <c r="W25" i="1" s="1"/>
  <c r="P25" i="1"/>
  <c r="K25" i="1"/>
  <c r="AY24" i="1"/>
  <c r="AX24" i="1"/>
  <c r="AV24" i="1"/>
  <c r="S24" i="1" s="1"/>
  <c r="AU24" i="1"/>
  <c r="AT24" i="1"/>
  <c r="AS24" i="1"/>
  <c r="AF24" i="1" s="1"/>
  <c r="I24" i="1" s="1"/>
  <c r="H24" i="1" s="1"/>
  <c r="AL24" i="1"/>
  <c r="AG24" i="1"/>
  <c r="Y24" i="1"/>
  <c r="X24" i="1"/>
  <c r="W24" i="1" s="1"/>
  <c r="P24" i="1"/>
  <c r="N24" i="1"/>
  <c r="K24" i="1"/>
  <c r="AY23" i="1"/>
  <c r="AX23" i="1"/>
  <c r="AV23" i="1"/>
  <c r="S23" i="1" s="1"/>
  <c r="AU23" i="1"/>
  <c r="AS23" i="1" s="1"/>
  <c r="AL23" i="1"/>
  <c r="AG23" i="1"/>
  <c r="Y23" i="1"/>
  <c r="X23" i="1"/>
  <c r="W23" i="1" s="1"/>
  <c r="P23" i="1"/>
  <c r="AY22" i="1"/>
  <c r="AX22" i="1"/>
  <c r="AV22" i="1"/>
  <c r="AW22" i="1" s="1"/>
  <c r="AU22" i="1"/>
  <c r="AS22" i="1" s="1"/>
  <c r="AL22" i="1"/>
  <c r="AG22" i="1"/>
  <c r="Y22" i="1"/>
  <c r="X22" i="1"/>
  <c r="W22" i="1" s="1"/>
  <c r="P22" i="1"/>
  <c r="AY21" i="1"/>
  <c r="AX21" i="1"/>
  <c r="AV21" i="1"/>
  <c r="AW21" i="1" s="1"/>
  <c r="AU21" i="1"/>
  <c r="AT21" i="1"/>
  <c r="AS21" i="1"/>
  <c r="AE21" i="1" s="1"/>
  <c r="J21" i="1" s="1"/>
  <c r="AL21" i="1"/>
  <c r="AG21" i="1"/>
  <c r="AF21" i="1"/>
  <c r="I21" i="1" s="1"/>
  <c r="H21" i="1" s="1"/>
  <c r="Y21" i="1"/>
  <c r="X21" i="1"/>
  <c r="W21" i="1" s="1"/>
  <c r="P21" i="1"/>
  <c r="N21" i="1"/>
  <c r="K21" i="1"/>
  <c r="AY20" i="1"/>
  <c r="AX20" i="1"/>
  <c r="AV20" i="1"/>
  <c r="S20" i="1" s="1"/>
  <c r="AU20" i="1"/>
  <c r="AT20" i="1"/>
  <c r="AS20" i="1"/>
  <c r="AE20" i="1" s="1"/>
  <c r="J20" i="1" s="1"/>
  <c r="AL20" i="1"/>
  <c r="AG20" i="1"/>
  <c r="AF20" i="1"/>
  <c r="I20" i="1" s="1"/>
  <c r="H20" i="1" s="1"/>
  <c r="Y20" i="1"/>
  <c r="X20" i="1"/>
  <c r="W20" i="1" s="1"/>
  <c r="P20" i="1"/>
  <c r="N20" i="1"/>
  <c r="K20" i="1"/>
  <c r="AY19" i="1"/>
  <c r="AX19" i="1"/>
  <c r="AV19" i="1"/>
  <c r="S19" i="1" s="1"/>
  <c r="AU19" i="1"/>
  <c r="AS19" i="1" s="1"/>
  <c r="AL19" i="1"/>
  <c r="AG19" i="1"/>
  <c r="Y19" i="1"/>
  <c r="X19" i="1"/>
  <c r="W19" i="1" s="1"/>
  <c r="P19" i="1"/>
  <c r="AY18" i="1"/>
  <c r="AX18" i="1"/>
  <c r="AV18" i="1"/>
  <c r="AW18" i="1" s="1"/>
  <c r="AU18" i="1"/>
  <c r="AT18" i="1"/>
  <c r="AS18" i="1"/>
  <c r="AL18" i="1"/>
  <c r="AG18" i="1"/>
  <c r="AF18" i="1"/>
  <c r="I18" i="1" s="1"/>
  <c r="H18" i="1" s="1"/>
  <c r="AE18" i="1"/>
  <c r="Y18" i="1"/>
  <c r="X18" i="1"/>
  <c r="W18" i="1" s="1"/>
  <c r="P18" i="1"/>
  <c r="N18" i="1"/>
  <c r="K18" i="1"/>
  <c r="J18" i="1"/>
  <c r="AY17" i="1"/>
  <c r="AX17" i="1"/>
  <c r="AV17" i="1"/>
  <c r="AW17" i="1" s="1"/>
  <c r="AU17" i="1"/>
  <c r="AT17" i="1"/>
  <c r="AS17" i="1"/>
  <c r="AE17" i="1" s="1"/>
  <c r="J17" i="1" s="1"/>
  <c r="AL17" i="1"/>
  <c r="AG17" i="1"/>
  <c r="AF17" i="1"/>
  <c r="I17" i="1" s="1"/>
  <c r="H17" i="1" s="1"/>
  <c r="Y17" i="1"/>
  <c r="X17" i="1"/>
  <c r="W17" i="1" s="1"/>
  <c r="P17" i="1"/>
  <c r="N17" i="1"/>
  <c r="K17" i="1"/>
  <c r="T20" i="1" l="1"/>
  <c r="U20" i="1" s="1"/>
  <c r="AA24" i="1"/>
  <c r="AB20" i="1"/>
  <c r="T23" i="1"/>
  <c r="U23" i="1" s="1"/>
  <c r="AA28" i="1"/>
  <c r="Q28" i="1"/>
  <c r="O28" i="1" s="1"/>
  <c r="R28" i="1" s="1"/>
  <c r="L28" i="1" s="1"/>
  <c r="M28" i="1" s="1"/>
  <c r="T19" i="1"/>
  <c r="U19" i="1" s="1"/>
  <c r="AA17" i="1"/>
  <c r="AA25" i="1"/>
  <c r="T24" i="1"/>
  <c r="U24" i="1" s="1"/>
  <c r="Q24" i="1" s="1"/>
  <c r="O24" i="1" s="1"/>
  <c r="R24" i="1" s="1"/>
  <c r="L24" i="1" s="1"/>
  <c r="M24" i="1" s="1"/>
  <c r="AT23" i="1"/>
  <c r="K23" i="1"/>
  <c r="AF23" i="1"/>
  <c r="I23" i="1" s="1"/>
  <c r="H23" i="1" s="1"/>
  <c r="AE23" i="1"/>
  <c r="J23" i="1" s="1"/>
  <c r="N23" i="1"/>
  <c r="AA21" i="1"/>
  <c r="K19" i="1"/>
  <c r="AF19" i="1"/>
  <c r="I19" i="1" s="1"/>
  <c r="H19" i="1" s="1"/>
  <c r="AE19" i="1"/>
  <c r="J19" i="1" s="1"/>
  <c r="AT19" i="1"/>
  <c r="N19" i="1"/>
  <c r="AA20" i="1"/>
  <c r="Q20" i="1"/>
  <c r="O20" i="1" s="1"/>
  <c r="R20" i="1" s="1"/>
  <c r="L20" i="1" s="1"/>
  <c r="M20" i="1" s="1"/>
  <c r="AA18" i="1"/>
  <c r="AE26" i="1"/>
  <c r="J26" i="1" s="1"/>
  <c r="N26" i="1"/>
  <c r="AT26" i="1"/>
  <c r="K26" i="1"/>
  <c r="AF26" i="1"/>
  <c r="I26" i="1" s="1"/>
  <c r="H26" i="1" s="1"/>
  <c r="AF29" i="1"/>
  <c r="I29" i="1" s="1"/>
  <c r="H29" i="1" s="1"/>
  <c r="AE29" i="1"/>
  <c r="J29" i="1" s="1"/>
  <c r="N29" i="1"/>
  <c r="AT29" i="1"/>
  <c r="K29" i="1"/>
  <c r="T25" i="1"/>
  <c r="U25" i="1" s="1"/>
  <c r="AE22" i="1"/>
  <c r="J22" i="1" s="1"/>
  <c r="N22" i="1"/>
  <c r="AT22" i="1"/>
  <c r="K22" i="1"/>
  <c r="AF22" i="1"/>
  <c r="I22" i="1" s="1"/>
  <c r="H22" i="1" s="1"/>
  <c r="AT27" i="1"/>
  <c r="K27" i="1"/>
  <c r="AF27" i="1"/>
  <c r="I27" i="1" s="1"/>
  <c r="H27" i="1" s="1"/>
  <c r="AE27" i="1"/>
  <c r="J27" i="1" s="1"/>
  <c r="N27" i="1"/>
  <c r="T28" i="1"/>
  <c r="U28" i="1" s="1"/>
  <c r="AT28" i="1"/>
  <c r="S17" i="1"/>
  <c r="AW19" i="1"/>
  <c r="S21" i="1"/>
  <c r="AW23" i="1"/>
  <c r="S29" i="1"/>
  <c r="N28" i="1"/>
  <c r="S18" i="1"/>
  <c r="AW20" i="1"/>
  <c r="S22" i="1"/>
  <c r="AE24" i="1"/>
  <c r="J24" i="1" s="1"/>
  <c r="AW24" i="1"/>
  <c r="S26" i="1"/>
  <c r="AE28" i="1"/>
  <c r="J28" i="1" s="1"/>
  <c r="N25" i="1"/>
  <c r="AA26" i="1" l="1"/>
  <c r="T17" i="1"/>
  <c r="U17" i="1" s="1"/>
  <c r="AC19" i="1"/>
  <c r="V19" i="1"/>
  <c r="Z19" i="1" s="1"/>
  <c r="AB19" i="1"/>
  <c r="V28" i="1"/>
  <c r="Z28" i="1" s="1"/>
  <c r="AC28" i="1"/>
  <c r="AA23" i="1"/>
  <c r="Q23" i="1"/>
  <c r="O23" i="1" s="1"/>
  <c r="R23" i="1" s="1"/>
  <c r="L23" i="1" s="1"/>
  <c r="M23" i="1" s="1"/>
  <c r="T26" i="1"/>
  <c r="U26" i="1" s="1"/>
  <c r="AC23" i="1"/>
  <c r="AB23" i="1"/>
  <c r="V23" i="1"/>
  <c r="Z23" i="1" s="1"/>
  <c r="T21" i="1"/>
  <c r="U21" i="1" s="1"/>
  <c r="T27" i="1"/>
  <c r="U27" i="1" s="1"/>
  <c r="AA27" i="1"/>
  <c r="Q27" i="1"/>
  <c r="O27" i="1" s="1"/>
  <c r="R27" i="1" s="1"/>
  <c r="L27" i="1" s="1"/>
  <c r="M27" i="1" s="1"/>
  <c r="AA29" i="1"/>
  <c r="V24" i="1"/>
  <c r="Z24" i="1" s="1"/>
  <c r="AC24" i="1"/>
  <c r="V25" i="1"/>
  <c r="Z25" i="1" s="1"/>
  <c r="AC25" i="1"/>
  <c r="T22" i="1"/>
  <c r="U22" i="1" s="1"/>
  <c r="AB25" i="1"/>
  <c r="AB24" i="1"/>
  <c r="AA22" i="1"/>
  <c r="V20" i="1"/>
  <c r="Z20" i="1" s="1"/>
  <c r="AC20" i="1"/>
  <c r="AD20" i="1" s="1"/>
  <c r="T18" i="1"/>
  <c r="U18" i="1" s="1"/>
  <c r="Q25" i="1"/>
  <c r="O25" i="1" s="1"/>
  <c r="R25" i="1" s="1"/>
  <c r="L25" i="1" s="1"/>
  <c r="M25" i="1" s="1"/>
  <c r="T29" i="1"/>
  <c r="U29" i="1" s="1"/>
  <c r="Q29" i="1" s="1"/>
  <c r="O29" i="1" s="1"/>
  <c r="R29" i="1" s="1"/>
  <c r="L29" i="1" s="1"/>
  <c r="M29" i="1" s="1"/>
  <c r="AA19" i="1"/>
  <c r="Q19" i="1"/>
  <c r="O19" i="1" s="1"/>
  <c r="R19" i="1" s="1"/>
  <c r="L19" i="1" s="1"/>
  <c r="M19" i="1" s="1"/>
  <c r="AB28" i="1"/>
  <c r="AD19" i="1" l="1"/>
  <c r="AD23" i="1"/>
  <c r="AC18" i="1"/>
  <c r="AB18" i="1"/>
  <c r="V18" i="1"/>
  <c r="Z18" i="1" s="1"/>
  <c r="Q18" i="1"/>
  <c r="O18" i="1" s="1"/>
  <c r="R18" i="1" s="1"/>
  <c r="L18" i="1" s="1"/>
  <c r="M18" i="1" s="1"/>
  <c r="V17" i="1"/>
  <c r="Z17" i="1" s="1"/>
  <c r="AC17" i="1"/>
  <c r="AD17" i="1" s="1"/>
  <c r="AB17" i="1"/>
  <c r="Q17" i="1"/>
  <c r="O17" i="1" s="1"/>
  <c r="R17" i="1" s="1"/>
  <c r="L17" i="1" s="1"/>
  <c r="M17" i="1" s="1"/>
  <c r="V22" i="1"/>
  <c r="Z22" i="1" s="1"/>
  <c r="AC22" i="1"/>
  <c r="AB22" i="1"/>
  <c r="V26" i="1"/>
  <c r="Z26" i="1" s="1"/>
  <c r="AC26" i="1"/>
  <c r="AB26" i="1"/>
  <c r="AD25" i="1"/>
  <c r="V21" i="1"/>
  <c r="Z21" i="1" s="1"/>
  <c r="AC21" i="1"/>
  <c r="AB21" i="1"/>
  <c r="Q21" i="1"/>
  <c r="O21" i="1" s="1"/>
  <c r="R21" i="1" s="1"/>
  <c r="L21" i="1" s="1"/>
  <c r="M21" i="1" s="1"/>
  <c r="Q26" i="1"/>
  <c r="O26" i="1" s="1"/>
  <c r="R26" i="1" s="1"/>
  <c r="L26" i="1" s="1"/>
  <c r="M26" i="1" s="1"/>
  <c r="V29" i="1"/>
  <c r="Z29" i="1" s="1"/>
  <c r="AC29" i="1"/>
  <c r="AD29" i="1" s="1"/>
  <c r="AB29" i="1"/>
  <c r="AC27" i="1"/>
  <c r="V27" i="1"/>
  <c r="Z27" i="1" s="1"/>
  <c r="AB27" i="1"/>
  <c r="Q22" i="1"/>
  <c r="O22" i="1" s="1"/>
  <c r="R22" i="1" s="1"/>
  <c r="L22" i="1" s="1"/>
  <c r="M22" i="1" s="1"/>
  <c r="AD24" i="1"/>
  <c r="AD28" i="1"/>
  <c r="AD22" i="1" l="1"/>
  <c r="AD21" i="1"/>
  <c r="AD18" i="1"/>
  <c r="AD26" i="1"/>
  <c r="AD27" i="1"/>
</calcChain>
</file>

<file path=xl/sharedStrings.xml><?xml version="1.0" encoding="utf-8"?>
<sst xmlns="http://schemas.openxmlformats.org/spreadsheetml/2006/main" count="818" uniqueCount="370">
  <si>
    <t>File opened</t>
  </si>
  <si>
    <t>2025-08-19 12:13:13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</si>
  <si>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</si>
  <si>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</si>
  <si>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</si>
  <si>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</si>
  <si>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</si>
  <si>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</si>
  <si>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</si>
  <si>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</si>
  <si>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</si>
  <si>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</si>
  <si>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</si>
  <si>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</si>
  <si>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</si>
  <si>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</si>
  <si>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</si>
  <si>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</si>
  <si>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</si>
  <si>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</si>
  <si>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</si>
  <si>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</si>
  <si>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</si>
  <si>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</si>
  <si>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</si>
  <si>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</si>
  <si>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</si>
  <si>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</si>
  <si>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12:13:13</t>
  </si>
  <si>
    <t>Stability Definition:	F (FlrLS): Per=20	ΔH2O (Meas2): Slp&lt;0.1 Per=20	ΔCO2 (Meas2): Slp&lt;0.5 Per=20</t>
  </si>
  <si>
    <t>12:13:18</t>
  </si>
  <si>
    <t>Config file loaded: 18 topics from file /home/licor/configs/Tinko/configs aci curve</t>
  </si>
  <si>
    <t>12:13:19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</si>
  <si>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</si>
  <si>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</si>
  <si>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</si>
  <si>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</si>
  <si>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</si>
  <si>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</si>
  <si>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</si>
  <si>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</si>
  <si>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</si>
  <si>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</si>
  <si>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</si>
  <si>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</si>
  <si>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</si>
  <si>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</si>
  <si>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</si>
  <si>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</si>
  <si>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</si>
  <si>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</si>
  <si>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</si>
  <si>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</si>
  <si>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</si>
  <si>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</si>
  <si>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</si>
  <si>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</si>
  <si>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</si>
  <si>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</si>
  <si>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</si>
  <si>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</si>
  <si>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</si>
  <si>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</si>
  <si>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</si>
  <si>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</si>
  <si>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</si>
  <si>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</si>
  <si>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</si>
  <si>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</si>
  <si>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</si>
  <si>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</si>
  <si>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</si>
  <si>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</si>
  <si>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</si>
  <si>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</si>
  <si>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</si>
  <si>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</si>
  <si>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</si>
  <si>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</si>
  <si>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</si>
  <si>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</si>
  <si>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</si>
  <si>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</si>
  <si>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3.37377 165.555 342.782 585.927 854.02 1048.76 1298.78 1488.36</t>
  </si>
  <si>
    <t>Fs_true</t>
  </si>
  <si>
    <t>0.323818 203.11 385.546 593.936 806.114 1001.28 1201.56 1400.57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</si>
  <si>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</si>
  <si>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</si>
  <si>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</si>
  <si>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</si>
  <si>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</si>
  <si>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</si>
  <si>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</si>
  <si>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</si>
  <si>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</si>
  <si>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</si>
  <si>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</si>
  <si>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</si>
  <si>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</si>
  <si>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</si>
  <si>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</si>
  <si>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</si>
  <si>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</si>
  <si>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</si>
  <si>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</si>
  <si>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</si>
  <si>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</si>
  <si>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</si>
  <si>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</si>
  <si>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</si>
  <si>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</si>
  <si>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</si>
  <si>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</si>
  <si>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</si>
  <si>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</si>
  <si>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</si>
  <si>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</si>
  <si>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</si>
  <si>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</si>
  <si>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</si>
  <si>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</si>
  <si>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</si>
  <si>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</si>
  <si>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</si>
  <si>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</si>
  <si>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</si>
  <si>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</si>
  <si>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</si>
  <si>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</si>
  <si>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</si>
  <si>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</si>
  <si>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</si>
  <si>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</si>
  <si>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</si>
  <si>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</si>
  <si>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</si>
  <si>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</si>
  <si>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</si>
  <si>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</si>
  <si>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</si>
  <si>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</si>
  <si>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</si>
  <si>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</si>
  <si>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</si>
  <si>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</si>
  <si>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</si>
  <si>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</si>
  <si>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</si>
  <si>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</si>
  <si>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</si>
  <si>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</si>
  <si>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</si>
  <si>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</si>
  <si>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</si>
  <si>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</si>
  <si>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</si>
  <si>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</si>
  <si>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</si>
  <si>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</si>
  <si>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</si>
  <si>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</si>
  <si>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</si>
  <si>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</si>
  <si>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</si>
  <si>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</si>
  <si>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</si>
  <si>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</si>
  <si>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</si>
  <si>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</si>
  <si>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</si>
  <si>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</si>
  <si>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</si>
  <si>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</si>
  <si>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</si>
  <si>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</si>
  <si>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</si>
  <si>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</si>
  <si>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</si>
  <si>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</si>
  <si>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</si>
  <si>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</si>
  <si>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</si>
  <si>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</si>
  <si>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</si>
  <si>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</si>
  <si>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</si>
  <si>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</si>
  <si>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</si>
  <si>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</si>
  <si>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</si>
  <si>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</si>
  <si>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</si>
  <si>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</si>
  <si>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</si>
  <si>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</si>
  <si>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</si>
  <si>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</si>
  <si>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</si>
  <si>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</si>
  <si>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</si>
  <si>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</si>
  <si>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</si>
  <si>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</si>
  <si>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</si>
  <si>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</si>
  <si>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</si>
  <si>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</si>
  <si>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</si>
  <si>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</si>
  <si>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</si>
  <si>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</si>
  <si>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</si>
  <si>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</si>
  <si>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</si>
  <si>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</si>
  <si>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</si>
  <si>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</si>
  <si>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</si>
  <si>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</si>
  <si>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</si>
  <si>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</si>
  <si>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</si>
  <si>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</si>
  <si>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</si>
  <si>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</si>
  <si>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</si>
  <si>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</si>
  <si>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</si>
  <si>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</si>
  <si>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</si>
  <si>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</si>
  <si>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</si>
  <si>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</si>
  <si>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</si>
  <si>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</si>
  <si>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</si>
  <si>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</si>
  <si>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</si>
  <si>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</si>
  <si>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</si>
  <si>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</si>
  <si>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</si>
  <si>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</si>
  <si>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</si>
  <si>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</si>
  <si>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</si>
  <si>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</si>
  <si>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</si>
  <si>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</si>
  <si>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</si>
  <si>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</si>
  <si>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</si>
  <si>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</si>
  <si>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</si>
  <si>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</si>
  <si>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</si>
  <si>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</si>
  <si>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</si>
  <si>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</si>
  <si>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</si>
  <si>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</si>
  <si>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</si>
  <si>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</si>
  <si>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</si>
  <si>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</si>
  <si>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</si>
  <si>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</si>
  <si>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</si>
  <si>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</si>
  <si>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</si>
  <si>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</si>
  <si>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</si>
  <si>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</si>
  <si>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</si>
  <si>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</si>
  <si>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</si>
  <si>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</si>
  <si>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</si>
  <si>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</si>
  <si>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</si>
  <si>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</si>
  <si>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</si>
  <si>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</si>
  <si>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</si>
  <si>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</si>
  <si>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</si>
  <si>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</si>
  <si>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</si>
  <si>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</si>
  <si>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</si>
  <si>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</si>
  <si>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</si>
  <si>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</si>
  <si>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</si>
  <si>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</si>
  <si>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</si>
  <si>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</si>
  <si>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</si>
  <si>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</si>
  <si>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</si>
  <si>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</si>
  <si>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</si>
  <si>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</si>
  <si>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</si>
  <si>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</si>
  <si>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</si>
  <si>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</si>
  <si>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</si>
  <si>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</si>
  <si>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</si>
  <si>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</si>
  <si>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</si>
  <si>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</si>
  <si>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</si>
  <si>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</si>
  <si>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</si>
  <si>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</si>
  <si>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</si>
  <si>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</si>
  <si>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</si>
  <si>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</si>
  <si>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</si>
  <si>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</si>
  <si>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</si>
  <si>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</si>
  <si>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</si>
  <si>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</si>
  <si>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</si>
  <si>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</si>
  <si>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</si>
  <si>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</si>
  <si>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</si>
  <si>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</si>
  <si>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</si>
  <si>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</si>
  <si>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</si>
  <si>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</si>
  <si>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20250819 12:44:54</t>
  </si>
  <si>
    <t>12:44:54</t>
  </si>
  <si>
    <t>0: Broadleaf</t>
  </si>
  <si>
    <t>12:41:19</t>
  </si>
  <si>
    <t>2/2</t>
  </si>
  <si>
    <t>11111111</t>
  </si>
  <si>
    <t>oooooooo</t>
  </si>
  <si>
    <t>on</t>
  </si>
  <si>
    <t>20250819 12:47:55</t>
  </si>
  <si>
    <t>12:47:55</t>
  </si>
  <si>
    <t>20250819 12:50:55</t>
  </si>
  <si>
    <t>12:50:55</t>
  </si>
  <si>
    <t>20250819 12:53:56</t>
  </si>
  <si>
    <t>12:53:56</t>
  </si>
  <si>
    <t>20250819 12:56:56</t>
  </si>
  <si>
    <t>12:56:56</t>
  </si>
  <si>
    <t>20250819 12:59:57</t>
  </si>
  <si>
    <t>12:59:57</t>
  </si>
  <si>
    <t>1/2</t>
  </si>
  <si>
    <t>20250819 13:02:57</t>
  </si>
  <si>
    <t>13:02:57</t>
  </si>
  <si>
    <t>20250819 13:05:58</t>
  </si>
  <si>
    <t>13:05:58</t>
  </si>
  <si>
    <t>20250819 13:08:59</t>
  </si>
  <si>
    <t>13:08:59</t>
  </si>
  <si>
    <t>20250819 13:11:59</t>
  </si>
  <si>
    <t>13:11:59</t>
  </si>
  <si>
    <t>20250819 13:15:00</t>
  </si>
  <si>
    <t>13:15:00</t>
  </si>
  <si>
    <t>20250819 13:18:00</t>
  </si>
  <si>
    <t>13:18:00</t>
  </si>
  <si>
    <t>20250819 13:21:01</t>
  </si>
  <si>
    <t>13:21:01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</si>
</sst>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N13" workbookViewId="0">
      <selection activeCell="BD15" sqref="BD15"/>
    </sheetView>
  </sheetViews>
  <sheetFormatPr defaultRowHeight="14.4" x14ac:dyDescent="0.3"/>
  <sheetData>
    <row r="2" spans="1:210" x14ac:dyDescent="0.3">
      <c r="A2" t="s">
        <v>33</v>
      </c>
      <c r="B2" t="s">
        <v>34</v>
      </c>
      <c r="C2" t="s">
        <v>35</v>
      </c>
    </row>
    <row r="3" spans="1:210" x14ac:dyDescent="0.3">
      <c r="B3">
        <v>5</v>
      </c>
      <c r="C3">
        <v>21</v>
      </c>
    </row>
    <row r="4" spans="1:210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0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1.5</v>
      </c>
    </row>
    <row r="14" spans="1:210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96</v>
      </c>
      <c r="CU14" t="s">
        <v>96</v>
      </c>
      <c r="CV14" t="s">
        <v>96</v>
      </c>
      <c r="CW14" t="s">
        <v>96</v>
      </c>
      <c r="CX14" t="s">
        <v>96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97</v>
      </c>
      <c r="DJ14" t="s">
        <v>97</v>
      </c>
      <c r="DK14" t="s">
        <v>97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98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</row>
    <row r="15" spans="1:210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133</v>
      </c>
      <c r="AF15" t="s">
        <v>134</v>
      </c>
      <c r="AG15" t="s">
        <v>135</v>
      </c>
      <c r="AH15" t="s">
        <v>136</v>
      </c>
      <c r="AI15" t="s">
        <v>137</v>
      </c>
      <c r="AJ15" t="s">
        <v>138</v>
      </c>
      <c r="AK15" t="s">
        <v>139</v>
      </c>
      <c r="AL15" t="s">
        <v>140</v>
      </c>
      <c r="AM15" t="s">
        <v>141</v>
      </c>
      <c r="AN15" t="s">
        <v>142</v>
      </c>
      <c r="AO15" t="s">
        <v>143</v>
      </c>
      <c r="AP15" t="s">
        <v>144</v>
      </c>
      <c r="AQ15" t="s">
        <v>90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109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104</v>
      </c>
      <c r="CH15" t="s">
        <v>107</v>
      </c>
      <c r="CI15" t="s">
        <v>185</v>
      </c>
      <c r="CJ15" t="s">
        <v>186</v>
      </c>
      <c r="CK15" t="s">
        <v>187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245</v>
      </c>
      <c r="ER15" t="s">
        <v>246</v>
      </c>
      <c r="ES15" t="s">
        <v>247</v>
      </c>
      <c r="ET15" t="s">
        <v>248</v>
      </c>
      <c r="EU15" t="s">
        <v>249</v>
      </c>
      <c r="EV15" t="s">
        <v>250</v>
      </c>
      <c r="EW15" t="s">
        <v>251</v>
      </c>
      <c r="EX15" t="s">
        <v>252</v>
      </c>
      <c r="EY15" t="s">
        <v>253</v>
      </c>
      <c r="EZ15" t="s">
        <v>254</v>
      </c>
      <c r="FA15" t="s">
        <v>255</v>
      </c>
      <c r="FB15" t="s">
        <v>256</v>
      </c>
      <c r="FC15" t="s">
        <v>257</v>
      </c>
      <c r="FD15" t="s">
        <v>258</v>
      </c>
      <c r="FE15" t="s">
        <v>259</v>
      </c>
      <c r="FF15" t="s">
        <v>260</v>
      </c>
      <c r="FG15" t="s">
        <v>261</v>
      </c>
      <c r="FH15" t="s">
        <v>262</v>
      </c>
      <c r="FI15" t="s">
        <v>263</v>
      </c>
      <c r="FJ15" t="s">
        <v>264</v>
      </c>
      <c r="FK15" t="s">
        <v>265</v>
      </c>
      <c r="FL15" t="s">
        <v>266</v>
      </c>
      <c r="FM15" t="s">
        <v>267</v>
      </c>
      <c r="FN15" t="s">
        <v>268</v>
      </c>
      <c r="FO15" t="s">
        <v>269</v>
      </c>
      <c r="FP15" t="s">
        <v>270</v>
      </c>
      <c r="FQ15" t="s">
        <v>271</v>
      </c>
      <c r="FR15" t="s">
        <v>272</v>
      </c>
      <c r="FS15" t="s">
        <v>273</v>
      </c>
      <c r="FT15" t="s">
        <v>274</v>
      </c>
      <c r="FU15" t="s">
        <v>275</v>
      </c>
      <c r="FV15" t="s">
        <v>276</v>
      </c>
      <c r="FW15" t="s">
        <v>277</v>
      </c>
      <c r="FX15" t="s">
        <v>278</v>
      </c>
      <c r="FY15" t="s">
        <v>279</v>
      </c>
      <c r="FZ15" t="s">
        <v>280</v>
      </c>
      <c r="GA15" t="s">
        <v>281</v>
      </c>
      <c r="GB15" t="s">
        <v>282</v>
      </c>
      <c r="GC15" t="s">
        <v>283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289</v>
      </c>
      <c r="GJ15" t="s">
        <v>290</v>
      </c>
      <c r="GK15" t="s">
        <v>291</v>
      </c>
      <c r="GL15" t="s">
        <v>292</v>
      </c>
      <c r="GM15" t="s">
        <v>293</v>
      </c>
      <c r="GN15" t="s">
        <v>294</v>
      </c>
      <c r="GO15" t="s">
        <v>295</v>
      </c>
      <c r="GP15" t="s">
        <v>296</v>
      </c>
      <c r="GQ15" t="s">
        <v>297</v>
      </c>
      <c r="GR15" t="s">
        <v>298</v>
      </c>
      <c r="GS15" t="s">
        <v>299</v>
      </c>
      <c r="GT15" t="s">
        <v>300</v>
      </c>
      <c r="GU15" t="s">
        <v>301</v>
      </c>
      <c r="GV15" t="s">
        <v>302</v>
      </c>
      <c r="GW15" t="s">
        <v>303</v>
      </c>
      <c r="GX15" t="s">
        <v>304</v>
      </c>
      <c r="GY15" t="s">
        <v>305</v>
      </c>
      <c r="GZ15" t="s">
        <v>306</v>
      </c>
      <c r="HA15" t="s">
        <v>307</v>
      </c>
      <c r="HB15" t="s">
        <v>308</v>
      </c>
    </row>
    <row r="16" spans="1:210" x14ac:dyDescent="0.3">
      <c r="B16" t="s">
        <v>309</v>
      </c>
      <c r="C16" t="s">
        <v>309</v>
      </c>
      <c r="F16" t="s">
        <v>309</v>
      </c>
      <c r="G16" t="s">
        <v>309</v>
      </c>
      <c r="H16" t="s">
        <v>310</v>
      </c>
      <c r="I16" t="s">
        <v>311</v>
      </c>
      <c r="J16" t="s">
        <v>312</v>
      </c>
      <c r="K16" t="s">
        <v>313</v>
      </c>
      <c r="L16" t="s">
        <v>313</v>
      </c>
      <c r="M16" t="s">
        <v>165</v>
      </c>
      <c r="N16" t="s">
        <v>165</v>
      </c>
      <c r="O16" t="s">
        <v>310</v>
      </c>
      <c r="P16" t="s">
        <v>310</v>
      </c>
      <c r="Q16" t="s">
        <v>310</v>
      </c>
      <c r="R16" t="s">
        <v>310</v>
      </c>
      <c r="S16" t="s">
        <v>314</v>
      </c>
      <c r="T16" t="s">
        <v>315</v>
      </c>
      <c r="U16" t="s">
        <v>315</v>
      </c>
      <c r="V16" t="s">
        <v>316</v>
      </c>
      <c r="W16" t="s">
        <v>317</v>
      </c>
      <c r="X16" t="s">
        <v>316</v>
      </c>
      <c r="Y16" t="s">
        <v>316</v>
      </c>
      <c r="Z16" t="s">
        <v>316</v>
      </c>
      <c r="AA16" t="s">
        <v>314</v>
      </c>
      <c r="AB16" t="s">
        <v>314</v>
      </c>
      <c r="AC16" t="s">
        <v>314</v>
      </c>
      <c r="AD16" t="s">
        <v>314</v>
      </c>
      <c r="AE16" t="s">
        <v>312</v>
      </c>
      <c r="AF16" t="s">
        <v>311</v>
      </c>
      <c r="AG16" t="s">
        <v>312</v>
      </c>
      <c r="AH16" t="s">
        <v>313</v>
      </c>
      <c r="AI16" t="s">
        <v>313</v>
      </c>
      <c r="AJ16" t="s">
        <v>318</v>
      </c>
      <c r="AK16" t="s">
        <v>319</v>
      </c>
      <c r="AL16" t="s">
        <v>311</v>
      </c>
      <c r="AM16" t="s">
        <v>320</v>
      </c>
      <c r="AN16" t="s">
        <v>320</v>
      </c>
      <c r="AO16" t="s">
        <v>321</v>
      </c>
      <c r="AP16" t="s">
        <v>319</v>
      </c>
      <c r="AQ16" t="s">
        <v>322</v>
      </c>
      <c r="AR16" t="s">
        <v>317</v>
      </c>
      <c r="AT16" t="s">
        <v>317</v>
      </c>
      <c r="AU16" t="s">
        <v>322</v>
      </c>
      <c r="AV16" t="s">
        <v>312</v>
      </c>
      <c r="AW16" t="s">
        <v>312</v>
      </c>
      <c r="AY16" t="s">
        <v>323</v>
      </c>
      <c r="AZ16" t="s">
        <v>324</v>
      </c>
      <c r="BC16" t="s">
        <v>310</v>
      </c>
      <c r="BE16" t="s">
        <v>309</v>
      </c>
      <c r="BF16" t="s">
        <v>313</v>
      </c>
      <c r="BG16" t="s">
        <v>313</v>
      </c>
      <c r="BH16" t="s">
        <v>320</v>
      </c>
      <c r="BI16" t="s">
        <v>320</v>
      </c>
      <c r="BJ16" t="s">
        <v>313</v>
      </c>
      <c r="BK16" t="s">
        <v>320</v>
      </c>
      <c r="BL16" t="s">
        <v>322</v>
      </c>
      <c r="BM16" t="s">
        <v>316</v>
      </c>
      <c r="BN16" t="s">
        <v>316</v>
      </c>
      <c r="BO16" t="s">
        <v>315</v>
      </c>
      <c r="BP16" t="s">
        <v>315</v>
      </c>
      <c r="BQ16" t="s">
        <v>315</v>
      </c>
      <c r="BR16" t="s">
        <v>315</v>
      </c>
      <c r="BS16" t="s">
        <v>315</v>
      </c>
      <c r="BT16" t="s">
        <v>325</v>
      </c>
      <c r="BU16" t="s">
        <v>312</v>
      </c>
      <c r="BV16" t="s">
        <v>312</v>
      </c>
      <c r="BW16" t="s">
        <v>313</v>
      </c>
      <c r="BX16" t="s">
        <v>313</v>
      </c>
      <c r="BY16" t="s">
        <v>313</v>
      </c>
      <c r="BZ16" t="s">
        <v>320</v>
      </c>
      <c r="CA16" t="s">
        <v>313</v>
      </c>
      <c r="CB16" t="s">
        <v>320</v>
      </c>
      <c r="CC16" t="s">
        <v>316</v>
      </c>
      <c r="CD16" t="s">
        <v>316</v>
      </c>
      <c r="CE16" t="s">
        <v>315</v>
      </c>
      <c r="CF16" t="s">
        <v>315</v>
      </c>
      <c r="CG16" t="s">
        <v>326</v>
      </c>
      <c r="CI16" t="s">
        <v>309</v>
      </c>
      <c r="CJ16" t="s">
        <v>309</v>
      </c>
      <c r="CL16" t="s">
        <v>327</v>
      </c>
      <c r="CM16" t="s">
        <v>328</v>
      </c>
      <c r="CN16" t="s">
        <v>327</v>
      </c>
      <c r="CO16" t="s">
        <v>328</v>
      </c>
      <c r="CP16" t="s">
        <v>327</v>
      </c>
      <c r="CQ16" t="s">
        <v>328</v>
      </c>
      <c r="CR16" t="s">
        <v>317</v>
      </c>
      <c r="CS16" t="s">
        <v>317</v>
      </c>
      <c r="CT16" t="s">
        <v>313</v>
      </c>
      <c r="CU16" t="s">
        <v>329</v>
      </c>
      <c r="CV16" t="s">
        <v>313</v>
      </c>
      <c r="CY16" t="s">
        <v>330</v>
      </c>
      <c r="DB16" t="s">
        <v>320</v>
      </c>
      <c r="DC16" t="s">
        <v>331</v>
      </c>
      <c r="DD16" t="s">
        <v>320</v>
      </c>
      <c r="DI16" t="s">
        <v>332</v>
      </c>
      <c r="DJ16" t="s">
        <v>332</v>
      </c>
      <c r="DW16" t="s">
        <v>332</v>
      </c>
      <c r="DX16" t="s">
        <v>332</v>
      </c>
      <c r="DY16" t="s">
        <v>333</v>
      </c>
      <c r="DZ16" t="s">
        <v>333</v>
      </c>
      <c r="EA16" t="s">
        <v>315</v>
      </c>
      <c r="EB16" t="s">
        <v>315</v>
      </c>
      <c r="EC16" t="s">
        <v>317</v>
      </c>
      <c r="ED16" t="s">
        <v>315</v>
      </c>
      <c r="EE16" t="s">
        <v>320</v>
      </c>
      <c r="EF16" t="s">
        <v>317</v>
      </c>
      <c r="EG16" t="s">
        <v>317</v>
      </c>
      <c r="EI16" t="s">
        <v>332</v>
      </c>
      <c r="EJ16" t="s">
        <v>332</v>
      </c>
      <c r="EK16" t="s">
        <v>332</v>
      </c>
      <c r="EL16" t="s">
        <v>332</v>
      </c>
      <c r="EM16" t="s">
        <v>332</v>
      </c>
      <c r="EN16" t="s">
        <v>332</v>
      </c>
      <c r="EO16" t="s">
        <v>332</v>
      </c>
      <c r="EP16" t="s">
        <v>334</v>
      </c>
      <c r="EQ16" t="s">
        <v>334</v>
      </c>
      <c r="ER16" t="s">
        <v>334</v>
      </c>
      <c r="ES16" t="s">
        <v>335</v>
      </c>
      <c r="ET16" t="s">
        <v>332</v>
      </c>
      <c r="EU16" t="s">
        <v>332</v>
      </c>
      <c r="EV16" t="s">
        <v>332</v>
      </c>
      <c r="EW16" t="s">
        <v>332</v>
      </c>
      <c r="EX16" t="s">
        <v>332</v>
      </c>
      <c r="EY16" t="s">
        <v>332</v>
      </c>
      <c r="EZ16" t="s">
        <v>332</v>
      </c>
      <c r="FA16" t="s">
        <v>332</v>
      </c>
      <c r="FB16" t="s">
        <v>332</v>
      </c>
      <c r="FC16" t="s">
        <v>332</v>
      </c>
      <c r="FD16" t="s">
        <v>332</v>
      </c>
      <c r="FE16" t="s">
        <v>332</v>
      </c>
      <c r="FL16" t="s">
        <v>332</v>
      </c>
      <c r="FM16" t="s">
        <v>317</v>
      </c>
      <c r="FN16" t="s">
        <v>317</v>
      </c>
      <c r="FO16" t="s">
        <v>327</v>
      </c>
      <c r="FP16" t="s">
        <v>328</v>
      </c>
      <c r="FQ16" t="s">
        <v>327</v>
      </c>
      <c r="FU16" t="s">
        <v>328</v>
      </c>
      <c r="FY16" t="s">
        <v>313</v>
      </c>
      <c r="FZ16" t="s">
        <v>313</v>
      </c>
      <c r="GA16" t="s">
        <v>320</v>
      </c>
      <c r="GB16" t="s">
        <v>320</v>
      </c>
      <c r="GC16" t="s">
        <v>336</v>
      </c>
      <c r="GD16" t="s">
        <v>336</v>
      </c>
      <c r="GE16" t="s">
        <v>332</v>
      </c>
      <c r="GF16" t="s">
        <v>332</v>
      </c>
      <c r="GG16" t="s">
        <v>332</v>
      </c>
      <c r="GH16" t="s">
        <v>332</v>
      </c>
      <c r="GI16" t="s">
        <v>332</v>
      </c>
      <c r="GJ16" t="s">
        <v>332</v>
      </c>
      <c r="GK16" t="s">
        <v>315</v>
      </c>
      <c r="GL16" t="s">
        <v>332</v>
      </c>
      <c r="GN16" t="s">
        <v>322</v>
      </c>
      <c r="GO16" t="s">
        <v>322</v>
      </c>
      <c r="GP16" t="s">
        <v>315</v>
      </c>
      <c r="GQ16" t="s">
        <v>315</v>
      </c>
      <c r="GR16" t="s">
        <v>315</v>
      </c>
      <c r="GS16" t="s">
        <v>315</v>
      </c>
      <c r="GT16" t="s">
        <v>315</v>
      </c>
      <c r="GU16" t="s">
        <v>317</v>
      </c>
      <c r="GV16" t="s">
        <v>317</v>
      </c>
      <c r="GW16" t="s">
        <v>317</v>
      </c>
      <c r="GX16" t="s">
        <v>315</v>
      </c>
      <c r="GY16" t="s">
        <v>313</v>
      </c>
      <c r="GZ16" t="s">
        <v>320</v>
      </c>
      <c r="HA16" t="s">
        <v>317</v>
      </c>
      <c r="HB16" t="s">
        <v>317</v>
      </c>
    </row>
    <row r="17" spans="1:210" x14ac:dyDescent="0.3">
      <c r="A17">
        <v>1</v>
      </c>
      <c r="B17">
        <v>1755600294.5999999</v>
      </c>
      <c r="C17">
        <v>0</v>
      </c>
      <c r="D17" t="s">
        <v>337</v>
      </c>
      <c r="E17" t="s">
        <v>338</v>
      </c>
      <c r="F17">
        <v>15</v>
      </c>
      <c r="G17">
        <v>1755600286.849999</v>
      </c>
      <c r="H17">
        <f t="shared" ref="H17:H29" si="0">(I17)/1000</f>
        <v>3.6401071179857146E-3</v>
      </c>
      <c r="I17">
        <f t="shared" ref="I17:I29" si="1">IF(BD17, AL17, AF17)</f>
        <v>3.6401071179857145</v>
      </c>
      <c r="J17">
        <f t="shared" ref="J17:J29" si="2">IF(BD17, AG17, AE17)</f>
        <v>33.241002519947465</v>
      </c>
      <c r="K17">
        <f t="shared" ref="K17:K29" si="3">BF17 - IF(AS17&gt;1, J17*AZ17*100/(AU17), 0)</f>
        <v>372.16880000000009</v>
      </c>
      <c r="L17">
        <f t="shared" ref="L17:L29" si="4">((R17-H17/2)*K17-J17)/(R17+H17/2)</f>
        <v>287.37882166272794</v>
      </c>
      <c r="M17">
        <f t="shared" ref="M17:M29" si="5">L17*(BM17+BN17)/1000</f>
        <v>29.172527322494055</v>
      </c>
      <c r="N17">
        <f t="shared" ref="N17:N29" si="6">(BF17 - IF(AS17&gt;1, J17*AZ17*100/(AU17), 0))*(BM17+BN17)/1000</f>
        <v>37.779765480846351</v>
      </c>
      <c r="O17">
        <f t="shared" ref="O17:O29" si="7">2/((1/Q17-1/P17)+SIGN(Q17)*SQRT((1/Q17-1/P17)*(1/Q17-1/P17) + 4*BA17/((BA17+1)*(BA17+1))*(2*1/Q17*1/P17-1/P17*1/P17)))</f>
        <v>0.73519077592195181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2.4180205135859301</v>
      </c>
      <c r="Q17">
        <f t="shared" ref="Q17:Q29" si="9">H17*(1000-(1000*0.61365*EXP(17.502*U17/(240.97+U17))/(BM17+BN17)+BH17)/2)/(1000*0.61365*EXP(17.502*U17/(240.97+U17))/(BM17+BN17)-BH17)</f>
        <v>0.63751338673068858</v>
      </c>
      <c r="R17">
        <f t="shared" ref="R17:R29" si="10">1/((BA17+1)/(O17/1.6)+1/(P17/1.37)) + BA17/((BA17+1)/(O17/1.6) + BA17/(P17/1.37))</f>
        <v>0.40619676041290076</v>
      </c>
      <c r="S17">
        <f t="shared" ref="S17:S29" si="11">(AV17*AY17)</f>
        <v>219.51111666666671</v>
      </c>
      <c r="T17">
        <f t="shared" ref="T17:T29" si="12">(BO17+(S17+2*0.95*0.0000000567*(((BO17+$B$7)+273)^4-(BO17+273)^4)-44100*H17)/(1.84*29.3*P17+8*0.95*0.0000000567*(BO17+273)^3))</f>
        <v>27.101803130441748</v>
      </c>
      <c r="U17">
        <f t="shared" ref="U17:U29" si="13">($C$7*BP17+$D$7*BQ17+$E$7*T17)</f>
        <v>25.887663333333329</v>
      </c>
      <c r="V17">
        <f t="shared" ref="V17:V29" si="14">0.61365*EXP(17.502*U17/(240.97+U17))</f>
        <v>3.3518936327819659</v>
      </c>
      <c r="W17">
        <f t="shared" ref="W17:W29" si="15">(X17/Y17*100)</f>
        <v>79.396923895835229</v>
      </c>
      <c r="X17">
        <f t="shared" ref="X17:X29" si="16">BH17*(BM17+BN17)/1000</f>
        <v>2.789806680862196</v>
      </c>
      <c r="Y17">
        <f t="shared" ref="Y17:Y29" si="17">0.61365*EXP(17.502*BO17/(240.97+BO17))</f>
        <v>3.5137465583959928</v>
      </c>
      <c r="Z17">
        <f t="shared" ref="Z17:Z29" si="18">(V17-BH17*(BM17+BN17)/1000)</f>
        <v>0.56208695191976998</v>
      </c>
      <c r="AA17">
        <f t="shared" ref="AA17:AA29" si="19">(-H17*44100)</f>
        <v>-160.52872390317</v>
      </c>
      <c r="AB17">
        <f t="shared" ref="AB17:AB29" si="20">2*29.3*P17*0.92*(BO17-U17)</f>
        <v>104.11227110815261</v>
      </c>
      <c r="AC17">
        <f t="shared" ref="AC17:AC29" si="21">2*0.95*0.0000000567*(((BO17+$B$7)+273)^4-(U17+273)^4)</f>
        <v>9.2260845122984687</v>
      </c>
      <c r="AD17">
        <f t="shared" ref="AD17:AD29" si="22">S17+AC17+AA17+AB17</f>
        <v>172.32074838394777</v>
      </c>
      <c r="AE17">
        <f t="shared" ref="AE17:AE29" si="23">BL17*AS17*(BG17-BF17*(1000-AS17*BI17)/(1000-AS17*BH17))/(100*AZ17)</f>
        <v>33.241002519947465</v>
      </c>
      <c r="AF17">
        <f t="shared" ref="AF17:AF29" si="24">1000*BL17*AS17*(BH17-BI17)/(100*AZ17*(1000-AS17*BH17))</f>
        <v>3.6401071179857145</v>
      </c>
      <c r="AG17">
        <f t="shared" ref="AG17:AG29" si="25">(AH17 - AI17 - BM17*1000/(8.314*(BO17+273.15)) * AK17/BL17 * AJ17) * BL17/(100*AZ17) * (1000 - BI17)/1000</f>
        <v>33.2449780717454</v>
      </c>
      <c r="AH17">
        <v>458.93584055352369</v>
      </c>
      <c r="AI17">
        <v>382.66188484848482</v>
      </c>
      <c r="AJ17">
        <v>-3.0061154816766881E-4</v>
      </c>
      <c r="AK17">
        <v>84.079453952093544</v>
      </c>
      <c r="AL17">
        <f t="shared" ref="AL17:AL29" si="26">(AN17 - AM17 + BM17*1000/(8.314*(BO17+273.15)) * AP17/BL17 * AO17) * BL17/(100*AZ17) * 1000/(1000 - AN17)</f>
        <v>3.6430726302642231</v>
      </c>
      <c r="AM17">
        <v>19.519043572844069</v>
      </c>
      <c r="AN17">
        <v>27.489167669172939</v>
      </c>
      <c r="AO17">
        <v>2.7218364630069378E-6</v>
      </c>
      <c r="AP17">
        <v>90.496148263072342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53688.203689257047</v>
      </c>
      <c r="AV17">
        <f t="shared" ref="AV17:AV29" si="30">$B$11*BU17+$C$11*BV17</f>
        <v>1155.3216666666669</v>
      </c>
      <c r="AW17">
        <f t="shared" ref="AW17:AW29" si="31">AV17*AX17</f>
        <v>924.25733333333358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1.21</v>
      </c>
      <c r="BB17" t="s">
        <v>339</v>
      </c>
      <c r="BC17">
        <v>2</v>
      </c>
      <c r="BD17" t="b">
        <v>0</v>
      </c>
      <c r="BE17">
        <v>1755600286.849999</v>
      </c>
      <c r="BF17">
        <v>372.16880000000009</v>
      </c>
      <c r="BG17">
        <v>449.99516666666659</v>
      </c>
      <c r="BH17">
        <v>27.482410000000009</v>
      </c>
      <c r="BI17">
        <v>19.518693333333331</v>
      </c>
      <c r="BJ17">
        <v>369.92903333333339</v>
      </c>
      <c r="BK17">
        <v>27.227513333333331</v>
      </c>
      <c r="BL17">
        <v>400.07216666666659</v>
      </c>
      <c r="BM17">
        <v>101.41240000000001</v>
      </c>
      <c r="BN17">
        <v>0.10004672000000001</v>
      </c>
      <c r="BO17">
        <v>26.686313333333331</v>
      </c>
      <c r="BP17">
        <v>25.887663333333329</v>
      </c>
      <c r="BQ17">
        <v>999.9000000000002</v>
      </c>
      <c r="BR17">
        <v>0</v>
      </c>
      <c r="BS17">
        <v>0</v>
      </c>
      <c r="BT17">
        <v>10001.566666666669</v>
      </c>
      <c r="BU17">
        <v>1155.3216666666669</v>
      </c>
      <c r="BV17">
        <v>13.7974</v>
      </c>
      <c r="BW17">
        <v>-77.826419999999999</v>
      </c>
      <c r="BX17">
        <v>382.68593333333342</v>
      </c>
      <c r="BY17">
        <v>458.95343333333341</v>
      </c>
      <c r="BZ17">
        <v>7.9637196666666661</v>
      </c>
      <c r="CA17">
        <v>449.99516666666659</v>
      </c>
      <c r="CB17">
        <v>19.518693333333331</v>
      </c>
      <c r="CC17">
        <v>2.787058333333333</v>
      </c>
      <c r="CD17">
        <v>1.979438333333333</v>
      </c>
      <c r="CE17">
        <v>22.807626666666671</v>
      </c>
      <c r="CF17">
        <v>17.280799999999999</v>
      </c>
      <c r="CG17">
        <v>1755600079.5999999</v>
      </c>
      <c r="CH17" t="s">
        <v>340</v>
      </c>
      <c r="CI17">
        <v>1755600068.5999999</v>
      </c>
      <c r="CJ17">
        <v>1755600079.5999999</v>
      </c>
      <c r="CK17">
        <v>2</v>
      </c>
      <c r="CL17">
        <v>-0.55800000000000005</v>
      </c>
      <c r="CM17">
        <v>2.1000000000000001E-2</v>
      </c>
      <c r="CN17">
        <v>2.9209999999999998</v>
      </c>
      <c r="CO17">
        <v>0.255</v>
      </c>
      <c r="CP17">
        <v>450</v>
      </c>
      <c r="CQ17">
        <v>20</v>
      </c>
      <c r="CR17">
        <v>0.03</v>
      </c>
      <c r="CS17">
        <v>0.01</v>
      </c>
      <c r="CT17">
        <v>-77.826290243902434</v>
      </c>
      <c r="CU17">
        <v>1.0262717770055531E-2</v>
      </c>
      <c r="CV17">
        <v>2.607895895047382E-2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7.9611151219512193</v>
      </c>
      <c r="DC17">
        <v>4.4369686411159077E-2</v>
      </c>
      <c r="DD17">
        <v>4.551208428083685E-3</v>
      </c>
      <c r="DE17">
        <v>1</v>
      </c>
      <c r="DF17">
        <v>2</v>
      </c>
      <c r="DG17">
        <v>2</v>
      </c>
      <c r="DH17" t="s">
        <v>341</v>
      </c>
      <c r="DI17">
        <v>3.0248300000000001</v>
      </c>
      <c r="DJ17">
        <v>2.6911900000000002</v>
      </c>
      <c r="DK17">
        <v>8.8153300000000004E-2</v>
      </c>
      <c r="DL17">
        <v>0.102771</v>
      </c>
      <c r="DM17">
        <v>0.13178400000000001</v>
      </c>
      <c r="DN17">
        <v>0.10477400000000001</v>
      </c>
      <c r="DO17">
        <v>25438.5</v>
      </c>
      <c r="DP17">
        <v>16217.2</v>
      </c>
      <c r="DQ17">
        <v>26467.1</v>
      </c>
      <c r="DR17">
        <v>16413.099999999999</v>
      </c>
      <c r="DS17">
        <v>32663.3</v>
      </c>
      <c r="DT17">
        <v>19162.900000000001</v>
      </c>
      <c r="DU17">
        <v>38555.300000000003</v>
      </c>
      <c r="DV17">
        <v>21719.3</v>
      </c>
      <c r="DW17">
        <v>1.8111600000000001</v>
      </c>
      <c r="DX17">
        <v>2.2058399999999998</v>
      </c>
      <c r="DY17">
        <v>8.5157200000000002E-2</v>
      </c>
      <c r="DZ17">
        <v>0</v>
      </c>
      <c r="EA17">
        <v>24.4879</v>
      </c>
      <c r="EB17">
        <v>999.9</v>
      </c>
      <c r="EC17">
        <v>57.6</v>
      </c>
      <c r="ED17">
        <v>31.5</v>
      </c>
      <c r="EE17">
        <v>26.362500000000001</v>
      </c>
      <c r="EF17">
        <v>62.555900000000001</v>
      </c>
      <c r="EG17">
        <v>34.835700000000003</v>
      </c>
      <c r="EH17">
        <v>1</v>
      </c>
      <c r="EI17">
        <v>-7.2073199999999997E-3</v>
      </c>
      <c r="EJ17">
        <v>-0.33715299999999998</v>
      </c>
      <c r="EK17">
        <v>20.328099999999999</v>
      </c>
      <c r="EL17">
        <v>5.2521500000000003</v>
      </c>
      <c r="EM17">
        <v>11.962</v>
      </c>
      <c r="EN17">
        <v>4.9897600000000004</v>
      </c>
      <c r="EO17">
        <v>3.2913399999999999</v>
      </c>
      <c r="EP17">
        <v>9999</v>
      </c>
      <c r="EQ17">
        <v>9999</v>
      </c>
      <c r="ER17">
        <v>9999</v>
      </c>
      <c r="ES17">
        <v>999.9</v>
      </c>
      <c r="ET17">
        <v>4.9726499999999998</v>
      </c>
      <c r="EU17">
        <v>1.87185</v>
      </c>
      <c r="EV17">
        <v>1.8721399999999999</v>
      </c>
      <c r="EW17">
        <v>1.8771500000000001</v>
      </c>
      <c r="EX17">
        <v>1.87134</v>
      </c>
      <c r="EY17">
        <v>1.8721000000000001</v>
      </c>
      <c r="EZ17">
        <v>1.8717900000000001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342</v>
      </c>
      <c r="FG17" t="s">
        <v>343</v>
      </c>
      <c r="FH17" t="s">
        <v>344</v>
      </c>
      <c r="FI17" t="s">
        <v>344</v>
      </c>
      <c r="FJ17" t="s">
        <v>344</v>
      </c>
      <c r="FK17" t="s">
        <v>344</v>
      </c>
      <c r="FL17">
        <v>0</v>
      </c>
      <c r="FM17">
        <v>100</v>
      </c>
      <c r="FN17">
        <v>100</v>
      </c>
      <c r="FO17">
        <v>2.2389999999999999</v>
      </c>
      <c r="FP17">
        <v>0.25490000000000002</v>
      </c>
      <c r="FQ17">
        <v>-0.67078220295760627</v>
      </c>
      <c r="FR17">
        <v>7.0338458001993282E-3</v>
      </c>
      <c r="FS17">
        <v>2.3387658340725169E-6</v>
      </c>
      <c r="FT17">
        <v>-2.2874075696057401E-10</v>
      </c>
      <c r="FU17">
        <v>0.25488999999999962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3.8</v>
      </c>
      <c r="GD17">
        <v>3.6</v>
      </c>
      <c r="GE17">
        <v>1.1047400000000001</v>
      </c>
      <c r="GF17">
        <v>2.6293899999999999</v>
      </c>
      <c r="GG17">
        <v>1.7981</v>
      </c>
      <c r="GH17">
        <v>2.3779300000000001</v>
      </c>
      <c r="GI17">
        <v>1.5979000000000001</v>
      </c>
      <c r="GJ17">
        <v>2.5451700000000002</v>
      </c>
      <c r="GK17">
        <v>34.829599999999999</v>
      </c>
      <c r="GL17">
        <v>24.157499999999999</v>
      </c>
      <c r="GM17">
        <v>18</v>
      </c>
      <c r="GN17">
        <v>366.85599999999999</v>
      </c>
      <c r="GO17">
        <v>677.04899999999998</v>
      </c>
      <c r="GP17">
        <v>25.830100000000002</v>
      </c>
      <c r="GQ17">
        <v>26.933900000000001</v>
      </c>
      <c r="GR17">
        <v>30.0001</v>
      </c>
      <c r="GS17">
        <v>26.865400000000001</v>
      </c>
      <c r="GT17">
        <v>26.898399999999999</v>
      </c>
      <c r="GU17">
        <v>22.072800000000001</v>
      </c>
      <c r="GV17">
        <v>32.083199999999998</v>
      </c>
      <c r="GW17">
        <v>0</v>
      </c>
      <c r="GX17">
        <v>25.83</v>
      </c>
      <c r="GY17">
        <v>450</v>
      </c>
      <c r="GZ17">
        <v>19.5</v>
      </c>
      <c r="HA17">
        <v>100.571</v>
      </c>
      <c r="HB17">
        <v>67.835300000000004</v>
      </c>
    </row>
    <row r="18" spans="1:210" x14ac:dyDescent="0.3">
      <c r="A18">
        <v>2</v>
      </c>
      <c r="B18">
        <v>1755600475.0999999</v>
      </c>
      <c r="C18">
        <v>180.5</v>
      </c>
      <c r="D18" t="s">
        <v>345</v>
      </c>
      <c r="E18" t="s">
        <v>346</v>
      </c>
      <c r="F18">
        <v>15</v>
      </c>
      <c r="G18">
        <v>1755600467.349999</v>
      </c>
      <c r="H18">
        <f t="shared" si="0"/>
        <v>3.7254520852805484E-3</v>
      </c>
      <c r="I18">
        <f t="shared" si="1"/>
        <v>3.7254520852805486</v>
      </c>
      <c r="J18">
        <f t="shared" si="2"/>
        <v>22.525386639083276</v>
      </c>
      <c r="K18">
        <f t="shared" si="3"/>
        <v>247.24356666666671</v>
      </c>
      <c r="L18">
        <f t="shared" si="4"/>
        <v>192.40944125859667</v>
      </c>
      <c r="M18">
        <f t="shared" si="5"/>
        <v>19.532305074904524</v>
      </c>
      <c r="N18">
        <f t="shared" si="6"/>
        <v>25.098751601541093</v>
      </c>
      <c r="O18">
        <f t="shared" si="7"/>
        <v>0.77542777859969181</v>
      </c>
      <c r="P18">
        <f t="shared" si="8"/>
        <v>2.4179560605563961</v>
      </c>
      <c r="Q18">
        <f t="shared" si="9"/>
        <v>0.66755313256533955</v>
      </c>
      <c r="R18">
        <f t="shared" si="10"/>
        <v>0.42572649008157903</v>
      </c>
      <c r="S18">
        <f t="shared" si="11"/>
        <v>219.40319666666673</v>
      </c>
      <c r="T18">
        <f t="shared" si="12"/>
        <v>27.092540628853531</v>
      </c>
      <c r="U18">
        <f t="shared" si="13"/>
        <v>25.89402333333333</v>
      </c>
      <c r="V18">
        <f t="shared" si="14"/>
        <v>3.3531563615770672</v>
      </c>
      <c r="W18">
        <f t="shared" si="15"/>
        <v>79.710918670703393</v>
      </c>
      <c r="X18">
        <f t="shared" si="16"/>
        <v>2.8038100839401978</v>
      </c>
      <c r="Y18">
        <f t="shared" si="17"/>
        <v>3.5174730522466029</v>
      </c>
      <c r="Z18">
        <f t="shared" si="18"/>
        <v>0.54934627763686938</v>
      </c>
      <c r="AA18">
        <f t="shared" si="19"/>
        <v>-164.29243696087218</v>
      </c>
      <c r="AB18">
        <f t="shared" si="20"/>
        <v>105.62771871205793</v>
      </c>
      <c r="AC18">
        <f t="shared" si="21"/>
        <v>9.3617716562834801</v>
      </c>
      <c r="AD18">
        <f t="shared" si="22"/>
        <v>170.10025007413594</v>
      </c>
      <c r="AE18">
        <f t="shared" si="23"/>
        <v>22.525386639083276</v>
      </c>
      <c r="AF18">
        <f t="shared" si="24"/>
        <v>3.7254520852805486</v>
      </c>
      <c r="AG18">
        <f t="shared" si="25"/>
        <v>22.533997691278067</v>
      </c>
      <c r="AH18">
        <v>305.95668811107521</v>
      </c>
      <c r="AI18">
        <v>254.25703030303029</v>
      </c>
      <c r="AJ18">
        <v>-8.5002208946148385E-5</v>
      </c>
      <c r="AK18">
        <v>84.079453952093544</v>
      </c>
      <c r="AL18">
        <f t="shared" si="26"/>
        <v>3.7279421577031888</v>
      </c>
      <c r="AM18">
        <v>19.47024989528488</v>
      </c>
      <c r="AN18">
        <v>27.625165413533821</v>
      </c>
      <c r="AO18">
        <v>-6.8016286818857807E-7</v>
      </c>
      <c r="AP18">
        <v>90.496148263072342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53682.859620665375</v>
      </c>
      <c r="AV18">
        <f t="shared" si="30"/>
        <v>1154.753666666667</v>
      </c>
      <c r="AW18">
        <f t="shared" si="31"/>
        <v>923.80293333333361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339</v>
      </c>
      <c r="BC18">
        <v>2</v>
      </c>
      <c r="BD18" t="b">
        <v>0</v>
      </c>
      <c r="BE18">
        <v>1755600467.349999</v>
      </c>
      <c r="BF18">
        <v>247.24356666666671</v>
      </c>
      <c r="BG18">
        <v>299.99009999999998</v>
      </c>
      <c r="BH18">
        <v>27.619859999999999</v>
      </c>
      <c r="BI18">
        <v>19.470353333333339</v>
      </c>
      <c r="BJ18">
        <v>246.04543333333331</v>
      </c>
      <c r="BK18">
        <v>27.364973333333339</v>
      </c>
      <c r="BL18">
        <v>400.06103333333328</v>
      </c>
      <c r="BM18">
        <v>101.4142333333334</v>
      </c>
      <c r="BN18">
        <v>0.10004240666666669</v>
      </c>
      <c r="BO18">
        <v>26.704319999999999</v>
      </c>
      <c r="BP18">
        <v>25.89402333333333</v>
      </c>
      <c r="BQ18">
        <v>999.9000000000002</v>
      </c>
      <c r="BR18">
        <v>0</v>
      </c>
      <c r="BS18">
        <v>0</v>
      </c>
      <c r="BT18">
        <v>10000.966666666671</v>
      </c>
      <c r="BU18">
        <v>1154.753666666667</v>
      </c>
      <c r="BV18">
        <v>13.7974</v>
      </c>
      <c r="BW18">
        <v>-52.74668333333333</v>
      </c>
      <c r="BX18">
        <v>254.26633333333331</v>
      </c>
      <c r="BY18">
        <v>305.947</v>
      </c>
      <c r="BZ18">
        <v>8.1495093333333344</v>
      </c>
      <c r="CA18">
        <v>299.99009999999998</v>
      </c>
      <c r="CB18">
        <v>19.470353333333339</v>
      </c>
      <c r="CC18">
        <v>2.80105</v>
      </c>
      <c r="CD18">
        <v>1.974572666666667</v>
      </c>
      <c r="CE18">
        <v>22.890276666666661</v>
      </c>
      <c r="CF18">
        <v>17.241896666666658</v>
      </c>
      <c r="CG18">
        <v>1755600079.5999999</v>
      </c>
      <c r="CH18" t="s">
        <v>340</v>
      </c>
      <c r="CI18">
        <v>1755600068.5999999</v>
      </c>
      <c r="CJ18">
        <v>1755600079.5999999</v>
      </c>
      <c r="CK18">
        <v>2</v>
      </c>
      <c r="CL18">
        <v>-0.55800000000000005</v>
      </c>
      <c r="CM18">
        <v>2.1000000000000001E-2</v>
      </c>
      <c r="CN18">
        <v>2.9209999999999998</v>
      </c>
      <c r="CO18">
        <v>0.255</v>
      </c>
      <c r="CP18">
        <v>450</v>
      </c>
      <c r="CQ18">
        <v>20</v>
      </c>
      <c r="CR18">
        <v>0.03</v>
      </c>
      <c r="CS18">
        <v>0.01</v>
      </c>
      <c r="CT18">
        <v>-52.758884999999999</v>
      </c>
      <c r="CU18">
        <v>0.12511744840524799</v>
      </c>
      <c r="CV18">
        <v>2.9205552126265119E-2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8.146492499999999</v>
      </c>
      <c r="DC18">
        <v>5.5994071294568071E-2</v>
      </c>
      <c r="DD18">
        <v>5.5384035380243281E-3</v>
      </c>
      <c r="DE18">
        <v>1</v>
      </c>
      <c r="DF18">
        <v>2</v>
      </c>
      <c r="DG18">
        <v>2</v>
      </c>
      <c r="DH18" t="s">
        <v>341</v>
      </c>
      <c r="DI18">
        <v>3.0246200000000001</v>
      </c>
      <c r="DJ18">
        <v>2.6912400000000001</v>
      </c>
      <c r="DK18">
        <v>6.3288399999999995E-2</v>
      </c>
      <c r="DL18">
        <v>7.4975799999999995E-2</v>
      </c>
      <c r="DM18">
        <v>0.132239</v>
      </c>
      <c r="DN18">
        <v>0.10459</v>
      </c>
      <c r="DO18">
        <v>26131</v>
      </c>
      <c r="DP18">
        <v>16719.7</v>
      </c>
      <c r="DQ18">
        <v>26466.1</v>
      </c>
      <c r="DR18">
        <v>16413.400000000001</v>
      </c>
      <c r="DS18">
        <v>32643.8</v>
      </c>
      <c r="DT18">
        <v>19167.099999999999</v>
      </c>
      <c r="DU18">
        <v>38553.699999999997</v>
      </c>
      <c r="DV18">
        <v>21719.9</v>
      </c>
      <c r="DW18">
        <v>1.8109599999999999</v>
      </c>
      <c r="DX18">
        <v>2.2054</v>
      </c>
      <c r="DY18">
        <v>8.4361400000000003E-2</v>
      </c>
      <c r="DZ18">
        <v>0</v>
      </c>
      <c r="EA18">
        <v>24.5106</v>
      </c>
      <c r="EB18">
        <v>999.9</v>
      </c>
      <c r="EC18">
        <v>57.5</v>
      </c>
      <c r="ED18">
        <v>31.5</v>
      </c>
      <c r="EE18">
        <v>26.3186</v>
      </c>
      <c r="EF18">
        <v>62.545900000000003</v>
      </c>
      <c r="EG18">
        <v>34.763599999999997</v>
      </c>
      <c r="EH18">
        <v>1</v>
      </c>
      <c r="EI18">
        <v>-6.0548800000000003E-3</v>
      </c>
      <c r="EJ18">
        <v>-0.32573000000000002</v>
      </c>
      <c r="EK18">
        <v>20.328099999999999</v>
      </c>
      <c r="EL18">
        <v>5.2520300000000004</v>
      </c>
      <c r="EM18">
        <v>11.962</v>
      </c>
      <c r="EN18">
        <v>4.9896399999999996</v>
      </c>
      <c r="EO18">
        <v>3.2912599999999999</v>
      </c>
      <c r="EP18">
        <v>9999</v>
      </c>
      <c r="EQ18">
        <v>9999</v>
      </c>
      <c r="ER18">
        <v>9999</v>
      </c>
      <c r="ES18">
        <v>999.9</v>
      </c>
      <c r="ET18">
        <v>4.9726600000000003</v>
      </c>
      <c r="EU18">
        <v>1.8718300000000001</v>
      </c>
      <c r="EV18">
        <v>1.8721399999999999</v>
      </c>
      <c r="EW18">
        <v>1.8771500000000001</v>
      </c>
      <c r="EX18">
        <v>1.87134</v>
      </c>
      <c r="EY18">
        <v>1.8721000000000001</v>
      </c>
      <c r="EZ18">
        <v>1.8717900000000001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342</v>
      </c>
      <c r="FG18" t="s">
        <v>343</v>
      </c>
      <c r="FH18" t="s">
        <v>344</v>
      </c>
      <c r="FI18" t="s">
        <v>344</v>
      </c>
      <c r="FJ18" t="s">
        <v>344</v>
      </c>
      <c r="FK18" t="s">
        <v>344</v>
      </c>
      <c r="FL18">
        <v>0</v>
      </c>
      <c r="FM18">
        <v>100</v>
      </c>
      <c r="FN18">
        <v>100</v>
      </c>
      <c r="FO18">
        <v>1.198</v>
      </c>
      <c r="FP18">
        <v>0.25490000000000002</v>
      </c>
      <c r="FQ18">
        <v>-0.67078220295760627</v>
      </c>
      <c r="FR18">
        <v>7.0338458001993282E-3</v>
      </c>
      <c r="FS18">
        <v>2.3387658340725169E-6</v>
      </c>
      <c r="FT18">
        <v>-2.2874075696057401E-10</v>
      </c>
      <c r="FU18">
        <v>0.25488999999999962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6.8</v>
      </c>
      <c r="GD18">
        <v>6.6</v>
      </c>
      <c r="GE18">
        <v>0.80200199999999999</v>
      </c>
      <c r="GF18">
        <v>2.6452599999999999</v>
      </c>
      <c r="GG18">
        <v>1.79932</v>
      </c>
      <c r="GH18">
        <v>2.3791500000000001</v>
      </c>
      <c r="GI18">
        <v>1.5979000000000001</v>
      </c>
      <c r="GJ18">
        <v>2.4340799999999998</v>
      </c>
      <c r="GK18">
        <v>34.852499999999999</v>
      </c>
      <c r="GL18">
        <v>24.157499999999999</v>
      </c>
      <c r="GM18">
        <v>18</v>
      </c>
      <c r="GN18">
        <v>366.85899999999998</v>
      </c>
      <c r="GO18">
        <v>676.89800000000002</v>
      </c>
      <c r="GP18">
        <v>25.829899999999999</v>
      </c>
      <c r="GQ18">
        <v>26.9499</v>
      </c>
      <c r="GR18">
        <v>30</v>
      </c>
      <c r="GS18">
        <v>26.8811</v>
      </c>
      <c r="GT18">
        <v>26.916599999999999</v>
      </c>
      <c r="GU18">
        <v>16.012</v>
      </c>
      <c r="GV18">
        <v>32.083199999999998</v>
      </c>
      <c r="GW18">
        <v>0</v>
      </c>
      <c r="GX18">
        <v>25.83</v>
      </c>
      <c r="GY18">
        <v>300</v>
      </c>
      <c r="GZ18">
        <v>19.5</v>
      </c>
      <c r="HA18">
        <v>100.56699999999999</v>
      </c>
      <c r="HB18">
        <v>67.836799999999997</v>
      </c>
    </row>
    <row r="19" spans="1:210" x14ac:dyDescent="0.3">
      <c r="A19">
        <v>3</v>
      </c>
      <c r="B19">
        <v>1755600655.5999999</v>
      </c>
      <c r="C19">
        <v>361</v>
      </c>
      <c r="D19" t="s">
        <v>347</v>
      </c>
      <c r="E19" t="s">
        <v>348</v>
      </c>
      <c r="F19">
        <v>15</v>
      </c>
      <c r="G19">
        <v>1755600647.849999</v>
      </c>
      <c r="H19">
        <f t="shared" si="0"/>
        <v>3.7949464682617813E-3</v>
      </c>
      <c r="I19">
        <f t="shared" si="1"/>
        <v>3.7949464682617813</v>
      </c>
      <c r="J19">
        <f t="shared" si="2"/>
        <v>14.18373069188144</v>
      </c>
      <c r="K19">
        <f t="shared" si="3"/>
        <v>166.65703333333329</v>
      </c>
      <c r="L19">
        <f t="shared" si="4"/>
        <v>133.79893097334502</v>
      </c>
      <c r="M19">
        <f t="shared" si="5"/>
        <v>13.581936771578015</v>
      </c>
      <c r="N19">
        <f t="shared" si="6"/>
        <v>16.917364532030785</v>
      </c>
      <c r="O19">
        <f t="shared" si="7"/>
        <v>0.82404900021746874</v>
      </c>
      <c r="P19">
        <f t="shared" si="8"/>
        <v>2.4185969967527545</v>
      </c>
      <c r="Q19">
        <f t="shared" si="9"/>
        <v>0.70330979915081515</v>
      </c>
      <c r="R19">
        <f t="shared" si="10"/>
        <v>0.44901673506727752</v>
      </c>
      <c r="S19">
        <f t="shared" si="11"/>
        <v>219.31757000000002</v>
      </c>
      <c r="T19">
        <f t="shared" si="12"/>
        <v>27.07442155665052</v>
      </c>
      <c r="U19">
        <f t="shared" si="13"/>
        <v>25.891923333333342</v>
      </c>
      <c r="V19">
        <f t="shared" si="14"/>
        <v>3.3527393768854084</v>
      </c>
      <c r="W19">
        <f t="shared" si="15"/>
        <v>80.19888359060468</v>
      </c>
      <c r="X19">
        <f t="shared" si="16"/>
        <v>2.8216655099234944</v>
      </c>
      <c r="Y19">
        <f t="shared" si="17"/>
        <v>3.5183351483137772</v>
      </c>
      <c r="Z19">
        <f t="shared" si="18"/>
        <v>0.53107386696191394</v>
      </c>
      <c r="AA19">
        <f t="shared" si="19"/>
        <v>-167.35713925034455</v>
      </c>
      <c r="AB19">
        <f t="shared" si="20"/>
        <v>106.47240263649084</v>
      </c>
      <c r="AC19">
        <f t="shared" si="21"/>
        <v>9.4342329736544706</v>
      </c>
      <c r="AD19">
        <f t="shared" si="22"/>
        <v>167.86706635980079</v>
      </c>
      <c r="AE19">
        <f t="shared" si="23"/>
        <v>14.18373069188144</v>
      </c>
      <c r="AF19">
        <f t="shared" si="24"/>
        <v>3.7949464682617813</v>
      </c>
      <c r="AG19">
        <f t="shared" si="25"/>
        <v>14.195307045863876</v>
      </c>
      <c r="AH19">
        <v>203.98260539213851</v>
      </c>
      <c r="AI19">
        <v>171.41089090909091</v>
      </c>
      <c r="AJ19">
        <v>-8.2280346332874927E-5</v>
      </c>
      <c r="AK19">
        <v>84.079453952093544</v>
      </c>
      <c r="AL19">
        <f t="shared" si="26"/>
        <v>3.7977512838649012</v>
      </c>
      <c r="AM19">
        <v>19.49492631320366</v>
      </c>
      <c r="AN19">
        <v>27.801781654135329</v>
      </c>
      <c r="AO19">
        <v>-1.6637516937975521E-6</v>
      </c>
      <c r="AP19">
        <v>90.496148263072342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53703.483938218531</v>
      </c>
      <c r="AV19">
        <f t="shared" si="30"/>
        <v>1154.3030000000001</v>
      </c>
      <c r="AW19">
        <f t="shared" si="31"/>
        <v>923.44240000000013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339</v>
      </c>
      <c r="BC19">
        <v>2</v>
      </c>
      <c r="BD19" t="b">
        <v>0</v>
      </c>
      <c r="BE19">
        <v>1755600647.849999</v>
      </c>
      <c r="BF19">
        <v>166.65703333333329</v>
      </c>
      <c r="BG19">
        <v>199.9913</v>
      </c>
      <c r="BH19">
        <v>27.796906666666661</v>
      </c>
      <c r="BI19">
        <v>19.49616000000001</v>
      </c>
      <c r="BJ19">
        <v>166.09603333333331</v>
      </c>
      <c r="BK19">
        <v>27.54201333333334</v>
      </c>
      <c r="BL19">
        <v>400.02580000000012</v>
      </c>
      <c r="BM19">
        <v>101.4100333333333</v>
      </c>
      <c r="BN19">
        <v>0.10002113999999999</v>
      </c>
      <c r="BO19">
        <v>26.70848333333333</v>
      </c>
      <c r="BP19">
        <v>25.891923333333342</v>
      </c>
      <c r="BQ19">
        <v>999.9000000000002</v>
      </c>
      <c r="BR19">
        <v>0</v>
      </c>
      <c r="BS19">
        <v>0</v>
      </c>
      <c r="BT19">
        <v>10005.549999999999</v>
      </c>
      <c r="BU19">
        <v>1154.3030000000001</v>
      </c>
      <c r="BV19">
        <v>13.7974</v>
      </c>
      <c r="BW19">
        <v>-33.334276666666668</v>
      </c>
      <c r="BX19">
        <v>171.4221</v>
      </c>
      <c r="BY19">
        <v>203.96796666666671</v>
      </c>
      <c r="BZ19">
        <v>8.3007353333333338</v>
      </c>
      <c r="CA19">
        <v>199.9913</v>
      </c>
      <c r="CB19">
        <v>19.49616000000001</v>
      </c>
      <c r="CC19">
        <v>2.818883333333333</v>
      </c>
      <c r="CD19">
        <v>1.9771049999999999</v>
      </c>
      <c r="CE19">
        <v>22.995086666666669</v>
      </c>
      <c r="CF19">
        <v>17.262170000000001</v>
      </c>
      <c r="CG19">
        <v>1755600079.5999999</v>
      </c>
      <c r="CH19" t="s">
        <v>340</v>
      </c>
      <c r="CI19">
        <v>1755600068.5999999</v>
      </c>
      <c r="CJ19">
        <v>1755600079.5999999</v>
      </c>
      <c r="CK19">
        <v>2</v>
      </c>
      <c r="CL19">
        <v>-0.55800000000000005</v>
      </c>
      <c r="CM19">
        <v>2.1000000000000001E-2</v>
      </c>
      <c r="CN19">
        <v>2.9209999999999998</v>
      </c>
      <c r="CO19">
        <v>0.255</v>
      </c>
      <c r="CP19">
        <v>450</v>
      </c>
      <c r="CQ19">
        <v>20</v>
      </c>
      <c r="CR19">
        <v>0.03</v>
      </c>
      <c r="CS19">
        <v>0.01</v>
      </c>
      <c r="CT19">
        <v>-33.335917073170727</v>
      </c>
      <c r="CU19">
        <v>4.9268989547082732E-2</v>
      </c>
      <c r="CV19">
        <v>1.3125620123590189E-2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8.2964397560975609</v>
      </c>
      <c r="DC19">
        <v>7.8763693379808958E-2</v>
      </c>
      <c r="DD19">
        <v>7.9537932315203851E-3</v>
      </c>
      <c r="DE19">
        <v>1</v>
      </c>
      <c r="DF19">
        <v>2</v>
      </c>
      <c r="DG19">
        <v>2</v>
      </c>
      <c r="DH19" t="s">
        <v>341</v>
      </c>
      <c r="DI19">
        <v>3.02467</v>
      </c>
      <c r="DJ19">
        <v>2.6913</v>
      </c>
      <c r="DK19">
        <v>4.4740599999999998E-2</v>
      </c>
      <c r="DL19">
        <v>5.31072E-2</v>
      </c>
      <c r="DM19">
        <v>0.13281499999999999</v>
      </c>
      <c r="DN19">
        <v>0.104672</v>
      </c>
      <c r="DO19">
        <v>26646.9</v>
      </c>
      <c r="DP19">
        <v>17115.5</v>
      </c>
      <c r="DQ19">
        <v>26464.6</v>
      </c>
      <c r="DR19">
        <v>16413.900000000001</v>
      </c>
      <c r="DS19">
        <v>32619</v>
      </c>
      <c r="DT19">
        <v>19165.900000000001</v>
      </c>
      <c r="DU19">
        <v>38551.199999999997</v>
      </c>
      <c r="DV19">
        <v>21720.9</v>
      </c>
      <c r="DW19">
        <v>1.81114</v>
      </c>
      <c r="DX19">
        <v>2.2050399999999999</v>
      </c>
      <c r="DY19">
        <v>8.5055800000000001E-2</v>
      </c>
      <c r="DZ19">
        <v>0</v>
      </c>
      <c r="EA19">
        <v>24.497900000000001</v>
      </c>
      <c r="EB19">
        <v>999.9</v>
      </c>
      <c r="EC19">
        <v>57.3</v>
      </c>
      <c r="ED19">
        <v>31.5</v>
      </c>
      <c r="EE19">
        <v>26.227599999999999</v>
      </c>
      <c r="EF19">
        <v>62.515900000000002</v>
      </c>
      <c r="EG19">
        <v>34.695500000000003</v>
      </c>
      <c r="EH19">
        <v>1</v>
      </c>
      <c r="EI19">
        <v>-5.0934999999999999E-3</v>
      </c>
      <c r="EJ19">
        <v>-0.32989299999999999</v>
      </c>
      <c r="EK19">
        <v>20.328199999999999</v>
      </c>
      <c r="EL19">
        <v>5.2521500000000003</v>
      </c>
      <c r="EM19">
        <v>11.962</v>
      </c>
      <c r="EN19">
        <v>4.9897600000000004</v>
      </c>
      <c r="EO19">
        <v>3.29122</v>
      </c>
      <c r="EP19">
        <v>9999</v>
      </c>
      <c r="EQ19">
        <v>9999</v>
      </c>
      <c r="ER19">
        <v>9999</v>
      </c>
      <c r="ES19">
        <v>999.9</v>
      </c>
      <c r="ET19">
        <v>4.9726499999999998</v>
      </c>
      <c r="EU19">
        <v>1.87182</v>
      </c>
      <c r="EV19">
        <v>1.8721399999999999</v>
      </c>
      <c r="EW19">
        <v>1.87714</v>
      </c>
      <c r="EX19">
        <v>1.87134</v>
      </c>
      <c r="EY19">
        <v>1.8721000000000001</v>
      </c>
      <c r="EZ19">
        <v>1.8717999999999999</v>
      </c>
      <c r="FA19">
        <v>1.86873</v>
      </c>
      <c r="FB19">
        <v>0</v>
      </c>
      <c r="FC19">
        <v>0</v>
      </c>
      <c r="FD19">
        <v>0</v>
      </c>
      <c r="FE19">
        <v>0</v>
      </c>
      <c r="FF19" t="s">
        <v>342</v>
      </c>
      <c r="FG19" t="s">
        <v>343</v>
      </c>
      <c r="FH19" t="s">
        <v>344</v>
      </c>
      <c r="FI19" t="s">
        <v>344</v>
      </c>
      <c r="FJ19" t="s">
        <v>344</v>
      </c>
      <c r="FK19" t="s">
        <v>344</v>
      </c>
      <c r="FL19">
        <v>0</v>
      </c>
      <c r="FM19">
        <v>100</v>
      </c>
      <c r="FN19">
        <v>100</v>
      </c>
      <c r="FO19">
        <v>0.56000000000000005</v>
      </c>
      <c r="FP19">
        <v>0.25480000000000003</v>
      </c>
      <c r="FQ19">
        <v>-0.67078220295760627</v>
      </c>
      <c r="FR19">
        <v>7.0338458001993282E-3</v>
      </c>
      <c r="FS19">
        <v>2.3387658340725169E-6</v>
      </c>
      <c r="FT19">
        <v>-2.2874075696057401E-10</v>
      </c>
      <c r="FU19">
        <v>0.25488999999999962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9.8000000000000007</v>
      </c>
      <c r="GD19">
        <v>9.6</v>
      </c>
      <c r="GE19">
        <v>0.58837899999999999</v>
      </c>
      <c r="GF19">
        <v>2.63794</v>
      </c>
      <c r="GG19">
        <v>1.7981</v>
      </c>
      <c r="GH19">
        <v>2.3779300000000001</v>
      </c>
      <c r="GI19">
        <v>1.5979000000000001</v>
      </c>
      <c r="GJ19">
        <v>2.5366200000000001</v>
      </c>
      <c r="GK19">
        <v>34.852499999999999</v>
      </c>
      <c r="GL19">
        <v>24.1663</v>
      </c>
      <c r="GM19">
        <v>18</v>
      </c>
      <c r="GN19">
        <v>367.041</v>
      </c>
      <c r="GO19">
        <v>676.76</v>
      </c>
      <c r="GP19">
        <v>25.829899999999999</v>
      </c>
      <c r="GQ19">
        <v>26.961300000000001</v>
      </c>
      <c r="GR19">
        <v>30.0001</v>
      </c>
      <c r="GS19">
        <v>26.894600000000001</v>
      </c>
      <c r="GT19">
        <v>26.930299999999999</v>
      </c>
      <c r="GU19">
        <v>11.7385</v>
      </c>
      <c r="GV19">
        <v>31.535499999999999</v>
      </c>
      <c r="GW19">
        <v>0</v>
      </c>
      <c r="GX19">
        <v>25.83</v>
      </c>
      <c r="GY19">
        <v>200</v>
      </c>
      <c r="GZ19">
        <v>19.5</v>
      </c>
      <c r="HA19">
        <v>100.56100000000001</v>
      </c>
      <c r="HB19">
        <v>67.839500000000001</v>
      </c>
    </row>
    <row r="20" spans="1:210" x14ac:dyDescent="0.3">
      <c r="A20">
        <v>4</v>
      </c>
      <c r="B20">
        <v>1755600836.0999999</v>
      </c>
      <c r="C20">
        <v>541.5</v>
      </c>
      <c r="D20" t="s">
        <v>349</v>
      </c>
      <c r="E20" t="s">
        <v>350</v>
      </c>
      <c r="F20">
        <v>15</v>
      </c>
      <c r="G20">
        <v>1755600828.349999</v>
      </c>
      <c r="H20">
        <f t="shared" si="0"/>
        <v>3.8763949538234178E-3</v>
      </c>
      <c r="I20">
        <f t="shared" si="1"/>
        <v>3.8763949538234179</v>
      </c>
      <c r="J20">
        <f t="shared" si="2"/>
        <v>7.294522067752002</v>
      </c>
      <c r="K20">
        <f t="shared" si="3"/>
        <v>107.6447666666667</v>
      </c>
      <c r="L20">
        <f t="shared" si="4"/>
        <v>91.378307289199384</v>
      </c>
      <c r="M20">
        <f t="shared" si="5"/>
        <v>9.2752032730853067</v>
      </c>
      <c r="N20">
        <f t="shared" si="6"/>
        <v>10.926303208455055</v>
      </c>
      <c r="O20">
        <f t="shared" si="7"/>
        <v>0.87318290059038239</v>
      </c>
      <c r="P20">
        <f t="shared" si="8"/>
        <v>2.4174248355126431</v>
      </c>
      <c r="Q20">
        <f t="shared" si="9"/>
        <v>0.73874277208707761</v>
      </c>
      <c r="R20">
        <f t="shared" si="10"/>
        <v>0.47215364507529944</v>
      </c>
      <c r="S20">
        <f t="shared" si="11"/>
        <v>219.22497666666675</v>
      </c>
      <c r="T20">
        <f t="shared" si="12"/>
        <v>27.045455438932908</v>
      </c>
      <c r="U20">
        <f t="shared" si="13"/>
        <v>25.885056666666671</v>
      </c>
      <c r="V20">
        <f t="shared" si="14"/>
        <v>3.3513762192932406</v>
      </c>
      <c r="W20">
        <f t="shared" si="15"/>
        <v>80.59263405751804</v>
      </c>
      <c r="X20">
        <f t="shared" si="16"/>
        <v>2.8349899411478101</v>
      </c>
      <c r="Y20">
        <f t="shared" si="17"/>
        <v>3.5176787237460312</v>
      </c>
      <c r="Z20">
        <f t="shared" si="18"/>
        <v>0.51638627814543048</v>
      </c>
      <c r="AA20">
        <f t="shared" si="19"/>
        <v>-170.94901746361273</v>
      </c>
      <c r="AB20">
        <f t="shared" si="20"/>
        <v>106.90258124701941</v>
      </c>
      <c r="AC20">
        <f t="shared" si="21"/>
        <v>9.4764663685105894</v>
      </c>
      <c r="AD20">
        <f t="shared" si="22"/>
        <v>164.65500681858401</v>
      </c>
      <c r="AE20">
        <f t="shared" si="23"/>
        <v>7.294522067752002</v>
      </c>
      <c r="AF20">
        <f t="shared" si="24"/>
        <v>3.8763949538234179</v>
      </c>
      <c r="AG20">
        <f t="shared" si="25"/>
        <v>7.2865491101558684</v>
      </c>
      <c r="AH20">
        <v>127.4775477061426</v>
      </c>
      <c r="AI20">
        <v>110.7568909090908</v>
      </c>
      <c r="AJ20">
        <v>2.177611066585732E-5</v>
      </c>
      <c r="AK20">
        <v>84.079453952093544</v>
      </c>
      <c r="AL20">
        <f t="shared" si="26"/>
        <v>3.8814528047605075</v>
      </c>
      <c r="AM20">
        <v>19.452199355794239</v>
      </c>
      <c r="AN20">
        <v>27.94172631578946</v>
      </c>
      <c r="AO20">
        <v>-2.5254939328811368E-6</v>
      </c>
      <c r="AP20">
        <v>90.496148263072342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53664.660467129892</v>
      </c>
      <c r="AV20">
        <f t="shared" si="30"/>
        <v>1153.8156666666671</v>
      </c>
      <c r="AW20">
        <f t="shared" si="31"/>
        <v>923.05253333333371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339</v>
      </c>
      <c r="BC20">
        <v>2</v>
      </c>
      <c r="BD20" t="b">
        <v>0</v>
      </c>
      <c r="BE20">
        <v>1755600828.349999</v>
      </c>
      <c r="BF20">
        <v>107.6447666666667</v>
      </c>
      <c r="BG20">
        <v>124.9968333333333</v>
      </c>
      <c r="BH20">
        <v>27.93001666666667</v>
      </c>
      <c r="BI20">
        <v>19.451473333333329</v>
      </c>
      <c r="BJ20">
        <v>107.5324</v>
      </c>
      <c r="BK20">
        <v>27.675126666666671</v>
      </c>
      <c r="BL20">
        <v>399.98786666666672</v>
      </c>
      <c r="BM20">
        <v>101.4033666666666</v>
      </c>
      <c r="BN20">
        <v>9.9972016666666663E-2</v>
      </c>
      <c r="BO20">
        <v>26.705313333333329</v>
      </c>
      <c r="BP20">
        <v>25.885056666666671</v>
      </c>
      <c r="BQ20">
        <v>999.9000000000002</v>
      </c>
      <c r="BR20">
        <v>0</v>
      </c>
      <c r="BS20">
        <v>0</v>
      </c>
      <c r="BT20">
        <v>9998.5833333333339</v>
      </c>
      <c r="BU20">
        <v>1153.8156666666671</v>
      </c>
      <c r="BV20">
        <v>13.7974</v>
      </c>
      <c r="BW20">
        <v>-17.352026666666671</v>
      </c>
      <c r="BX20">
        <v>110.73763333333331</v>
      </c>
      <c r="BY20">
        <v>127.4765</v>
      </c>
      <c r="BZ20">
        <v>8.4785400000000006</v>
      </c>
      <c r="CA20">
        <v>124.9968333333333</v>
      </c>
      <c r="CB20">
        <v>19.451473333333329</v>
      </c>
      <c r="CC20">
        <v>2.8321969999999999</v>
      </c>
      <c r="CD20">
        <v>1.972445</v>
      </c>
      <c r="CE20">
        <v>23.072949999999999</v>
      </c>
      <c r="CF20">
        <v>17.224856666666671</v>
      </c>
      <c r="CG20">
        <v>1755600079.5999999</v>
      </c>
      <c r="CH20" t="s">
        <v>340</v>
      </c>
      <c r="CI20">
        <v>1755600068.5999999</v>
      </c>
      <c r="CJ20">
        <v>1755600079.5999999</v>
      </c>
      <c r="CK20">
        <v>2</v>
      </c>
      <c r="CL20">
        <v>-0.55800000000000005</v>
      </c>
      <c r="CM20">
        <v>2.1000000000000001E-2</v>
      </c>
      <c r="CN20">
        <v>2.9209999999999998</v>
      </c>
      <c r="CO20">
        <v>0.255</v>
      </c>
      <c r="CP20">
        <v>450</v>
      </c>
      <c r="CQ20">
        <v>20</v>
      </c>
      <c r="CR20">
        <v>0.03</v>
      </c>
      <c r="CS20">
        <v>0.01</v>
      </c>
      <c r="CT20">
        <v>-17.355046341463421</v>
      </c>
      <c r="CU20">
        <v>0.12933867595812079</v>
      </c>
      <c r="CV20">
        <v>2.1471195651678689E-2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8.4775790243902431</v>
      </c>
      <c r="DC20">
        <v>3.578383275261654E-2</v>
      </c>
      <c r="DD20">
        <v>4.9881879034756596E-3</v>
      </c>
      <c r="DE20">
        <v>1</v>
      </c>
      <c r="DF20">
        <v>2</v>
      </c>
      <c r="DG20">
        <v>2</v>
      </c>
      <c r="DH20" t="s">
        <v>341</v>
      </c>
      <c r="DI20">
        <v>3.0246499999999998</v>
      </c>
      <c r="DJ20">
        <v>2.6912500000000001</v>
      </c>
      <c r="DK20">
        <v>2.9758699999999999E-2</v>
      </c>
      <c r="DL20">
        <v>3.4481100000000001E-2</v>
      </c>
      <c r="DM20">
        <v>0.13326199999999999</v>
      </c>
      <c r="DN20">
        <v>0.10449600000000001</v>
      </c>
      <c r="DO20">
        <v>27064.799999999999</v>
      </c>
      <c r="DP20">
        <v>17452.400000000001</v>
      </c>
      <c r="DQ20">
        <v>26464.7</v>
      </c>
      <c r="DR20">
        <v>16414.099999999999</v>
      </c>
      <c r="DS20">
        <v>32602.2</v>
      </c>
      <c r="DT20">
        <v>19169.900000000001</v>
      </c>
      <c r="DU20">
        <v>38552.300000000003</v>
      </c>
      <c r="DV20">
        <v>21721.4</v>
      </c>
      <c r="DW20">
        <v>1.81104</v>
      </c>
      <c r="DX20">
        <v>2.20452</v>
      </c>
      <c r="DY20">
        <v>8.5014099999999995E-2</v>
      </c>
      <c r="DZ20">
        <v>0</v>
      </c>
      <c r="EA20">
        <v>24.492100000000001</v>
      </c>
      <c r="EB20">
        <v>999.9</v>
      </c>
      <c r="EC20">
        <v>57.2</v>
      </c>
      <c r="ED20">
        <v>31.5</v>
      </c>
      <c r="EE20">
        <v>26.185099999999998</v>
      </c>
      <c r="EF20">
        <v>62.685899999999997</v>
      </c>
      <c r="EG20">
        <v>34.803699999999999</v>
      </c>
      <c r="EH20">
        <v>1</v>
      </c>
      <c r="EI20">
        <v>-5.0345499999999996E-3</v>
      </c>
      <c r="EJ20">
        <v>-0.32891900000000002</v>
      </c>
      <c r="EK20">
        <v>20.328099999999999</v>
      </c>
      <c r="EL20">
        <v>5.2521500000000003</v>
      </c>
      <c r="EM20">
        <v>11.962</v>
      </c>
      <c r="EN20">
        <v>4.9894400000000001</v>
      </c>
      <c r="EO20">
        <v>3.2913999999999999</v>
      </c>
      <c r="EP20">
        <v>9999</v>
      </c>
      <c r="EQ20">
        <v>9999</v>
      </c>
      <c r="ER20">
        <v>9999</v>
      </c>
      <c r="ES20">
        <v>999.9</v>
      </c>
      <c r="ET20">
        <v>4.9726600000000003</v>
      </c>
      <c r="EU20">
        <v>1.8718600000000001</v>
      </c>
      <c r="EV20">
        <v>1.87212</v>
      </c>
      <c r="EW20">
        <v>1.8771500000000001</v>
      </c>
      <c r="EX20">
        <v>1.87134</v>
      </c>
      <c r="EY20">
        <v>1.8721000000000001</v>
      </c>
      <c r="EZ20">
        <v>1.87178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342</v>
      </c>
      <c r="FG20" t="s">
        <v>343</v>
      </c>
      <c r="FH20" t="s">
        <v>344</v>
      </c>
      <c r="FI20" t="s">
        <v>344</v>
      </c>
      <c r="FJ20" t="s">
        <v>344</v>
      </c>
      <c r="FK20" t="s">
        <v>344</v>
      </c>
      <c r="FL20">
        <v>0</v>
      </c>
      <c r="FM20">
        <v>100</v>
      </c>
      <c r="FN20">
        <v>100</v>
      </c>
      <c r="FO20">
        <v>0.112</v>
      </c>
      <c r="FP20">
        <v>0.25490000000000002</v>
      </c>
      <c r="FQ20">
        <v>-0.67078220295760627</v>
      </c>
      <c r="FR20">
        <v>7.0338458001993282E-3</v>
      </c>
      <c r="FS20">
        <v>2.3387658340725169E-6</v>
      </c>
      <c r="FT20">
        <v>-2.2874075696057401E-10</v>
      </c>
      <c r="FU20">
        <v>0.25488999999999962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12.8</v>
      </c>
      <c r="GD20">
        <v>12.6</v>
      </c>
      <c r="GE20">
        <v>0.42358400000000002</v>
      </c>
      <c r="GF20">
        <v>2.6464799999999999</v>
      </c>
      <c r="GG20">
        <v>1.7981</v>
      </c>
      <c r="GH20">
        <v>2.3779300000000001</v>
      </c>
      <c r="GI20">
        <v>1.5979000000000001</v>
      </c>
      <c r="GJ20">
        <v>2.5402800000000001</v>
      </c>
      <c r="GK20">
        <v>34.852499999999999</v>
      </c>
      <c r="GL20">
        <v>24.1663</v>
      </c>
      <c r="GM20">
        <v>18</v>
      </c>
      <c r="GN20">
        <v>367.03500000000003</v>
      </c>
      <c r="GO20">
        <v>676.39300000000003</v>
      </c>
      <c r="GP20">
        <v>25.830100000000002</v>
      </c>
      <c r="GQ20">
        <v>26.965800000000002</v>
      </c>
      <c r="GR20">
        <v>30.0001</v>
      </c>
      <c r="GS20">
        <v>26.901299999999999</v>
      </c>
      <c r="GT20">
        <v>26.937100000000001</v>
      </c>
      <c r="GU20">
        <v>8.4397599999999997</v>
      </c>
      <c r="GV20">
        <v>31.535499999999999</v>
      </c>
      <c r="GW20">
        <v>0</v>
      </c>
      <c r="GX20">
        <v>25.83</v>
      </c>
      <c r="GY20">
        <v>125</v>
      </c>
      <c r="GZ20">
        <v>19.5</v>
      </c>
      <c r="HA20">
        <v>100.563</v>
      </c>
      <c r="HB20">
        <v>67.840900000000005</v>
      </c>
    </row>
    <row r="21" spans="1:210" x14ac:dyDescent="0.3">
      <c r="A21">
        <v>5</v>
      </c>
      <c r="B21">
        <v>1755601016.5999999</v>
      </c>
      <c r="C21">
        <v>722</v>
      </c>
      <c r="D21" t="s">
        <v>351</v>
      </c>
      <c r="E21" t="s">
        <v>352</v>
      </c>
      <c r="F21">
        <v>15</v>
      </c>
      <c r="G21">
        <v>1755601008.849999</v>
      </c>
      <c r="H21">
        <f t="shared" si="0"/>
        <v>3.9102456802850268E-3</v>
      </c>
      <c r="I21">
        <f t="shared" si="1"/>
        <v>3.9102456802850267</v>
      </c>
      <c r="J21">
        <f t="shared" si="2"/>
        <v>2.4850788957018697</v>
      </c>
      <c r="K21">
        <f t="shared" si="3"/>
        <v>68.785530000000023</v>
      </c>
      <c r="L21">
        <f t="shared" si="4"/>
        <v>63.19115291263472</v>
      </c>
      <c r="M21">
        <f t="shared" si="5"/>
        <v>6.4138716343239954</v>
      </c>
      <c r="N21">
        <f t="shared" si="6"/>
        <v>6.9816982185607595</v>
      </c>
      <c r="O21">
        <f t="shared" si="7"/>
        <v>0.9122824444833223</v>
      </c>
      <c r="P21">
        <f t="shared" si="8"/>
        <v>2.4172437028007812</v>
      </c>
      <c r="Q21">
        <f t="shared" si="9"/>
        <v>0.76653471031241094</v>
      </c>
      <c r="R21">
        <f t="shared" si="10"/>
        <v>0.4903333257648671</v>
      </c>
      <c r="S21">
        <f t="shared" si="11"/>
        <v>219.13916</v>
      </c>
      <c r="T21">
        <f t="shared" si="12"/>
        <v>27.034561973102363</v>
      </c>
      <c r="U21">
        <f t="shared" si="13"/>
        <v>25.882376666666669</v>
      </c>
      <c r="V21">
        <f t="shared" si="14"/>
        <v>3.3508443221505884</v>
      </c>
      <c r="W21">
        <f t="shared" si="15"/>
        <v>80.986745312738122</v>
      </c>
      <c r="X21">
        <f t="shared" si="16"/>
        <v>2.8488881647962288</v>
      </c>
      <c r="Y21">
        <f t="shared" si="17"/>
        <v>3.5177215157801096</v>
      </c>
      <c r="Z21">
        <f t="shared" si="18"/>
        <v>0.50195615735435961</v>
      </c>
      <c r="AA21">
        <f t="shared" si="19"/>
        <v>-172.44183450056968</v>
      </c>
      <c r="AB21">
        <f t="shared" si="20"/>
        <v>107.27075715869944</v>
      </c>
      <c r="AC21">
        <f t="shared" si="21"/>
        <v>9.5096984180111299</v>
      </c>
      <c r="AD21">
        <f t="shared" si="22"/>
        <v>163.4777810761409</v>
      </c>
      <c r="AE21">
        <f t="shared" si="23"/>
        <v>2.4850788957018697</v>
      </c>
      <c r="AF21">
        <f t="shared" si="24"/>
        <v>3.9102456802850267</v>
      </c>
      <c r="AG21">
        <f t="shared" si="25"/>
        <v>2.4801046672661253</v>
      </c>
      <c r="AH21">
        <v>76.474527941072367</v>
      </c>
      <c r="AI21">
        <v>70.78282727272726</v>
      </c>
      <c r="AJ21">
        <v>8.2667771278868829E-5</v>
      </c>
      <c r="AK21">
        <v>84.079453952093544</v>
      </c>
      <c r="AL21">
        <f t="shared" si="26"/>
        <v>3.9152792964539311</v>
      </c>
      <c r="AM21">
        <v>19.515880336325921</v>
      </c>
      <c r="AN21">
        <v>28.076302857142849</v>
      </c>
      <c r="AO21">
        <v>1.236866617624811E-4</v>
      </c>
      <c r="AP21">
        <v>90.496148263072342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53658.476469003865</v>
      </c>
      <c r="AV21">
        <f t="shared" si="30"/>
        <v>1153.364</v>
      </c>
      <c r="AW21">
        <f t="shared" si="31"/>
        <v>922.69120000000009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339</v>
      </c>
      <c r="BC21">
        <v>2</v>
      </c>
      <c r="BD21" t="b">
        <v>0</v>
      </c>
      <c r="BE21">
        <v>1755601008.849999</v>
      </c>
      <c r="BF21">
        <v>68.785530000000023</v>
      </c>
      <c r="BG21">
        <v>74.981786666666665</v>
      </c>
      <c r="BH21">
        <v>28.067996666666669</v>
      </c>
      <c r="BI21">
        <v>19.51737</v>
      </c>
      <c r="BJ21">
        <v>68.960210000000004</v>
      </c>
      <c r="BK21">
        <v>27.813103333333331</v>
      </c>
      <c r="BL21">
        <v>400.02256666666659</v>
      </c>
      <c r="BM21">
        <v>101.3995333333333</v>
      </c>
      <c r="BN21">
        <v>9.9985803333333373E-2</v>
      </c>
      <c r="BO21">
        <v>26.70552</v>
      </c>
      <c r="BP21">
        <v>25.882376666666669</v>
      </c>
      <c r="BQ21">
        <v>999.9000000000002</v>
      </c>
      <c r="BR21">
        <v>0</v>
      </c>
      <c r="BS21">
        <v>0</v>
      </c>
      <c r="BT21">
        <v>9997.7833333333328</v>
      </c>
      <c r="BU21">
        <v>1153.364</v>
      </c>
      <c r="BV21">
        <v>13.805</v>
      </c>
      <c r="BW21">
        <v>-6.1962633333333326</v>
      </c>
      <c r="BX21">
        <v>70.771953333333329</v>
      </c>
      <c r="BY21">
        <v>76.474370000000008</v>
      </c>
      <c r="BZ21">
        <v>8.550631000000001</v>
      </c>
      <c r="CA21">
        <v>74.981786666666665</v>
      </c>
      <c r="CB21">
        <v>19.51737</v>
      </c>
      <c r="CC21">
        <v>2.846080333333334</v>
      </c>
      <c r="CD21">
        <v>1.9790509999999999</v>
      </c>
      <c r="CE21">
        <v>23.153823333333332</v>
      </c>
      <c r="CF21">
        <v>17.277723333333331</v>
      </c>
      <c r="CG21">
        <v>1755600079.5999999</v>
      </c>
      <c r="CH21" t="s">
        <v>340</v>
      </c>
      <c r="CI21">
        <v>1755600068.5999999</v>
      </c>
      <c r="CJ21">
        <v>1755600079.5999999</v>
      </c>
      <c r="CK21">
        <v>2</v>
      </c>
      <c r="CL21">
        <v>-0.55800000000000005</v>
      </c>
      <c r="CM21">
        <v>2.1000000000000001E-2</v>
      </c>
      <c r="CN21">
        <v>2.9209999999999998</v>
      </c>
      <c r="CO21">
        <v>0.255</v>
      </c>
      <c r="CP21">
        <v>450</v>
      </c>
      <c r="CQ21">
        <v>20</v>
      </c>
      <c r="CR21">
        <v>0.03</v>
      </c>
      <c r="CS21">
        <v>0.01</v>
      </c>
      <c r="CT21">
        <v>-6.212255609756097</v>
      </c>
      <c r="CU21">
        <v>8.2726829268298233E-2</v>
      </c>
      <c r="CV21">
        <v>5.3442723433998252E-2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8.5487151219512203</v>
      </c>
      <c r="DC21">
        <v>5.6023693379788631E-2</v>
      </c>
      <c r="DD21">
        <v>6.9217526054800253E-3</v>
      </c>
      <c r="DE21">
        <v>1</v>
      </c>
      <c r="DF21">
        <v>2</v>
      </c>
      <c r="DG21">
        <v>2</v>
      </c>
      <c r="DH21" t="s">
        <v>341</v>
      </c>
      <c r="DI21">
        <v>3.0245299999999999</v>
      </c>
      <c r="DJ21">
        <v>2.6911999999999998</v>
      </c>
      <c r="DK21">
        <v>1.9309400000000001E-2</v>
      </c>
      <c r="DL21">
        <v>2.1050200000000002E-2</v>
      </c>
      <c r="DM21">
        <v>0.13370000000000001</v>
      </c>
      <c r="DN21">
        <v>0.104744</v>
      </c>
      <c r="DO21">
        <v>27355</v>
      </c>
      <c r="DP21">
        <v>17694.7</v>
      </c>
      <c r="DQ21">
        <v>26463.4</v>
      </c>
      <c r="DR21">
        <v>16413.7</v>
      </c>
      <c r="DS21">
        <v>32583.5</v>
      </c>
      <c r="DT21">
        <v>19163.5</v>
      </c>
      <c r="DU21">
        <v>38550.400000000001</v>
      </c>
      <c r="DV21">
        <v>21720.5</v>
      </c>
      <c r="DW21">
        <v>1.8108</v>
      </c>
      <c r="DX21">
        <v>2.20472</v>
      </c>
      <c r="DY21">
        <v>8.4859100000000007E-2</v>
      </c>
      <c r="DZ21">
        <v>0</v>
      </c>
      <c r="EA21">
        <v>24.488299999999999</v>
      </c>
      <c r="EB21">
        <v>999.9</v>
      </c>
      <c r="EC21">
        <v>57.1</v>
      </c>
      <c r="ED21">
        <v>31.6</v>
      </c>
      <c r="EE21">
        <v>26.287600000000001</v>
      </c>
      <c r="EF21">
        <v>62.715899999999998</v>
      </c>
      <c r="EG21">
        <v>34.735599999999998</v>
      </c>
      <c r="EH21">
        <v>1</v>
      </c>
      <c r="EI21">
        <v>-4.67886E-3</v>
      </c>
      <c r="EJ21">
        <v>-0.32586100000000001</v>
      </c>
      <c r="EK21">
        <v>20.327999999999999</v>
      </c>
      <c r="EL21">
        <v>5.2523900000000001</v>
      </c>
      <c r="EM21">
        <v>11.962</v>
      </c>
      <c r="EN21">
        <v>4.9896799999999999</v>
      </c>
      <c r="EO21">
        <v>3.29108</v>
      </c>
      <c r="EP21">
        <v>9999</v>
      </c>
      <c r="EQ21">
        <v>9999</v>
      </c>
      <c r="ER21">
        <v>9999</v>
      </c>
      <c r="ES21">
        <v>999.9</v>
      </c>
      <c r="ET21">
        <v>4.9726699999999999</v>
      </c>
      <c r="EU21">
        <v>1.87188</v>
      </c>
      <c r="EV21">
        <v>1.87212</v>
      </c>
      <c r="EW21">
        <v>1.87717</v>
      </c>
      <c r="EX21">
        <v>1.87134</v>
      </c>
      <c r="EY21">
        <v>1.8721000000000001</v>
      </c>
      <c r="EZ21">
        <v>1.87178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342</v>
      </c>
      <c r="FG21" t="s">
        <v>343</v>
      </c>
      <c r="FH21" t="s">
        <v>344</v>
      </c>
      <c r="FI21" t="s">
        <v>344</v>
      </c>
      <c r="FJ21" t="s">
        <v>344</v>
      </c>
      <c r="FK21" t="s">
        <v>344</v>
      </c>
      <c r="FL21">
        <v>0</v>
      </c>
      <c r="FM21">
        <v>100</v>
      </c>
      <c r="FN21">
        <v>100</v>
      </c>
      <c r="FO21">
        <v>-0.17499999999999999</v>
      </c>
      <c r="FP21">
        <v>0.25490000000000002</v>
      </c>
      <c r="FQ21">
        <v>-0.67078220295760627</v>
      </c>
      <c r="FR21">
        <v>7.0338458001993282E-3</v>
      </c>
      <c r="FS21">
        <v>2.3387658340725169E-6</v>
      </c>
      <c r="FT21">
        <v>-2.2874075696057401E-10</v>
      </c>
      <c r="FU21">
        <v>0.25488999999999962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15.8</v>
      </c>
      <c r="GD21">
        <v>15.6</v>
      </c>
      <c r="GE21">
        <v>0.3125</v>
      </c>
      <c r="GF21">
        <v>2.6684600000000001</v>
      </c>
      <c r="GG21">
        <v>1.7981</v>
      </c>
      <c r="GH21">
        <v>2.3791500000000001</v>
      </c>
      <c r="GI21">
        <v>1.5979000000000001</v>
      </c>
      <c r="GJ21">
        <v>2.5280800000000001</v>
      </c>
      <c r="GK21">
        <v>34.875500000000002</v>
      </c>
      <c r="GL21">
        <v>24.157499999999999</v>
      </c>
      <c r="GM21">
        <v>18</v>
      </c>
      <c r="GN21">
        <v>366.92700000000002</v>
      </c>
      <c r="GO21">
        <v>676.59699999999998</v>
      </c>
      <c r="GP21">
        <v>25.83</v>
      </c>
      <c r="GQ21">
        <v>26.9681</v>
      </c>
      <c r="GR21">
        <v>30.0001</v>
      </c>
      <c r="GS21">
        <v>26.903600000000001</v>
      </c>
      <c r="GT21">
        <v>26.939399999999999</v>
      </c>
      <c r="GU21">
        <v>6.2151899999999998</v>
      </c>
      <c r="GV21">
        <v>31.255099999999999</v>
      </c>
      <c r="GW21">
        <v>0</v>
      </c>
      <c r="GX21">
        <v>25.83</v>
      </c>
      <c r="GY21">
        <v>75</v>
      </c>
      <c r="GZ21">
        <v>19.5</v>
      </c>
      <c r="HA21">
        <v>100.55800000000001</v>
      </c>
      <c r="HB21">
        <v>67.838399999999993</v>
      </c>
    </row>
    <row r="22" spans="1:210" x14ac:dyDescent="0.3">
      <c r="A22">
        <v>6</v>
      </c>
      <c r="B22">
        <v>1755601197.0999999</v>
      </c>
      <c r="C22">
        <v>902.5</v>
      </c>
      <c r="D22" t="s">
        <v>353</v>
      </c>
      <c r="E22" t="s">
        <v>354</v>
      </c>
      <c r="F22">
        <v>15</v>
      </c>
      <c r="G22">
        <v>1755601189.349999</v>
      </c>
      <c r="H22">
        <f t="shared" si="0"/>
        <v>3.9049849587762114E-3</v>
      </c>
      <c r="I22">
        <f t="shared" si="1"/>
        <v>3.9049849587762115</v>
      </c>
      <c r="J22">
        <f t="shared" si="2"/>
        <v>33.156119241120223</v>
      </c>
      <c r="K22">
        <f t="shared" si="3"/>
        <v>372.12893333333329</v>
      </c>
      <c r="L22">
        <f t="shared" si="4"/>
        <v>302.72262129718553</v>
      </c>
      <c r="M22">
        <f t="shared" si="5"/>
        <v>30.726900609143545</v>
      </c>
      <c r="N22">
        <f t="shared" si="6"/>
        <v>37.771768423922019</v>
      </c>
      <c r="O22">
        <f t="shared" si="7"/>
        <v>0.92603124992014185</v>
      </c>
      <c r="P22">
        <f t="shared" si="8"/>
        <v>2.4178941006153627</v>
      </c>
      <c r="Q22">
        <f t="shared" si="9"/>
        <v>0.77625404431907918</v>
      </c>
      <c r="R22">
        <f t="shared" si="10"/>
        <v>0.49669490878992761</v>
      </c>
      <c r="S22">
        <f t="shared" si="11"/>
        <v>219.09615666666673</v>
      </c>
      <c r="T22">
        <f t="shared" si="12"/>
        <v>27.020096320439919</v>
      </c>
      <c r="U22">
        <f t="shared" si="13"/>
        <v>25.856296666666658</v>
      </c>
      <c r="V22">
        <f t="shared" si="14"/>
        <v>3.3456720973006031</v>
      </c>
      <c r="W22">
        <f t="shared" si="15"/>
        <v>81.111781296991168</v>
      </c>
      <c r="X22">
        <f t="shared" si="16"/>
        <v>2.8506474824074557</v>
      </c>
      <c r="Y22">
        <f t="shared" si="17"/>
        <v>3.5144678575974018</v>
      </c>
      <c r="Z22">
        <f t="shared" si="18"/>
        <v>0.49502461489314742</v>
      </c>
      <c r="AA22">
        <f t="shared" si="19"/>
        <v>-172.20983668203093</v>
      </c>
      <c r="AB22">
        <f t="shared" si="20"/>
        <v>108.65008238979404</v>
      </c>
      <c r="AC22">
        <f t="shared" si="21"/>
        <v>9.6273698501732881</v>
      </c>
      <c r="AD22">
        <f t="shared" si="22"/>
        <v>165.16377222460312</v>
      </c>
      <c r="AE22">
        <f t="shared" si="23"/>
        <v>33.156119241120223</v>
      </c>
      <c r="AF22">
        <f t="shared" si="24"/>
        <v>3.9049849587762115</v>
      </c>
      <c r="AG22">
        <f t="shared" si="25"/>
        <v>33.393721624961117</v>
      </c>
      <c r="AH22">
        <v>458.94805361325069</v>
      </c>
      <c r="AI22">
        <v>382.62095151515132</v>
      </c>
      <c r="AJ22">
        <v>-3.6164220380638212E-2</v>
      </c>
      <c r="AK22">
        <v>84.079453952093544</v>
      </c>
      <c r="AL22">
        <f t="shared" si="26"/>
        <v>3.9062943677482087</v>
      </c>
      <c r="AM22">
        <v>19.546702637944449</v>
      </c>
      <c r="AN22">
        <v>28.08930285714284</v>
      </c>
      <c r="AO22">
        <v>-2.5973429446511109E-6</v>
      </c>
      <c r="AP22">
        <v>90.496148263072342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53683.11808406184</v>
      </c>
      <c r="AV22">
        <f t="shared" si="30"/>
        <v>1153.137666666667</v>
      </c>
      <c r="AW22">
        <f t="shared" si="31"/>
        <v>922.51013333333367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339</v>
      </c>
      <c r="BC22">
        <v>2</v>
      </c>
      <c r="BD22" t="b">
        <v>0</v>
      </c>
      <c r="BE22">
        <v>1755601189.349999</v>
      </c>
      <c r="BF22">
        <v>372.12893333333329</v>
      </c>
      <c r="BG22">
        <v>450.00249999999988</v>
      </c>
      <c r="BH22">
        <v>28.084689999999998</v>
      </c>
      <c r="BI22">
        <v>19.544936666666668</v>
      </c>
      <c r="BJ22">
        <v>369.88956666666672</v>
      </c>
      <c r="BK22">
        <v>27.82979666666666</v>
      </c>
      <c r="BL22">
        <v>399.98616666666658</v>
      </c>
      <c r="BM22">
        <v>101.40186666666671</v>
      </c>
      <c r="BN22">
        <v>9.9965200000000004E-2</v>
      </c>
      <c r="BO22">
        <v>26.689799999999991</v>
      </c>
      <c r="BP22">
        <v>25.856296666666658</v>
      </c>
      <c r="BQ22">
        <v>999.9000000000002</v>
      </c>
      <c r="BR22">
        <v>0</v>
      </c>
      <c r="BS22">
        <v>0</v>
      </c>
      <c r="BT22">
        <v>10001.783333333329</v>
      </c>
      <c r="BU22">
        <v>1153.137666666667</v>
      </c>
      <c r="BV22">
        <v>13.740399999999999</v>
      </c>
      <c r="BW22">
        <v>-77.873666666666665</v>
      </c>
      <c r="BX22">
        <v>382.88209999999998</v>
      </c>
      <c r="BY22">
        <v>458.97326666666669</v>
      </c>
      <c r="BZ22">
        <v>8.5397443333333349</v>
      </c>
      <c r="CA22">
        <v>450.00249999999988</v>
      </c>
      <c r="CB22">
        <v>19.544936666666668</v>
      </c>
      <c r="CC22">
        <v>2.8478379999999999</v>
      </c>
      <c r="CD22">
        <v>1.981894</v>
      </c>
      <c r="CE22">
        <v>23.16404</v>
      </c>
      <c r="CF22">
        <v>17.300419999999999</v>
      </c>
      <c r="CG22">
        <v>1755600079.5999999</v>
      </c>
      <c r="CH22" t="s">
        <v>340</v>
      </c>
      <c r="CI22">
        <v>1755600068.5999999</v>
      </c>
      <c r="CJ22">
        <v>1755600079.5999999</v>
      </c>
      <c r="CK22">
        <v>2</v>
      </c>
      <c r="CL22">
        <v>-0.55800000000000005</v>
      </c>
      <c r="CM22">
        <v>2.1000000000000001E-2</v>
      </c>
      <c r="CN22">
        <v>2.9209999999999998</v>
      </c>
      <c r="CO22">
        <v>0.255</v>
      </c>
      <c r="CP22">
        <v>450</v>
      </c>
      <c r="CQ22">
        <v>20</v>
      </c>
      <c r="CR22">
        <v>0.03</v>
      </c>
      <c r="CS22">
        <v>0.01</v>
      </c>
      <c r="CT22">
        <v>-77.759357499999993</v>
      </c>
      <c r="CU22">
        <v>-2.1957557223262181</v>
      </c>
      <c r="CV22">
        <v>0.21352673706997399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8.5416367500000003</v>
      </c>
      <c r="DC22">
        <v>-3.9619024390263012E-2</v>
      </c>
      <c r="DD22">
        <v>4.1737353698454438E-3</v>
      </c>
      <c r="DE22">
        <v>1</v>
      </c>
      <c r="DF22">
        <v>1</v>
      </c>
      <c r="DG22">
        <v>2</v>
      </c>
      <c r="DH22" t="s">
        <v>355</v>
      </c>
      <c r="DI22">
        <v>3.0245700000000002</v>
      </c>
      <c r="DJ22">
        <v>2.6912199999999999</v>
      </c>
      <c r="DK22">
        <v>8.8088200000000005E-2</v>
      </c>
      <c r="DL22">
        <v>0.10274899999999999</v>
      </c>
      <c r="DM22">
        <v>0.133746</v>
      </c>
      <c r="DN22">
        <v>0.104864</v>
      </c>
      <c r="DO22">
        <v>25437.3</v>
      </c>
      <c r="DP22">
        <v>16217.6</v>
      </c>
      <c r="DQ22">
        <v>26464.2</v>
      </c>
      <c r="DR22">
        <v>16413.2</v>
      </c>
      <c r="DS22">
        <v>32584.3</v>
      </c>
      <c r="DT22">
        <v>19162</v>
      </c>
      <c r="DU22">
        <v>38551.5</v>
      </c>
      <c r="DV22">
        <v>21720.400000000001</v>
      </c>
      <c r="DW22">
        <v>1.8109599999999999</v>
      </c>
      <c r="DX22">
        <v>2.2053799999999999</v>
      </c>
      <c r="DY22">
        <v>8.3220000000000002E-2</v>
      </c>
      <c r="DZ22">
        <v>0</v>
      </c>
      <c r="EA22">
        <v>24.49</v>
      </c>
      <c r="EB22">
        <v>999.9</v>
      </c>
      <c r="EC22">
        <v>57.1</v>
      </c>
      <c r="ED22">
        <v>31.6</v>
      </c>
      <c r="EE22">
        <v>26.284500000000001</v>
      </c>
      <c r="EF22">
        <v>62.646000000000001</v>
      </c>
      <c r="EG22">
        <v>34.984000000000002</v>
      </c>
      <c r="EH22">
        <v>1</v>
      </c>
      <c r="EI22">
        <v>-4.1016300000000002E-3</v>
      </c>
      <c r="EJ22">
        <v>-0.33258599999999999</v>
      </c>
      <c r="EK22">
        <v>20.328399999999998</v>
      </c>
      <c r="EL22">
        <v>5.2505899999999999</v>
      </c>
      <c r="EM22">
        <v>11.962</v>
      </c>
      <c r="EN22">
        <v>4.9896399999999996</v>
      </c>
      <c r="EO22">
        <v>3.2913199999999998</v>
      </c>
      <c r="EP22">
        <v>9999</v>
      </c>
      <c r="EQ22">
        <v>9999</v>
      </c>
      <c r="ER22">
        <v>9999</v>
      </c>
      <c r="ES22">
        <v>999.9</v>
      </c>
      <c r="ET22">
        <v>4.9726600000000003</v>
      </c>
      <c r="EU22">
        <v>1.8718900000000001</v>
      </c>
      <c r="EV22">
        <v>1.87212</v>
      </c>
      <c r="EW22">
        <v>1.87717</v>
      </c>
      <c r="EX22">
        <v>1.87134</v>
      </c>
      <c r="EY22">
        <v>1.8721000000000001</v>
      </c>
      <c r="EZ22">
        <v>1.8717999999999999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342</v>
      </c>
      <c r="FG22" t="s">
        <v>343</v>
      </c>
      <c r="FH22" t="s">
        <v>344</v>
      </c>
      <c r="FI22" t="s">
        <v>344</v>
      </c>
      <c r="FJ22" t="s">
        <v>344</v>
      </c>
      <c r="FK22" t="s">
        <v>344</v>
      </c>
      <c r="FL22">
        <v>0</v>
      </c>
      <c r="FM22">
        <v>100</v>
      </c>
      <c r="FN22">
        <v>100</v>
      </c>
      <c r="FO22">
        <v>2.238</v>
      </c>
      <c r="FP22">
        <v>0.25490000000000002</v>
      </c>
      <c r="FQ22">
        <v>-0.67078220295760627</v>
      </c>
      <c r="FR22">
        <v>7.0338458001993282E-3</v>
      </c>
      <c r="FS22">
        <v>2.3387658340725169E-6</v>
      </c>
      <c r="FT22">
        <v>-2.2874075696057401E-10</v>
      </c>
      <c r="FU22">
        <v>0.25488999999999962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18.8</v>
      </c>
      <c r="GD22">
        <v>18.600000000000001</v>
      </c>
      <c r="GE22">
        <v>1.1047400000000001</v>
      </c>
      <c r="GF22">
        <v>2.63672</v>
      </c>
      <c r="GG22">
        <v>1.7981</v>
      </c>
      <c r="GH22">
        <v>2.3779300000000001</v>
      </c>
      <c r="GI22">
        <v>1.5979000000000001</v>
      </c>
      <c r="GJ22">
        <v>2.5708000000000002</v>
      </c>
      <c r="GK22">
        <v>34.875500000000002</v>
      </c>
      <c r="GL22">
        <v>24.1663</v>
      </c>
      <c r="GM22">
        <v>18</v>
      </c>
      <c r="GN22">
        <v>367.05500000000001</v>
      </c>
      <c r="GO22">
        <v>677.26099999999997</v>
      </c>
      <c r="GP22">
        <v>25.829799999999999</v>
      </c>
      <c r="GQ22">
        <v>26.9727</v>
      </c>
      <c r="GR22">
        <v>30.0001</v>
      </c>
      <c r="GS22">
        <v>26.910299999999999</v>
      </c>
      <c r="GT22">
        <v>26.946300000000001</v>
      </c>
      <c r="GU22">
        <v>22.079000000000001</v>
      </c>
      <c r="GV22">
        <v>31.255099999999999</v>
      </c>
      <c r="GW22">
        <v>0</v>
      </c>
      <c r="GX22">
        <v>25.83</v>
      </c>
      <c r="GY22">
        <v>450</v>
      </c>
      <c r="GZ22">
        <v>19.5</v>
      </c>
      <c r="HA22">
        <v>100.56100000000001</v>
      </c>
      <c r="HB22">
        <v>67.837400000000002</v>
      </c>
    </row>
    <row r="23" spans="1:210" x14ac:dyDescent="0.3">
      <c r="A23">
        <v>7</v>
      </c>
      <c r="B23">
        <v>1755601377.5999999</v>
      </c>
      <c r="C23">
        <v>1083</v>
      </c>
      <c r="D23" t="s">
        <v>356</v>
      </c>
      <c r="E23" t="s">
        <v>357</v>
      </c>
      <c r="F23">
        <v>15</v>
      </c>
      <c r="G23">
        <v>1755601369.849999</v>
      </c>
      <c r="H23">
        <f t="shared" si="0"/>
        <v>3.9460156977729503E-3</v>
      </c>
      <c r="I23">
        <f t="shared" si="1"/>
        <v>3.9460156977729506</v>
      </c>
      <c r="J23">
        <f t="shared" si="2"/>
        <v>34.022299356198836</v>
      </c>
      <c r="K23">
        <f t="shared" si="3"/>
        <v>370.16723333333329</v>
      </c>
      <c r="L23">
        <f t="shared" si="4"/>
        <v>300.7430657391281</v>
      </c>
      <c r="M23">
        <f t="shared" si="5"/>
        <v>30.525810914482687</v>
      </c>
      <c r="N23">
        <f t="shared" si="6"/>
        <v>37.572453894156027</v>
      </c>
      <c r="O23">
        <f t="shared" si="7"/>
        <v>0.95317952145310036</v>
      </c>
      <c r="P23">
        <f t="shared" si="8"/>
        <v>2.4175395738162457</v>
      </c>
      <c r="Q23">
        <f t="shared" si="9"/>
        <v>0.79522583385338286</v>
      </c>
      <c r="R23">
        <f t="shared" si="10"/>
        <v>0.50913121276110007</v>
      </c>
      <c r="S23">
        <f t="shared" si="11"/>
        <v>219.06974666666676</v>
      </c>
      <c r="T23">
        <f t="shared" si="12"/>
        <v>27.008659037777718</v>
      </c>
      <c r="U23">
        <f t="shared" si="13"/>
        <v>25.844799999999999</v>
      </c>
      <c r="V23">
        <f t="shared" si="14"/>
        <v>3.3433942765486355</v>
      </c>
      <c r="W23">
        <f t="shared" si="15"/>
        <v>81.231816188319115</v>
      </c>
      <c r="X23">
        <f t="shared" si="16"/>
        <v>2.8551103296310898</v>
      </c>
      <c r="Y23">
        <f t="shared" si="17"/>
        <v>3.5147685520315202</v>
      </c>
      <c r="Z23">
        <f t="shared" si="18"/>
        <v>0.48828394691754573</v>
      </c>
      <c r="AA23">
        <f t="shared" si="19"/>
        <v>-174.01929227178709</v>
      </c>
      <c r="AB23">
        <f t="shared" si="20"/>
        <v>110.32198182908573</v>
      </c>
      <c r="AC23">
        <f t="shared" si="21"/>
        <v>9.7764571078056921</v>
      </c>
      <c r="AD23">
        <f t="shared" si="22"/>
        <v>165.14889333177109</v>
      </c>
      <c r="AE23">
        <f t="shared" si="23"/>
        <v>34.022299356198836</v>
      </c>
      <c r="AF23">
        <f t="shared" si="24"/>
        <v>3.9460156977729506</v>
      </c>
      <c r="AG23">
        <f t="shared" si="25"/>
        <v>34.053149031008168</v>
      </c>
      <c r="AH23">
        <v>459.00672384893522</v>
      </c>
      <c r="AI23">
        <v>380.8622545454545</v>
      </c>
      <c r="AJ23">
        <v>-4.4998341444473307E-5</v>
      </c>
      <c r="AK23">
        <v>84.079453952093544</v>
      </c>
      <c r="AL23">
        <f t="shared" si="26"/>
        <v>3.946513657827051</v>
      </c>
      <c r="AM23">
        <v>19.500611752836569</v>
      </c>
      <c r="AN23">
        <v>28.13060150375939</v>
      </c>
      <c r="AO23">
        <v>4.3348624313003718E-6</v>
      </c>
      <c r="AP23">
        <v>90.496148263072342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53670.975066408457</v>
      </c>
      <c r="AV23">
        <f t="shared" si="30"/>
        <v>1152.9986666666671</v>
      </c>
      <c r="AW23">
        <f t="shared" si="31"/>
        <v>922.39893333333373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339</v>
      </c>
      <c r="BC23">
        <v>2</v>
      </c>
      <c r="BD23" t="b">
        <v>0</v>
      </c>
      <c r="BE23">
        <v>1755601369.849999</v>
      </c>
      <c r="BF23">
        <v>370.16723333333329</v>
      </c>
      <c r="BG23">
        <v>450.00546666666662</v>
      </c>
      <c r="BH23">
        <v>28.128806666666659</v>
      </c>
      <c r="BI23">
        <v>19.499849999999999</v>
      </c>
      <c r="BJ23">
        <v>367.9446999999999</v>
      </c>
      <c r="BK23">
        <v>27.87391666666667</v>
      </c>
      <c r="BL23">
        <v>399.99239999999998</v>
      </c>
      <c r="BM23">
        <v>101.40130000000001</v>
      </c>
      <c r="BN23">
        <v>9.9995930000000011E-2</v>
      </c>
      <c r="BO23">
        <v>26.691253333333339</v>
      </c>
      <c r="BP23">
        <v>25.844799999999999</v>
      </c>
      <c r="BQ23">
        <v>999.9000000000002</v>
      </c>
      <c r="BR23">
        <v>0</v>
      </c>
      <c r="BS23">
        <v>0</v>
      </c>
      <c r="BT23">
        <v>9999.5333333333328</v>
      </c>
      <c r="BU23">
        <v>1152.9986666666671</v>
      </c>
      <c r="BV23">
        <v>13.740399999999999</v>
      </c>
      <c r="BW23">
        <v>-79.838226666666657</v>
      </c>
      <c r="BX23">
        <v>380.88103333333328</v>
      </c>
      <c r="BY23">
        <v>458.95503333333329</v>
      </c>
      <c r="BZ23">
        <v>8.6289446666666656</v>
      </c>
      <c r="CA23">
        <v>450.00546666666662</v>
      </c>
      <c r="CB23">
        <v>19.499849999999999</v>
      </c>
      <c r="CC23">
        <v>2.8523006666666668</v>
      </c>
      <c r="CD23">
        <v>1.977314</v>
      </c>
      <c r="CE23">
        <v>23.189933333333329</v>
      </c>
      <c r="CF23">
        <v>17.263829999999999</v>
      </c>
      <c r="CG23">
        <v>1755600079.5999999</v>
      </c>
      <c r="CH23" t="s">
        <v>340</v>
      </c>
      <c r="CI23">
        <v>1755600068.5999999</v>
      </c>
      <c r="CJ23">
        <v>1755600079.5999999</v>
      </c>
      <c r="CK23">
        <v>2</v>
      </c>
      <c r="CL23">
        <v>-0.55800000000000005</v>
      </c>
      <c r="CM23">
        <v>2.1000000000000001E-2</v>
      </c>
      <c r="CN23">
        <v>2.9209999999999998</v>
      </c>
      <c r="CO23">
        <v>0.255</v>
      </c>
      <c r="CP23">
        <v>450</v>
      </c>
      <c r="CQ23">
        <v>20</v>
      </c>
      <c r="CR23">
        <v>0.03</v>
      </c>
      <c r="CS23">
        <v>0.01</v>
      </c>
      <c r="CT23">
        <v>-79.821067499999998</v>
      </c>
      <c r="CU23">
        <v>-0.34058724202621932</v>
      </c>
      <c r="CV23">
        <v>4.855406979595138E-2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8.626967500000001</v>
      </c>
      <c r="DC23">
        <v>3.8307467166973468E-2</v>
      </c>
      <c r="DD23">
        <v>3.767956176762123E-3</v>
      </c>
      <c r="DE23">
        <v>1</v>
      </c>
      <c r="DF23">
        <v>2</v>
      </c>
      <c r="DG23">
        <v>2</v>
      </c>
      <c r="DH23" t="s">
        <v>341</v>
      </c>
      <c r="DI23">
        <v>3.0247700000000002</v>
      </c>
      <c r="DJ23">
        <v>2.6913399999999998</v>
      </c>
      <c r="DK23">
        <v>8.7771500000000002E-2</v>
      </c>
      <c r="DL23">
        <v>0.102742</v>
      </c>
      <c r="DM23">
        <v>0.133883</v>
      </c>
      <c r="DN23">
        <v>0.10469100000000001</v>
      </c>
      <c r="DO23">
        <v>25444.799999999999</v>
      </c>
      <c r="DP23">
        <v>16218.2</v>
      </c>
      <c r="DQ23">
        <v>26462.799999999999</v>
      </c>
      <c r="DR23">
        <v>16413.7</v>
      </c>
      <c r="DS23">
        <v>32577.5</v>
      </c>
      <c r="DT23">
        <v>19166.3</v>
      </c>
      <c r="DU23">
        <v>38549.5</v>
      </c>
      <c r="DV23">
        <v>21720.9</v>
      </c>
      <c r="DW23">
        <v>1.81118</v>
      </c>
      <c r="DX23">
        <v>2.2046199999999998</v>
      </c>
      <c r="DY23">
        <v>8.2621E-2</v>
      </c>
      <c r="DZ23">
        <v>0</v>
      </c>
      <c r="EA23">
        <v>24.4941</v>
      </c>
      <c r="EB23">
        <v>999.9</v>
      </c>
      <c r="EC23">
        <v>57.1</v>
      </c>
      <c r="ED23">
        <v>31.6</v>
      </c>
      <c r="EE23">
        <v>26.2852</v>
      </c>
      <c r="EF23">
        <v>62.555999999999997</v>
      </c>
      <c r="EG23">
        <v>34.803699999999999</v>
      </c>
      <c r="EH23">
        <v>1</v>
      </c>
      <c r="EI23">
        <v>-3.0650400000000002E-3</v>
      </c>
      <c r="EJ23">
        <v>-0.33287600000000001</v>
      </c>
      <c r="EK23">
        <v>20.328399999999998</v>
      </c>
      <c r="EL23">
        <v>5.2492799999999997</v>
      </c>
      <c r="EM23">
        <v>11.962</v>
      </c>
      <c r="EN23">
        <v>4.9896399999999996</v>
      </c>
      <c r="EO23">
        <v>3.29142</v>
      </c>
      <c r="EP23">
        <v>9999</v>
      </c>
      <c r="EQ23">
        <v>9999</v>
      </c>
      <c r="ER23">
        <v>9999</v>
      </c>
      <c r="ES23">
        <v>999.9</v>
      </c>
      <c r="ET23">
        <v>4.9726600000000003</v>
      </c>
      <c r="EU23">
        <v>1.87185</v>
      </c>
      <c r="EV23">
        <v>1.87212</v>
      </c>
      <c r="EW23">
        <v>1.8772</v>
      </c>
      <c r="EX23">
        <v>1.87134</v>
      </c>
      <c r="EY23">
        <v>1.8721000000000001</v>
      </c>
      <c r="EZ23">
        <v>1.8717999999999999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342</v>
      </c>
      <c r="FG23" t="s">
        <v>343</v>
      </c>
      <c r="FH23" t="s">
        <v>344</v>
      </c>
      <c r="FI23" t="s">
        <v>344</v>
      </c>
      <c r="FJ23" t="s">
        <v>344</v>
      </c>
      <c r="FK23" t="s">
        <v>344</v>
      </c>
      <c r="FL23">
        <v>0</v>
      </c>
      <c r="FM23">
        <v>100</v>
      </c>
      <c r="FN23">
        <v>100</v>
      </c>
      <c r="FO23">
        <v>2.222</v>
      </c>
      <c r="FP23">
        <v>0.25490000000000002</v>
      </c>
      <c r="FQ23">
        <v>-0.67078220295760627</v>
      </c>
      <c r="FR23">
        <v>7.0338458001993282E-3</v>
      </c>
      <c r="FS23">
        <v>2.3387658340725169E-6</v>
      </c>
      <c r="FT23">
        <v>-2.2874075696057401E-10</v>
      </c>
      <c r="FU23">
        <v>0.25488999999999962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21.8</v>
      </c>
      <c r="GD23">
        <v>21.6</v>
      </c>
      <c r="GE23">
        <v>1.1047400000000001</v>
      </c>
      <c r="GF23">
        <v>2.65015</v>
      </c>
      <c r="GG23">
        <v>1.7981</v>
      </c>
      <c r="GH23">
        <v>2.3779300000000001</v>
      </c>
      <c r="GI23">
        <v>1.5979000000000001</v>
      </c>
      <c r="GJ23">
        <v>2.50732</v>
      </c>
      <c r="GK23">
        <v>34.898499999999999</v>
      </c>
      <c r="GL23">
        <v>24.157499999999999</v>
      </c>
      <c r="GM23">
        <v>18</v>
      </c>
      <c r="GN23">
        <v>367.24299999999999</v>
      </c>
      <c r="GO23">
        <v>676.74400000000003</v>
      </c>
      <c r="GP23">
        <v>25.83</v>
      </c>
      <c r="GQ23">
        <v>26.984100000000002</v>
      </c>
      <c r="GR23">
        <v>30</v>
      </c>
      <c r="GS23">
        <v>26.921600000000002</v>
      </c>
      <c r="GT23">
        <v>26.957699999999999</v>
      </c>
      <c r="GU23">
        <v>22.0717</v>
      </c>
      <c r="GV23">
        <v>31.531700000000001</v>
      </c>
      <c r="GW23">
        <v>0</v>
      </c>
      <c r="GX23">
        <v>25.83</v>
      </c>
      <c r="GY23">
        <v>450</v>
      </c>
      <c r="GZ23">
        <v>19.5</v>
      </c>
      <c r="HA23">
        <v>100.55500000000001</v>
      </c>
      <c r="HB23">
        <v>67.839299999999994</v>
      </c>
    </row>
    <row r="24" spans="1:210" x14ac:dyDescent="0.3">
      <c r="A24">
        <v>8</v>
      </c>
      <c r="B24">
        <v>1755601558.5</v>
      </c>
      <c r="C24">
        <v>1263.900000095367</v>
      </c>
      <c r="D24" t="s">
        <v>358</v>
      </c>
      <c r="E24" t="s">
        <v>359</v>
      </c>
      <c r="F24">
        <v>15</v>
      </c>
      <c r="G24">
        <v>1755601550.75</v>
      </c>
      <c r="H24">
        <f t="shared" si="0"/>
        <v>3.9697965831241491E-3</v>
      </c>
      <c r="I24">
        <f t="shared" si="1"/>
        <v>3.9697965831241491</v>
      </c>
      <c r="J24">
        <f t="shared" si="2"/>
        <v>34.269527262628891</v>
      </c>
      <c r="K24">
        <f t="shared" si="3"/>
        <v>369.59890000000001</v>
      </c>
      <c r="L24">
        <f t="shared" si="4"/>
        <v>301.40789441105505</v>
      </c>
      <c r="M24">
        <f t="shared" si="5"/>
        <v>30.592262020690661</v>
      </c>
      <c r="N24">
        <f t="shared" si="6"/>
        <v>37.513504460301</v>
      </c>
      <c r="O24">
        <f t="shared" si="7"/>
        <v>0.98162298623398692</v>
      </c>
      <c r="P24">
        <f t="shared" si="8"/>
        <v>2.4182187735130767</v>
      </c>
      <c r="Q24">
        <f t="shared" si="9"/>
        <v>0.81496994211652796</v>
      </c>
      <c r="R24">
        <f t="shared" si="10"/>
        <v>0.52208362664552965</v>
      </c>
      <c r="S24">
        <f t="shared" si="11"/>
        <v>219.04441333333347</v>
      </c>
      <c r="T24">
        <f t="shared" si="12"/>
        <v>27.005243957019847</v>
      </c>
      <c r="U24">
        <f t="shared" si="13"/>
        <v>25.843516666666659</v>
      </c>
      <c r="V24">
        <f t="shared" si="14"/>
        <v>3.343140095319987</v>
      </c>
      <c r="W24">
        <f t="shared" si="15"/>
        <v>81.460215684760101</v>
      </c>
      <c r="X24">
        <f t="shared" si="16"/>
        <v>2.863851638049526</v>
      </c>
      <c r="Y24">
        <f t="shared" si="17"/>
        <v>3.5156445560274978</v>
      </c>
      <c r="Z24">
        <f t="shared" si="18"/>
        <v>0.47928845727046099</v>
      </c>
      <c r="AA24">
        <f t="shared" si="19"/>
        <v>-175.06802931577496</v>
      </c>
      <c r="AB24">
        <f t="shared" si="20"/>
        <v>111.07218983071279</v>
      </c>
      <c r="AC24">
        <f t="shared" si="21"/>
        <v>9.8403198490896564</v>
      </c>
      <c r="AD24">
        <f t="shared" si="22"/>
        <v>164.88889369736097</v>
      </c>
      <c r="AE24">
        <f t="shared" si="23"/>
        <v>34.269527262628891</v>
      </c>
      <c r="AF24">
        <f t="shared" si="24"/>
        <v>3.9697965831241491</v>
      </c>
      <c r="AG24">
        <f t="shared" si="25"/>
        <v>34.270544616270755</v>
      </c>
      <c r="AH24">
        <v>458.99066286916809</v>
      </c>
      <c r="AI24">
        <v>380.33950303030298</v>
      </c>
      <c r="AJ24">
        <v>3.0311299549054528E-5</v>
      </c>
      <c r="AK24">
        <v>84.079453952093544</v>
      </c>
      <c r="AL24">
        <f t="shared" si="26"/>
        <v>3.9728507426688671</v>
      </c>
      <c r="AM24">
        <v>19.533673587442429</v>
      </c>
      <c r="AN24">
        <v>28.220881052631569</v>
      </c>
      <c r="AO24">
        <v>9.372708920125312E-6</v>
      </c>
      <c r="AP24">
        <v>90.496148263072342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53692.885303620838</v>
      </c>
      <c r="AV24">
        <f t="shared" si="30"/>
        <v>1152.8653333333341</v>
      </c>
      <c r="AW24">
        <f t="shared" si="31"/>
        <v>922.29226666666727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339</v>
      </c>
      <c r="BC24">
        <v>2</v>
      </c>
      <c r="BD24" t="b">
        <v>0</v>
      </c>
      <c r="BE24">
        <v>1755601550.75</v>
      </c>
      <c r="BF24">
        <v>369.59890000000001</v>
      </c>
      <c r="BG24">
        <v>450.01256666666671</v>
      </c>
      <c r="BH24">
        <v>28.21587666666667</v>
      </c>
      <c r="BI24">
        <v>19.53521666666667</v>
      </c>
      <c r="BJ24">
        <v>367.38119999999992</v>
      </c>
      <c r="BK24">
        <v>27.960979999999999</v>
      </c>
      <c r="BL24">
        <v>399.97036666666668</v>
      </c>
      <c r="BM24">
        <v>101.3979333333333</v>
      </c>
      <c r="BN24">
        <v>9.9945746666666654E-2</v>
      </c>
      <c r="BO24">
        <v>26.695486666666671</v>
      </c>
      <c r="BP24">
        <v>25.843516666666659</v>
      </c>
      <c r="BQ24">
        <v>999.9000000000002</v>
      </c>
      <c r="BR24">
        <v>0</v>
      </c>
      <c r="BS24">
        <v>0</v>
      </c>
      <c r="BT24">
        <v>10004.283333333329</v>
      </c>
      <c r="BU24">
        <v>1152.8653333333341</v>
      </c>
      <c r="BV24">
        <v>13.74419333333333</v>
      </c>
      <c r="BW24">
        <v>-80.413700000000006</v>
      </c>
      <c r="BX24">
        <v>380.33033333333327</v>
      </c>
      <c r="BY24">
        <v>458.97890000000012</v>
      </c>
      <c r="BZ24">
        <v>8.6806499999999982</v>
      </c>
      <c r="CA24">
        <v>450.01256666666671</v>
      </c>
      <c r="CB24">
        <v>19.53521666666667</v>
      </c>
      <c r="CC24">
        <v>2.8610306666666672</v>
      </c>
      <c r="CD24">
        <v>1.9808313333333329</v>
      </c>
      <c r="CE24">
        <v>23.24051</v>
      </c>
      <c r="CF24">
        <v>17.291936666666668</v>
      </c>
      <c r="CG24">
        <v>1755600079.5999999</v>
      </c>
      <c r="CH24" t="s">
        <v>340</v>
      </c>
      <c r="CI24">
        <v>1755600068.5999999</v>
      </c>
      <c r="CJ24">
        <v>1755600079.5999999</v>
      </c>
      <c r="CK24">
        <v>2</v>
      </c>
      <c r="CL24">
        <v>-0.55800000000000005</v>
      </c>
      <c r="CM24">
        <v>2.1000000000000001E-2</v>
      </c>
      <c r="CN24">
        <v>2.9209999999999998</v>
      </c>
      <c r="CO24">
        <v>0.255</v>
      </c>
      <c r="CP24">
        <v>450</v>
      </c>
      <c r="CQ24">
        <v>20</v>
      </c>
      <c r="CR24">
        <v>0.03</v>
      </c>
      <c r="CS24">
        <v>0.01</v>
      </c>
      <c r="CT24">
        <v>-80.402563414634159</v>
      </c>
      <c r="CU24">
        <v>-0.1189505226479997</v>
      </c>
      <c r="CV24">
        <v>3.035656200285116E-2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8.6787453658536577</v>
      </c>
      <c r="DC24">
        <v>3.9791707317058708E-2</v>
      </c>
      <c r="DD24">
        <v>4.2293850660446676E-3</v>
      </c>
      <c r="DE24">
        <v>1</v>
      </c>
      <c r="DF24">
        <v>2</v>
      </c>
      <c r="DG24">
        <v>2</v>
      </c>
      <c r="DH24" t="s">
        <v>341</v>
      </c>
      <c r="DI24">
        <v>3.02495</v>
      </c>
      <c r="DJ24">
        <v>2.6913299999999998</v>
      </c>
      <c r="DK24">
        <v>8.7664300000000001E-2</v>
      </c>
      <c r="DL24">
        <v>0.102733</v>
      </c>
      <c r="DM24">
        <v>0.13416500000000001</v>
      </c>
      <c r="DN24">
        <v>0.104823</v>
      </c>
      <c r="DO24">
        <v>25447</v>
      </c>
      <c r="DP24">
        <v>16218</v>
      </c>
      <c r="DQ24">
        <v>26462.1</v>
      </c>
      <c r="DR24">
        <v>16413.5</v>
      </c>
      <c r="DS24">
        <v>32565.7</v>
      </c>
      <c r="DT24">
        <v>19163.400000000001</v>
      </c>
      <c r="DU24">
        <v>38548.5</v>
      </c>
      <c r="DV24">
        <v>21720.9</v>
      </c>
      <c r="DW24">
        <v>1.81158</v>
      </c>
      <c r="DX24">
        <v>2.2041599999999999</v>
      </c>
      <c r="DY24">
        <v>8.2379599999999997E-2</v>
      </c>
      <c r="DZ24">
        <v>0</v>
      </c>
      <c r="EA24">
        <v>24.4909</v>
      </c>
      <c r="EB24">
        <v>999.9</v>
      </c>
      <c r="EC24">
        <v>57.2</v>
      </c>
      <c r="ED24">
        <v>31.6</v>
      </c>
      <c r="EE24">
        <v>26.331499999999998</v>
      </c>
      <c r="EF24">
        <v>62.756</v>
      </c>
      <c r="EG24">
        <v>34.735599999999998</v>
      </c>
      <c r="EH24">
        <v>1</v>
      </c>
      <c r="EI24">
        <v>-2.0914599999999998E-3</v>
      </c>
      <c r="EJ24">
        <v>-0.326405</v>
      </c>
      <c r="EK24">
        <v>20.328299999999999</v>
      </c>
      <c r="EL24">
        <v>5.2519099999999996</v>
      </c>
      <c r="EM24">
        <v>11.962</v>
      </c>
      <c r="EN24">
        <v>4.9896799999999999</v>
      </c>
      <c r="EO24">
        <v>3.2913600000000001</v>
      </c>
      <c r="EP24">
        <v>9999</v>
      </c>
      <c r="EQ24">
        <v>9999</v>
      </c>
      <c r="ER24">
        <v>9999</v>
      </c>
      <c r="ES24">
        <v>999.9</v>
      </c>
      <c r="ET24">
        <v>4.9726499999999998</v>
      </c>
      <c r="EU24">
        <v>1.8718399999999999</v>
      </c>
      <c r="EV24">
        <v>1.87212</v>
      </c>
      <c r="EW24">
        <v>1.8771599999999999</v>
      </c>
      <c r="EX24">
        <v>1.87134</v>
      </c>
      <c r="EY24">
        <v>1.8721000000000001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342</v>
      </c>
      <c r="FG24" t="s">
        <v>343</v>
      </c>
      <c r="FH24" t="s">
        <v>344</v>
      </c>
      <c r="FI24" t="s">
        <v>344</v>
      </c>
      <c r="FJ24" t="s">
        <v>344</v>
      </c>
      <c r="FK24" t="s">
        <v>344</v>
      </c>
      <c r="FL24">
        <v>0</v>
      </c>
      <c r="FM24">
        <v>100</v>
      </c>
      <c r="FN24">
        <v>100</v>
      </c>
      <c r="FO24">
        <v>2.218</v>
      </c>
      <c r="FP24">
        <v>0.25490000000000002</v>
      </c>
      <c r="FQ24">
        <v>-0.67078220295760627</v>
      </c>
      <c r="FR24">
        <v>7.0338458001993282E-3</v>
      </c>
      <c r="FS24">
        <v>2.3387658340725169E-6</v>
      </c>
      <c r="FT24">
        <v>-2.2874075696057401E-10</v>
      </c>
      <c r="FU24">
        <v>0.25488999999999962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24.8</v>
      </c>
      <c r="GD24">
        <v>24.6</v>
      </c>
      <c r="GE24">
        <v>1.1047400000000001</v>
      </c>
      <c r="GF24">
        <v>2.64771</v>
      </c>
      <c r="GG24">
        <v>1.7981</v>
      </c>
      <c r="GH24">
        <v>2.3791500000000001</v>
      </c>
      <c r="GI24">
        <v>1.5979000000000001</v>
      </c>
      <c r="GJ24">
        <v>2.51831</v>
      </c>
      <c r="GK24">
        <v>34.898499999999999</v>
      </c>
      <c r="GL24">
        <v>24.157499999999999</v>
      </c>
      <c r="GM24">
        <v>18</v>
      </c>
      <c r="GN24">
        <v>367.52</v>
      </c>
      <c r="GO24">
        <v>676.45899999999995</v>
      </c>
      <c r="GP24">
        <v>25.830100000000002</v>
      </c>
      <c r="GQ24">
        <v>26.9955</v>
      </c>
      <c r="GR24">
        <v>30.0002</v>
      </c>
      <c r="GS24">
        <v>26.932300000000001</v>
      </c>
      <c r="GT24">
        <v>26.966799999999999</v>
      </c>
      <c r="GU24">
        <v>22.0717</v>
      </c>
      <c r="GV24">
        <v>31.531700000000001</v>
      </c>
      <c r="GW24">
        <v>0</v>
      </c>
      <c r="GX24">
        <v>25.83</v>
      </c>
      <c r="GY24">
        <v>450</v>
      </c>
      <c r="GZ24">
        <v>19.5</v>
      </c>
      <c r="HA24">
        <v>100.553</v>
      </c>
      <c r="HB24">
        <v>67.838700000000003</v>
      </c>
    </row>
    <row r="25" spans="1:210" x14ac:dyDescent="0.3">
      <c r="A25">
        <v>9</v>
      </c>
      <c r="B25">
        <v>1755601739</v>
      </c>
      <c r="C25">
        <v>1444.400000095367</v>
      </c>
      <c r="D25" t="s">
        <v>360</v>
      </c>
      <c r="E25" t="s">
        <v>361</v>
      </c>
      <c r="F25">
        <v>15</v>
      </c>
      <c r="G25">
        <v>1755601731.25</v>
      </c>
      <c r="H25">
        <f t="shared" si="0"/>
        <v>3.979472405594946E-3</v>
      </c>
      <c r="I25">
        <f t="shared" si="1"/>
        <v>3.979472405594946</v>
      </c>
      <c r="J25">
        <f t="shared" si="2"/>
        <v>41.494909298751935</v>
      </c>
      <c r="K25">
        <f t="shared" si="3"/>
        <v>502.14406666666667</v>
      </c>
      <c r="L25">
        <f t="shared" si="4"/>
        <v>420.02986270925436</v>
      </c>
      <c r="M25">
        <f t="shared" si="5"/>
        <v>42.632464119881426</v>
      </c>
      <c r="N25">
        <f t="shared" si="6"/>
        <v>50.966944985995994</v>
      </c>
      <c r="O25">
        <f t="shared" si="7"/>
        <v>0.99408301336441396</v>
      </c>
      <c r="P25">
        <f t="shared" si="8"/>
        <v>2.4171142240077379</v>
      </c>
      <c r="Q25">
        <f t="shared" si="9"/>
        <v>0.82347764324663286</v>
      </c>
      <c r="R25">
        <f t="shared" si="10"/>
        <v>0.52767718693077492</v>
      </c>
      <c r="S25">
        <f t="shared" si="11"/>
        <v>219.00400666666675</v>
      </c>
      <c r="T25">
        <f t="shared" si="12"/>
        <v>26.995893914486839</v>
      </c>
      <c r="U25">
        <f t="shared" si="13"/>
        <v>25.837906666666669</v>
      </c>
      <c r="V25">
        <f t="shared" si="14"/>
        <v>3.3420291583912318</v>
      </c>
      <c r="W25">
        <f t="shared" si="15"/>
        <v>81.566297874055394</v>
      </c>
      <c r="X25">
        <f t="shared" si="16"/>
        <v>2.8665363828818795</v>
      </c>
      <c r="Y25">
        <f t="shared" si="17"/>
        <v>3.5143637232475982</v>
      </c>
      <c r="Z25">
        <f t="shared" si="18"/>
        <v>0.47549277550935232</v>
      </c>
      <c r="AA25">
        <f t="shared" si="19"/>
        <v>-175.49473308673711</v>
      </c>
      <c r="AB25">
        <f t="shared" si="20"/>
        <v>110.9458756702418</v>
      </c>
      <c r="AC25">
        <f t="shared" si="21"/>
        <v>9.833039189235194</v>
      </c>
      <c r="AD25">
        <f t="shared" si="22"/>
        <v>164.28818843940664</v>
      </c>
      <c r="AE25">
        <f t="shared" si="23"/>
        <v>41.494909298751935</v>
      </c>
      <c r="AF25">
        <f t="shared" si="24"/>
        <v>3.979472405594946</v>
      </c>
      <c r="AG25">
        <f t="shared" si="25"/>
        <v>41.524483417794414</v>
      </c>
      <c r="AH25">
        <v>611.9967509471843</v>
      </c>
      <c r="AI25">
        <v>516.71109090909067</v>
      </c>
      <c r="AJ25">
        <v>4.8603862564053978E-5</v>
      </c>
      <c r="AK25">
        <v>84.079453952093544</v>
      </c>
      <c r="AL25">
        <f t="shared" si="26"/>
        <v>3.981131162908087</v>
      </c>
      <c r="AM25">
        <v>19.540975495424</v>
      </c>
      <c r="AN25">
        <v>28.24486601503758</v>
      </c>
      <c r="AO25">
        <v>8.7187248075472042E-7</v>
      </c>
      <c r="AP25">
        <v>90.496148263072342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53657.026097101778</v>
      </c>
      <c r="AV25">
        <f t="shared" si="30"/>
        <v>1152.6526666666671</v>
      </c>
      <c r="AW25">
        <f t="shared" si="31"/>
        <v>922.12213333333375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339</v>
      </c>
      <c r="BC25">
        <v>2</v>
      </c>
      <c r="BD25" t="b">
        <v>0</v>
      </c>
      <c r="BE25">
        <v>1755601731.25</v>
      </c>
      <c r="BF25">
        <v>502.14406666666667</v>
      </c>
      <c r="BG25">
        <v>599.99649999999997</v>
      </c>
      <c r="BH25">
        <v>28.242113333333339</v>
      </c>
      <c r="BI25">
        <v>19.541816666666669</v>
      </c>
      <c r="BJ25">
        <v>498.75336666666658</v>
      </c>
      <c r="BK25">
        <v>27.987233333333339</v>
      </c>
      <c r="BL25">
        <v>400.02949999999998</v>
      </c>
      <c r="BM25">
        <v>101.3986</v>
      </c>
      <c r="BN25">
        <v>0.1000502266666667</v>
      </c>
      <c r="BO25">
        <v>26.689296666666671</v>
      </c>
      <c r="BP25">
        <v>25.837906666666669</v>
      </c>
      <c r="BQ25">
        <v>999.9000000000002</v>
      </c>
      <c r="BR25">
        <v>0</v>
      </c>
      <c r="BS25">
        <v>0</v>
      </c>
      <c r="BT25">
        <v>9997.0333333333328</v>
      </c>
      <c r="BU25">
        <v>1152.6526666666671</v>
      </c>
      <c r="BV25">
        <v>13.740399999999999</v>
      </c>
      <c r="BW25">
        <v>-97.852443333333312</v>
      </c>
      <c r="BX25">
        <v>516.73786666666672</v>
      </c>
      <c r="BY25">
        <v>611.95533333333321</v>
      </c>
      <c r="BZ25">
        <v>8.700308999999999</v>
      </c>
      <c r="CA25">
        <v>599.99649999999997</v>
      </c>
      <c r="CB25">
        <v>19.541816666666669</v>
      </c>
      <c r="CC25">
        <v>2.8637126666666668</v>
      </c>
      <c r="CD25">
        <v>1.981513333333333</v>
      </c>
      <c r="CE25">
        <v>23.256013333333328</v>
      </c>
      <c r="CF25">
        <v>17.297376666666661</v>
      </c>
      <c r="CG25">
        <v>1755600079.5999999</v>
      </c>
      <c r="CH25" t="s">
        <v>340</v>
      </c>
      <c r="CI25">
        <v>1755600068.5999999</v>
      </c>
      <c r="CJ25">
        <v>1755600079.5999999</v>
      </c>
      <c r="CK25">
        <v>2</v>
      </c>
      <c r="CL25">
        <v>-0.55800000000000005</v>
      </c>
      <c r="CM25">
        <v>2.1000000000000001E-2</v>
      </c>
      <c r="CN25">
        <v>2.9209999999999998</v>
      </c>
      <c r="CO25">
        <v>0.255</v>
      </c>
      <c r="CP25">
        <v>450</v>
      </c>
      <c r="CQ25">
        <v>20</v>
      </c>
      <c r="CR25">
        <v>0.03</v>
      </c>
      <c r="CS25">
        <v>0.01</v>
      </c>
      <c r="CT25">
        <v>-97.807407317073171</v>
      </c>
      <c r="CU25">
        <v>-0.95705853658547668</v>
      </c>
      <c r="CV25">
        <v>9.7492247071977123E-2</v>
      </c>
      <c r="CW25">
        <v>0</v>
      </c>
      <c r="CX25">
        <v>0</v>
      </c>
      <c r="CY25">
        <v>0</v>
      </c>
      <c r="CZ25">
        <v>0</v>
      </c>
      <c r="DA25">
        <v>-1</v>
      </c>
      <c r="DB25">
        <v>8.699736585365855</v>
      </c>
      <c r="DC25">
        <v>8.2400696864207961E-3</v>
      </c>
      <c r="DD25">
        <v>2.6975459577054878E-3</v>
      </c>
      <c r="DE25">
        <v>1</v>
      </c>
      <c r="DF25">
        <v>1</v>
      </c>
      <c r="DG25">
        <v>2</v>
      </c>
      <c r="DH25" t="s">
        <v>355</v>
      </c>
      <c r="DI25">
        <v>3.0246900000000001</v>
      </c>
      <c r="DJ25">
        <v>2.6912099999999999</v>
      </c>
      <c r="DK25">
        <v>0.110251</v>
      </c>
      <c r="DL25">
        <v>0.126329</v>
      </c>
      <c r="DM25">
        <v>0.134246</v>
      </c>
      <c r="DN25">
        <v>0.10483099999999999</v>
      </c>
      <c r="DO25">
        <v>24816.9</v>
      </c>
      <c r="DP25">
        <v>15791.3</v>
      </c>
      <c r="DQ25">
        <v>26461.9</v>
      </c>
      <c r="DR25">
        <v>16413.2</v>
      </c>
      <c r="DS25">
        <v>32562.799999999999</v>
      </c>
      <c r="DT25">
        <v>19163.5</v>
      </c>
      <c r="DU25">
        <v>38548</v>
      </c>
      <c r="DV25">
        <v>21720.799999999999</v>
      </c>
      <c r="DW25">
        <v>1.81128</v>
      </c>
      <c r="DX25">
        <v>2.2047599999999998</v>
      </c>
      <c r="DY25">
        <v>8.2147100000000001E-2</v>
      </c>
      <c r="DZ25">
        <v>0</v>
      </c>
      <c r="EA25">
        <v>24.4879</v>
      </c>
      <c r="EB25">
        <v>999.9</v>
      </c>
      <c r="EC25">
        <v>57.2</v>
      </c>
      <c r="ED25">
        <v>31.6</v>
      </c>
      <c r="EE25">
        <v>26.3355</v>
      </c>
      <c r="EF25">
        <v>62.746000000000002</v>
      </c>
      <c r="EG25">
        <v>34.691499999999998</v>
      </c>
      <c r="EH25">
        <v>1</v>
      </c>
      <c r="EI25">
        <v>-1.7926800000000001E-3</v>
      </c>
      <c r="EJ25">
        <v>-0.32407399999999997</v>
      </c>
      <c r="EK25">
        <v>20.328099999999999</v>
      </c>
      <c r="EL25">
        <v>5.2520300000000004</v>
      </c>
      <c r="EM25">
        <v>11.962</v>
      </c>
      <c r="EN25">
        <v>4.9897200000000002</v>
      </c>
      <c r="EO25">
        <v>3.2911800000000002</v>
      </c>
      <c r="EP25">
        <v>9999</v>
      </c>
      <c r="EQ25">
        <v>9999</v>
      </c>
      <c r="ER25">
        <v>9999</v>
      </c>
      <c r="ES25">
        <v>999.9</v>
      </c>
      <c r="ET25">
        <v>4.9726699999999999</v>
      </c>
      <c r="EU25">
        <v>1.87188</v>
      </c>
      <c r="EV25">
        <v>1.87212</v>
      </c>
      <c r="EW25">
        <v>1.8772</v>
      </c>
      <c r="EX25">
        <v>1.87134</v>
      </c>
      <c r="EY25">
        <v>1.8721000000000001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342</v>
      </c>
      <c r="FG25" t="s">
        <v>343</v>
      </c>
      <c r="FH25" t="s">
        <v>344</v>
      </c>
      <c r="FI25" t="s">
        <v>344</v>
      </c>
      <c r="FJ25" t="s">
        <v>344</v>
      </c>
      <c r="FK25" t="s">
        <v>344</v>
      </c>
      <c r="FL25">
        <v>0</v>
      </c>
      <c r="FM25">
        <v>100</v>
      </c>
      <c r="FN25">
        <v>100</v>
      </c>
      <c r="FO25">
        <v>3.39</v>
      </c>
      <c r="FP25">
        <v>0.25480000000000003</v>
      </c>
      <c r="FQ25">
        <v>-0.67078220295760627</v>
      </c>
      <c r="FR25">
        <v>7.0338458001993282E-3</v>
      </c>
      <c r="FS25">
        <v>2.3387658340725169E-6</v>
      </c>
      <c r="FT25">
        <v>-2.2874075696057401E-10</v>
      </c>
      <c r="FU25">
        <v>0.25488999999999962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27.8</v>
      </c>
      <c r="GD25">
        <v>27.7</v>
      </c>
      <c r="GE25">
        <v>1.3915999999999999</v>
      </c>
      <c r="GF25">
        <v>2.6464799999999999</v>
      </c>
      <c r="GG25">
        <v>1.79932</v>
      </c>
      <c r="GH25">
        <v>2.3791500000000001</v>
      </c>
      <c r="GI25">
        <v>1.5979000000000001</v>
      </c>
      <c r="GJ25">
        <v>2.4133300000000002</v>
      </c>
      <c r="GK25">
        <v>34.898499999999999</v>
      </c>
      <c r="GL25">
        <v>24.157499999999999</v>
      </c>
      <c r="GM25">
        <v>18</v>
      </c>
      <c r="GN25">
        <v>367.399</v>
      </c>
      <c r="GO25">
        <v>677.07100000000003</v>
      </c>
      <c r="GP25">
        <v>25.829899999999999</v>
      </c>
      <c r="GQ25">
        <v>27.0001</v>
      </c>
      <c r="GR25">
        <v>30.0001</v>
      </c>
      <c r="GS25">
        <v>26.9374</v>
      </c>
      <c r="GT25">
        <v>26.973700000000001</v>
      </c>
      <c r="GU25">
        <v>27.812799999999999</v>
      </c>
      <c r="GV25">
        <v>31.531700000000001</v>
      </c>
      <c r="GW25">
        <v>0</v>
      </c>
      <c r="GX25">
        <v>25.83</v>
      </c>
      <c r="GY25">
        <v>600</v>
      </c>
      <c r="GZ25">
        <v>19.5</v>
      </c>
      <c r="HA25">
        <v>100.55200000000001</v>
      </c>
      <c r="HB25">
        <v>67.838099999999997</v>
      </c>
    </row>
    <row r="26" spans="1:210" x14ac:dyDescent="0.3">
      <c r="A26">
        <v>10</v>
      </c>
      <c r="B26">
        <v>1755601919.5</v>
      </c>
      <c r="C26">
        <v>1624.900000095367</v>
      </c>
      <c r="D26" t="s">
        <v>362</v>
      </c>
      <c r="E26" t="s">
        <v>363</v>
      </c>
      <c r="F26">
        <v>15</v>
      </c>
      <c r="G26">
        <v>1755601911.75</v>
      </c>
      <c r="H26">
        <f t="shared" si="0"/>
        <v>3.9895393779927945E-3</v>
      </c>
      <c r="I26">
        <f t="shared" si="1"/>
        <v>3.9895393779927946</v>
      </c>
      <c r="J26">
        <f t="shared" si="2"/>
        <v>47.455062647897307</v>
      </c>
      <c r="K26">
        <f t="shared" si="3"/>
        <v>786.19793333333325</v>
      </c>
      <c r="L26">
        <f t="shared" si="4"/>
        <v>691.04709250778308</v>
      </c>
      <c r="M26">
        <f t="shared" si="5"/>
        <v>70.137938778201288</v>
      </c>
      <c r="N26">
        <f t="shared" si="6"/>
        <v>79.795289081634706</v>
      </c>
      <c r="O26">
        <f t="shared" si="7"/>
        <v>0.99850689154006644</v>
      </c>
      <c r="P26">
        <f t="shared" si="8"/>
        <v>2.4181358216644098</v>
      </c>
      <c r="Q26">
        <f t="shared" si="9"/>
        <v>0.82657191800583396</v>
      </c>
      <c r="R26">
        <f t="shared" si="10"/>
        <v>0.52970447566588141</v>
      </c>
      <c r="S26">
        <f t="shared" si="11"/>
        <v>218.95530333333326</v>
      </c>
      <c r="T26">
        <f t="shared" si="12"/>
        <v>26.991781501351735</v>
      </c>
      <c r="U26">
        <f t="shared" si="13"/>
        <v>25.83792</v>
      </c>
      <c r="V26">
        <f t="shared" si="14"/>
        <v>3.342031798381873</v>
      </c>
      <c r="W26">
        <f t="shared" si="15"/>
        <v>81.585957187491616</v>
      </c>
      <c r="X26">
        <f t="shared" si="16"/>
        <v>2.867138950131491</v>
      </c>
      <c r="Y26">
        <f t="shared" si="17"/>
        <v>3.5142554539656339</v>
      </c>
      <c r="Z26">
        <f t="shared" si="18"/>
        <v>0.47489284825038203</v>
      </c>
      <c r="AA26">
        <f t="shared" si="19"/>
        <v>-175.93868656948223</v>
      </c>
      <c r="AB26">
        <f t="shared" si="20"/>
        <v>110.92280376771983</v>
      </c>
      <c r="AC26">
        <f t="shared" si="21"/>
        <v>9.826815868947012</v>
      </c>
      <c r="AD26">
        <f t="shared" si="22"/>
        <v>163.76623640051787</v>
      </c>
      <c r="AE26">
        <f t="shared" si="23"/>
        <v>47.455062647897307</v>
      </c>
      <c r="AF26">
        <f t="shared" si="24"/>
        <v>3.9895393779927946</v>
      </c>
      <c r="AG26">
        <f t="shared" si="25"/>
        <v>47.495913284534872</v>
      </c>
      <c r="AH26">
        <v>917.99099211651651</v>
      </c>
      <c r="AI26">
        <v>809.02630909090897</v>
      </c>
      <c r="AJ26">
        <v>-3.3407056406374509E-3</v>
      </c>
      <c r="AK26">
        <v>84.079453952093544</v>
      </c>
      <c r="AL26">
        <f t="shared" si="26"/>
        <v>3.9856669556348905</v>
      </c>
      <c r="AM26">
        <v>19.52719520895041</v>
      </c>
      <c r="AN26">
        <v>28.24163488721803</v>
      </c>
      <c r="AO26">
        <v>-1.8336576635805919E-6</v>
      </c>
      <c r="AP26">
        <v>90.496148263072342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53691.250471536463</v>
      </c>
      <c r="AV26">
        <f t="shared" si="30"/>
        <v>1152.3963333333329</v>
      </c>
      <c r="AW26">
        <f t="shared" si="31"/>
        <v>921.91706666666641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339</v>
      </c>
      <c r="BC26">
        <v>2</v>
      </c>
      <c r="BD26" t="b">
        <v>0</v>
      </c>
      <c r="BE26">
        <v>1755601911.75</v>
      </c>
      <c r="BF26">
        <v>786.19793333333325</v>
      </c>
      <c r="BG26">
        <v>900.02826666666658</v>
      </c>
      <c r="BH26">
        <v>28.249020000000009</v>
      </c>
      <c r="BI26">
        <v>19.526196666666671</v>
      </c>
      <c r="BJ26">
        <v>780.06716666666659</v>
      </c>
      <c r="BK26">
        <v>27.99412666666667</v>
      </c>
      <c r="BL26">
        <v>400.00293333333337</v>
      </c>
      <c r="BM26">
        <v>101.3951666666667</v>
      </c>
      <c r="BN26">
        <v>9.9998480000000001E-2</v>
      </c>
      <c r="BO26">
        <v>26.688773333333341</v>
      </c>
      <c r="BP26">
        <v>25.83792</v>
      </c>
      <c r="BQ26">
        <v>999.9000000000002</v>
      </c>
      <c r="BR26">
        <v>0</v>
      </c>
      <c r="BS26">
        <v>0</v>
      </c>
      <c r="BT26">
        <v>10004.01666666667</v>
      </c>
      <c r="BU26">
        <v>1152.3963333333329</v>
      </c>
      <c r="BV26">
        <v>13.740399999999999</v>
      </c>
      <c r="BW26">
        <v>-113.83036666666671</v>
      </c>
      <c r="BX26">
        <v>809.05286666666677</v>
      </c>
      <c r="BY26">
        <v>917.95236666666653</v>
      </c>
      <c r="BZ26">
        <v>8.7228260000000013</v>
      </c>
      <c r="CA26">
        <v>900.02826666666658</v>
      </c>
      <c r="CB26">
        <v>19.526196666666671</v>
      </c>
      <c r="CC26">
        <v>2.8643126666666658</v>
      </c>
      <c r="CD26">
        <v>1.9798616666666671</v>
      </c>
      <c r="CE26">
        <v>23.25948</v>
      </c>
      <c r="CF26">
        <v>17.284183333333331</v>
      </c>
      <c r="CG26">
        <v>1755600079.5999999</v>
      </c>
      <c r="CH26" t="s">
        <v>340</v>
      </c>
      <c r="CI26">
        <v>1755600068.5999999</v>
      </c>
      <c r="CJ26">
        <v>1755600079.5999999</v>
      </c>
      <c r="CK26">
        <v>2</v>
      </c>
      <c r="CL26">
        <v>-0.55800000000000005</v>
      </c>
      <c r="CM26">
        <v>2.1000000000000001E-2</v>
      </c>
      <c r="CN26">
        <v>2.9209999999999998</v>
      </c>
      <c r="CO26">
        <v>0.255</v>
      </c>
      <c r="CP26">
        <v>450</v>
      </c>
      <c r="CQ26">
        <v>20</v>
      </c>
      <c r="CR26">
        <v>0.03</v>
      </c>
      <c r="CS26">
        <v>0.01</v>
      </c>
      <c r="CT26">
        <v>-113.814475</v>
      </c>
      <c r="CU26">
        <v>-0.19415009380838019</v>
      </c>
      <c r="CV26">
        <v>6.5964379592321903E-2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8.722334</v>
      </c>
      <c r="DC26">
        <v>-1.108165103192736E-2</v>
      </c>
      <c r="DD26">
        <v>3.2082914456140338E-3</v>
      </c>
      <c r="DE26">
        <v>1</v>
      </c>
      <c r="DF26">
        <v>2</v>
      </c>
      <c r="DG26">
        <v>2</v>
      </c>
      <c r="DH26" t="s">
        <v>341</v>
      </c>
      <c r="DI26">
        <v>3.0246499999999998</v>
      </c>
      <c r="DJ26">
        <v>2.6911</v>
      </c>
      <c r="DK26">
        <v>0.150202</v>
      </c>
      <c r="DL26">
        <v>0.165766</v>
      </c>
      <c r="DM26">
        <v>0.13423499999999999</v>
      </c>
      <c r="DN26">
        <v>0.104764</v>
      </c>
      <c r="DO26">
        <v>23702.799999999999</v>
      </c>
      <c r="DP26">
        <v>15078.6</v>
      </c>
      <c r="DQ26">
        <v>26461.9</v>
      </c>
      <c r="DR26">
        <v>16413.2</v>
      </c>
      <c r="DS26">
        <v>32563.8</v>
      </c>
      <c r="DT26">
        <v>19165.7</v>
      </c>
      <c r="DU26">
        <v>38547.4</v>
      </c>
      <c r="DV26">
        <v>21721</v>
      </c>
      <c r="DW26">
        <v>1.8116399999999999</v>
      </c>
      <c r="DX26">
        <v>2.2054399999999998</v>
      </c>
      <c r="DY26">
        <v>8.1542100000000006E-2</v>
      </c>
      <c r="DZ26">
        <v>0</v>
      </c>
      <c r="EA26">
        <v>24.500299999999999</v>
      </c>
      <c r="EB26">
        <v>999.9</v>
      </c>
      <c r="EC26">
        <v>57.1</v>
      </c>
      <c r="ED26">
        <v>31.6</v>
      </c>
      <c r="EE26">
        <v>26.288499999999999</v>
      </c>
      <c r="EF26">
        <v>62.805999999999997</v>
      </c>
      <c r="EG26">
        <v>34.771599999999999</v>
      </c>
      <c r="EH26">
        <v>1</v>
      </c>
      <c r="EI26">
        <v>-1.62805E-3</v>
      </c>
      <c r="EJ26">
        <v>-0.317861</v>
      </c>
      <c r="EK26">
        <v>20.328099999999999</v>
      </c>
      <c r="EL26">
        <v>5.2528699999999997</v>
      </c>
      <c r="EM26">
        <v>11.962</v>
      </c>
      <c r="EN26">
        <v>4.9897999999999998</v>
      </c>
      <c r="EO26">
        <v>3.2912400000000002</v>
      </c>
      <c r="EP26">
        <v>9999</v>
      </c>
      <c r="EQ26">
        <v>9999</v>
      </c>
      <c r="ER26">
        <v>9999</v>
      </c>
      <c r="ES26">
        <v>999.9</v>
      </c>
      <c r="ET26">
        <v>4.9726699999999999</v>
      </c>
      <c r="EU26">
        <v>1.87185</v>
      </c>
      <c r="EV26">
        <v>1.87212</v>
      </c>
      <c r="EW26">
        <v>1.8772</v>
      </c>
      <c r="EX26">
        <v>1.87134</v>
      </c>
      <c r="EY26">
        <v>1.8721000000000001</v>
      </c>
      <c r="EZ26">
        <v>1.8717900000000001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342</v>
      </c>
      <c r="FG26" t="s">
        <v>343</v>
      </c>
      <c r="FH26" t="s">
        <v>344</v>
      </c>
      <c r="FI26" t="s">
        <v>344</v>
      </c>
      <c r="FJ26" t="s">
        <v>344</v>
      </c>
      <c r="FK26" t="s">
        <v>344</v>
      </c>
      <c r="FL26">
        <v>0</v>
      </c>
      <c r="FM26">
        <v>100</v>
      </c>
      <c r="FN26">
        <v>100</v>
      </c>
      <c r="FO26">
        <v>6.13</v>
      </c>
      <c r="FP26">
        <v>0.25490000000000002</v>
      </c>
      <c r="FQ26">
        <v>-0.67078220295760627</v>
      </c>
      <c r="FR26">
        <v>7.0338458001993282E-3</v>
      </c>
      <c r="FS26">
        <v>2.3387658340725169E-6</v>
      </c>
      <c r="FT26">
        <v>-2.2874075696057401E-10</v>
      </c>
      <c r="FU26">
        <v>0.25488999999999962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30.8</v>
      </c>
      <c r="GD26">
        <v>30.7</v>
      </c>
      <c r="GE26">
        <v>1.9335899999999999</v>
      </c>
      <c r="GF26">
        <v>2.63184</v>
      </c>
      <c r="GG26">
        <v>1.7981</v>
      </c>
      <c r="GH26">
        <v>2.3779300000000001</v>
      </c>
      <c r="GI26">
        <v>1.5979000000000001</v>
      </c>
      <c r="GJ26">
        <v>2.4230999999999998</v>
      </c>
      <c r="GK26">
        <v>34.898499999999999</v>
      </c>
      <c r="GL26">
        <v>24.157499999999999</v>
      </c>
      <c r="GM26">
        <v>18</v>
      </c>
      <c r="GN26">
        <v>367.61399999999998</v>
      </c>
      <c r="GO26">
        <v>677.72400000000005</v>
      </c>
      <c r="GP26">
        <v>25.829799999999999</v>
      </c>
      <c r="GQ26">
        <v>27.006900000000002</v>
      </c>
      <c r="GR26">
        <v>30.0001</v>
      </c>
      <c r="GS26">
        <v>26.9419</v>
      </c>
      <c r="GT26">
        <v>26.978200000000001</v>
      </c>
      <c r="GU26">
        <v>38.666899999999998</v>
      </c>
      <c r="GV26">
        <v>31.531700000000001</v>
      </c>
      <c r="GW26">
        <v>0</v>
      </c>
      <c r="GX26">
        <v>25.83</v>
      </c>
      <c r="GY26">
        <v>900</v>
      </c>
      <c r="GZ26">
        <v>19.5</v>
      </c>
      <c r="HA26">
        <v>100.551</v>
      </c>
      <c r="HB26">
        <v>67.838399999999993</v>
      </c>
    </row>
    <row r="27" spans="1:210" x14ac:dyDescent="0.3">
      <c r="A27">
        <v>11</v>
      </c>
      <c r="B27">
        <v>1755602100</v>
      </c>
      <c r="C27">
        <v>1805.400000095367</v>
      </c>
      <c r="D27" t="s">
        <v>364</v>
      </c>
      <c r="E27" t="s">
        <v>365</v>
      </c>
      <c r="F27">
        <v>15</v>
      </c>
      <c r="G27">
        <v>1755602092.25</v>
      </c>
      <c r="H27">
        <f t="shared" si="0"/>
        <v>3.9868834197961649E-3</v>
      </c>
      <c r="I27">
        <f t="shared" si="1"/>
        <v>3.9868834197961647</v>
      </c>
      <c r="J27">
        <f t="shared" si="2"/>
        <v>48.783612172988725</v>
      </c>
      <c r="K27">
        <f t="shared" si="3"/>
        <v>1080.5143333333331</v>
      </c>
      <c r="L27">
        <f t="shared" si="4"/>
        <v>980.42615534263359</v>
      </c>
      <c r="M27">
        <f t="shared" si="5"/>
        <v>99.509627347370724</v>
      </c>
      <c r="N27">
        <f t="shared" si="6"/>
        <v>109.66820710318227</v>
      </c>
      <c r="O27">
        <f t="shared" si="7"/>
        <v>0.99573755384220131</v>
      </c>
      <c r="P27">
        <f t="shared" si="8"/>
        <v>2.4180469216225342</v>
      </c>
      <c r="Q27">
        <f t="shared" si="9"/>
        <v>0.82466757948459402</v>
      </c>
      <c r="R27">
        <f t="shared" si="10"/>
        <v>0.52845378911431529</v>
      </c>
      <c r="S27">
        <f t="shared" si="11"/>
        <v>218.92800666666673</v>
      </c>
      <c r="T27">
        <f t="shared" si="12"/>
        <v>26.997829844941112</v>
      </c>
      <c r="U27">
        <f t="shared" si="13"/>
        <v>25.842443333333339</v>
      </c>
      <c r="V27">
        <f t="shared" si="14"/>
        <v>3.3429275203454685</v>
      </c>
      <c r="W27">
        <f t="shared" si="15"/>
        <v>81.563206416178559</v>
      </c>
      <c r="X27">
        <f t="shared" si="16"/>
        <v>2.8672518718649704</v>
      </c>
      <c r="Y27">
        <f t="shared" si="17"/>
        <v>3.5153741470568689</v>
      </c>
      <c r="Z27">
        <f t="shared" si="18"/>
        <v>0.47567564848049804</v>
      </c>
      <c r="AA27">
        <f t="shared" si="19"/>
        <v>-175.82155881301088</v>
      </c>
      <c r="AB27">
        <f t="shared" si="20"/>
        <v>111.03387869099502</v>
      </c>
      <c r="AC27">
        <f t="shared" si="21"/>
        <v>9.8375074671369198</v>
      </c>
      <c r="AD27">
        <f t="shared" si="22"/>
        <v>163.97783401178782</v>
      </c>
      <c r="AE27">
        <f t="shared" si="23"/>
        <v>48.783612172988725</v>
      </c>
      <c r="AF27">
        <f t="shared" si="24"/>
        <v>3.9868834197961647</v>
      </c>
      <c r="AG27">
        <f t="shared" si="25"/>
        <v>48.847688406235868</v>
      </c>
      <c r="AH27">
        <v>1223.854803173969</v>
      </c>
      <c r="AI27">
        <v>1111.7779393939391</v>
      </c>
      <c r="AJ27">
        <v>-3.8392442012095932E-3</v>
      </c>
      <c r="AK27">
        <v>84.079453952093544</v>
      </c>
      <c r="AL27">
        <f t="shared" si="26"/>
        <v>3.9867628621783209</v>
      </c>
      <c r="AM27">
        <v>19.531417807677109</v>
      </c>
      <c r="AN27">
        <v>28.249232932330809</v>
      </c>
      <c r="AO27">
        <v>7.0519006754841911E-7</v>
      </c>
      <c r="AP27">
        <v>90.496148263072342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53687.331940154116</v>
      </c>
      <c r="AV27">
        <f t="shared" si="30"/>
        <v>1152.252666666667</v>
      </c>
      <c r="AW27">
        <f t="shared" si="31"/>
        <v>921.80213333333359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339</v>
      </c>
      <c r="BC27">
        <v>2</v>
      </c>
      <c r="BD27" t="b">
        <v>0</v>
      </c>
      <c r="BE27">
        <v>1755602092.25</v>
      </c>
      <c r="BF27">
        <v>1080.5143333333331</v>
      </c>
      <c r="BG27">
        <v>1199.9839999999999</v>
      </c>
      <c r="BH27">
        <v>28.249816666666661</v>
      </c>
      <c r="BI27">
        <v>19.531736666666671</v>
      </c>
      <c r="BJ27">
        <v>1071.2476666666671</v>
      </c>
      <c r="BK27">
        <v>27.99493</v>
      </c>
      <c r="BL27">
        <v>399.95379999999989</v>
      </c>
      <c r="BM27">
        <v>101.3964</v>
      </c>
      <c r="BN27">
        <v>9.9900160000000016E-2</v>
      </c>
      <c r="BO27">
        <v>26.694179999999999</v>
      </c>
      <c r="BP27">
        <v>25.842443333333339</v>
      </c>
      <c r="BQ27">
        <v>999.9000000000002</v>
      </c>
      <c r="BR27">
        <v>0</v>
      </c>
      <c r="BS27">
        <v>0</v>
      </c>
      <c r="BT27">
        <v>10003.316666666669</v>
      </c>
      <c r="BU27">
        <v>1152.252666666667</v>
      </c>
      <c r="BV27">
        <v>13.740399999999999</v>
      </c>
      <c r="BW27">
        <v>-119.4702666666667</v>
      </c>
      <c r="BX27">
        <v>1111.925</v>
      </c>
      <c r="BY27">
        <v>1223.8886666666669</v>
      </c>
      <c r="BZ27">
        <v>8.7180856666666671</v>
      </c>
      <c r="CA27">
        <v>1199.9839999999999</v>
      </c>
      <c r="CB27">
        <v>19.531736666666671</v>
      </c>
      <c r="CC27">
        <v>2.8644289999999999</v>
      </c>
      <c r="CD27">
        <v>1.9804463333333331</v>
      </c>
      <c r="CE27">
        <v>23.260156666666671</v>
      </c>
      <c r="CF27">
        <v>17.28886</v>
      </c>
      <c r="CG27">
        <v>1755600079.5999999</v>
      </c>
      <c r="CH27" t="s">
        <v>340</v>
      </c>
      <c r="CI27">
        <v>1755600068.5999999</v>
      </c>
      <c r="CJ27">
        <v>1755600079.5999999</v>
      </c>
      <c r="CK27">
        <v>2</v>
      </c>
      <c r="CL27">
        <v>-0.55800000000000005</v>
      </c>
      <c r="CM27">
        <v>2.1000000000000001E-2</v>
      </c>
      <c r="CN27">
        <v>2.9209999999999998</v>
      </c>
      <c r="CO27">
        <v>0.255</v>
      </c>
      <c r="CP27">
        <v>450</v>
      </c>
      <c r="CQ27">
        <v>20</v>
      </c>
      <c r="CR27">
        <v>0.03</v>
      </c>
      <c r="CS27">
        <v>0.01</v>
      </c>
      <c r="CT27">
        <v>-119.3848048780488</v>
      </c>
      <c r="CU27">
        <v>-1.2204459930313241</v>
      </c>
      <c r="CV27">
        <v>0.12973410321569459</v>
      </c>
      <c r="CW27">
        <v>0</v>
      </c>
      <c r="CX27">
        <v>0</v>
      </c>
      <c r="CY27">
        <v>0</v>
      </c>
      <c r="CZ27">
        <v>0</v>
      </c>
      <c r="DA27">
        <v>-1</v>
      </c>
      <c r="DB27">
        <v>8.7178941463414628</v>
      </c>
      <c r="DC27">
        <v>8.50578397213019E-3</v>
      </c>
      <c r="DD27">
        <v>2.3587015605530119E-3</v>
      </c>
      <c r="DE27">
        <v>1</v>
      </c>
      <c r="DF27">
        <v>1</v>
      </c>
      <c r="DG27">
        <v>2</v>
      </c>
      <c r="DH27" t="s">
        <v>355</v>
      </c>
      <c r="DI27">
        <v>3.02468</v>
      </c>
      <c r="DJ27">
        <v>2.6913100000000001</v>
      </c>
      <c r="DK27">
        <v>0.18423</v>
      </c>
      <c r="DL27">
        <v>0.19877700000000001</v>
      </c>
      <c r="DM27">
        <v>0.13425699999999999</v>
      </c>
      <c r="DN27">
        <v>0.10478999999999999</v>
      </c>
      <c r="DO27">
        <v>22753.7</v>
      </c>
      <c r="DP27">
        <v>14482.8</v>
      </c>
      <c r="DQ27">
        <v>26461.7</v>
      </c>
      <c r="DR27">
        <v>16414</v>
      </c>
      <c r="DS27">
        <v>32563.599999999999</v>
      </c>
      <c r="DT27">
        <v>19166.900000000001</v>
      </c>
      <c r="DU27">
        <v>38547.199999999997</v>
      </c>
      <c r="DV27">
        <v>21722.3</v>
      </c>
      <c r="DW27">
        <v>1.8115399999999999</v>
      </c>
      <c r="DX27">
        <v>2.2060200000000001</v>
      </c>
      <c r="DY27">
        <v>8.1932500000000005E-2</v>
      </c>
      <c r="DZ27">
        <v>0</v>
      </c>
      <c r="EA27">
        <v>24.495999999999999</v>
      </c>
      <c r="EB27">
        <v>999.9</v>
      </c>
      <c r="EC27">
        <v>57.1</v>
      </c>
      <c r="ED27">
        <v>31.6</v>
      </c>
      <c r="EE27">
        <v>26.290299999999998</v>
      </c>
      <c r="EF27">
        <v>62.616100000000003</v>
      </c>
      <c r="EG27">
        <v>34.627400000000002</v>
      </c>
      <c r="EH27">
        <v>1</v>
      </c>
      <c r="EI27">
        <v>-1.0447200000000001E-3</v>
      </c>
      <c r="EJ27">
        <v>-0.32360800000000001</v>
      </c>
      <c r="EK27">
        <v>20.328299999999999</v>
      </c>
      <c r="EL27">
        <v>5.2529899999999996</v>
      </c>
      <c r="EM27">
        <v>11.962</v>
      </c>
      <c r="EN27">
        <v>4.9896399999999996</v>
      </c>
      <c r="EO27">
        <v>3.2913399999999999</v>
      </c>
      <c r="EP27">
        <v>9999</v>
      </c>
      <c r="EQ27">
        <v>9999</v>
      </c>
      <c r="ER27">
        <v>9999</v>
      </c>
      <c r="ES27">
        <v>999.9</v>
      </c>
      <c r="ET27">
        <v>4.9726999999999997</v>
      </c>
      <c r="EU27">
        <v>1.8718999999999999</v>
      </c>
      <c r="EV27">
        <v>1.87212</v>
      </c>
      <c r="EW27">
        <v>1.8772</v>
      </c>
      <c r="EX27">
        <v>1.87134</v>
      </c>
      <c r="EY27">
        <v>1.8721000000000001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342</v>
      </c>
      <c r="FG27" t="s">
        <v>343</v>
      </c>
      <c r="FH27" t="s">
        <v>344</v>
      </c>
      <c r="FI27" t="s">
        <v>344</v>
      </c>
      <c r="FJ27" t="s">
        <v>344</v>
      </c>
      <c r="FK27" t="s">
        <v>344</v>
      </c>
      <c r="FL27">
        <v>0</v>
      </c>
      <c r="FM27">
        <v>100</v>
      </c>
      <c r="FN27">
        <v>100</v>
      </c>
      <c r="FO27">
        <v>9.27</v>
      </c>
      <c r="FP27">
        <v>0.25490000000000002</v>
      </c>
      <c r="FQ27">
        <v>-0.67078220295760627</v>
      </c>
      <c r="FR27">
        <v>7.0338458001993282E-3</v>
      </c>
      <c r="FS27">
        <v>2.3387658340725169E-6</v>
      </c>
      <c r="FT27">
        <v>-2.2874075696057401E-10</v>
      </c>
      <c r="FU27">
        <v>0.25488999999999962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33.9</v>
      </c>
      <c r="GD27">
        <v>33.700000000000003</v>
      </c>
      <c r="GE27">
        <v>2.4475099999999999</v>
      </c>
      <c r="GF27">
        <v>2.6196299999999999</v>
      </c>
      <c r="GG27">
        <v>1.7981</v>
      </c>
      <c r="GH27">
        <v>2.3779300000000001</v>
      </c>
      <c r="GI27">
        <v>1.5979000000000001</v>
      </c>
      <c r="GJ27">
        <v>2.52319</v>
      </c>
      <c r="GK27">
        <v>34.921399999999998</v>
      </c>
      <c r="GL27">
        <v>24.157499999999999</v>
      </c>
      <c r="GM27">
        <v>18</v>
      </c>
      <c r="GN27">
        <v>367.608</v>
      </c>
      <c r="GO27">
        <v>678.31899999999996</v>
      </c>
      <c r="GP27">
        <v>25.83</v>
      </c>
      <c r="GQ27">
        <v>27.011500000000002</v>
      </c>
      <c r="GR27">
        <v>30.0001</v>
      </c>
      <c r="GS27">
        <v>26.948599999999999</v>
      </c>
      <c r="GT27">
        <v>26.985099999999999</v>
      </c>
      <c r="GU27">
        <v>48.933300000000003</v>
      </c>
      <c r="GV27">
        <v>31.531700000000001</v>
      </c>
      <c r="GW27">
        <v>0</v>
      </c>
      <c r="GX27">
        <v>25.83</v>
      </c>
      <c r="GY27">
        <v>1200</v>
      </c>
      <c r="GZ27">
        <v>19.5</v>
      </c>
      <c r="HA27">
        <v>100.55</v>
      </c>
      <c r="HB27">
        <v>67.842399999999998</v>
      </c>
    </row>
    <row r="28" spans="1:210" x14ac:dyDescent="0.3">
      <c r="A28">
        <v>12</v>
      </c>
      <c r="B28">
        <v>1755602280.5</v>
      </c>
      <c r="C28">
        <v>1985.900000095367</v>
      </c>
      <c r="D28" t="s">
        <v>366</v>
      </c>
      <c r="E28" t="s">
        <v>367</v>
      </c>
      <c r="F28">
        <v>15</v>
      </c>
      <c r="G28">
        <v>1755602272.75</v>
      </c>
      <c r="H28">
        <f t="shared" si="0"/>
        <v>3.9707827202023812E-3</v>
      </c>
      <c r="I28">
        <f t="shared" si="1"/>
        <v>3.9707827202023811</v>
      </c>
      <c r="J28">
        <f t="shared" si="2"/>
        <v>48.460369331667714</v>
      </c>
      <c r="K28">
        <f t="shared" si="3"/>
        <v>1477.742</v>
      </c>
      <c r="L28">
        <f t="shared" si="4"/>
        <v>1374.4849243528572</v>
      </c>
      <c r="M28">
        <f t="shared" si="5"/>
        <v>139.50901618078521</v>
      </c>
      <c r="N28">
        <f t="shared" si="6"/>
        <v>149.98951893640483</v>
      </c>
      <c r="O28">
        <f t="shared" si="7"/>
        <v>0.98624735243094164</v>
      </c>
      <c r="P28">
        <f t="shared" si="8"/>
        <v>2.4177173520597268</v>
      </c>
      <c r="Q28">
        <f t="shared" si="9"/>
        <v>0.81812680146047756</v>
      </c>
      <c r="R28">
        <f t="shared" si="10"/>
        <v>0.52415929547801143</v>
      </c>
      <c r="S28">
        <f t="shared" si="11"/>
        <v>218.90660000000003</v>
      </c>
      <c r="T28">
        <f t="shared" si="12"/>
        <v>27.008197945841928</v>
      </c>
      <c r="U28">
        <f t="shared" si="13"/>
        <v>25.844573333333329</v>
      </c>
      <c r="V28">
        <f t="shared" si="14"/>
        <v>3.3433493809743622</v>
      </c>
      <c r="W28">
        <f t="shared" si="15"/>
        <v>81.495353541550244</v>
      </c>
      <c r="X28">
        <f t="shared" si="16"/>
        <v>2.865790896501224</v>
      </c>
      <c r="Y28">
        <f t="shared" si="17"/>
        <v>3.5165083307971741</v>
      </c>
      <c r="Z28">
        <f t="shared" si="18"/>
        <v>0.4775584844731382</v>
      </c>
      <c r="AA28">
        <f t="shared" si="19"/>
        <v>-175.111517960925</v>
      </c>
      <c r="AB28">
        <f t="shared" si="20"/>
        <v>111.45539756911263</v>
      </c>
      <c r="AC28">
        <f t="shared" si="21"/>
        <v>9.8765766365090233</v>
      </c>
      <c r="AD28">
        <f t="shared" si="22"/>
        <v>165.12705624469669</v>
      </c>
      <c r="AE28">
        <f t="shared" si="23"/>
        <v>48.460369331667714</v>
      </c>
      <c r="AF28">
        <f t="shared" si="24"/>
        <v>3.9707827202023811</v>
      </c>
      <c r="AG28">
        <f t="shared" si="25"/>
        <v>48.253582840363769</v>
      </c>
      <c r="AH28">
        <v>1631.783825806504</v>
      </c>
      <c r="AI28">
        <v>1520.858545454545</v>
      </c>
      <c r="AJ28">
        <v>2.217288506642838E-2</v>
      </c>
      <c r="AK28">
        <v>84.079453952093544</v>
      </c>
      <c r="AL28">
        <f t="shared" si="26"/>
        <v>3.9692032604093592</v>
      </c>
      <c r="AM28">
        <v>19.55098956799786</v>
      </c>
      <c r="AN28">
        <v>28.229589323308261</v>
      </c>
      <c r="AO28">
        <v>-5.2047416536663389E-7</v>
      </c>
      <c r="AP28">
        <v>90.496148263072342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53675.375608545874</v>
      </c>
      <c r="AV28">
        <f t="shared" si="30"/>
        <v>1152.1400000000001</v>
      </c>
      <c r="AW28">
        <f t="shared" si="31"/>
        <v>921.7120000000001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339</v>
      </c>
      <c r="BC28">
        <v>2</v>
      </c>
      <c r="BD28" t="b">
        <v>0</v>
      </c>
      <c r="BE28">
        <v>1755602272.75</v>
      </c>
      <c r="BF28">
        <v>1477.742</v>
      </c>
      <c r="BG28">
        <v>1599.980333333333</v>
      </c>
      <c r="BH28">
        <v>28.23463666666667</v>
      </c>
      <c r="BI28">
        <v>19.552633333333329</v>
      </c>
      <c r="BJ28">
        <v>1463.8230000000001</v>
      </c>
      <c r="BK28">
        <v>27.979753333333331</v>
      </c>
      <c r="BL28">
        <v>400.00009999999997</v>
      </c>
      <c r="BM28">
        <v>101.3991666666667</v>
      </c>
      <c r="BN28">
        <v>9.9957629999999992E-2</v>
      </c>
      <c r="BO28">
        <v>26.699660000000002</v>
      </c>
      <c r="BP28">
        <v>25.844573333333329</v>
      </c>
      <c r="BQ28">
        <v>999.9000000000002</v>
      </c>
      <c r="BR28">
        <v>0</v>
      </c>
      <c r="BS28">
        <v>0</v>
      </c>
      <c r="BT28">
        <v>10000.9</v>
      </c>
      <c r="BU28">
        <v>1152.1400000000001</v>
      </c>
      <c r="BV28">
        <v>13.740399999999999</v>
      </c>
      <c r="BW28">
        <v>-122.2377333333333</v>
      </c>
      <c r="BX28">
        <v>1520.6783333333331</v>
      </c>
      <c r="BY28">
        <v>1631.887666666667</v>
      </c>
      <c r="BZ28">
        <v>8.6819989999999994</v>
      </c>
      <c r="CA28">
        <v>1599.980333333333</v>
      </c>
      <c r="CB28">
        <v>19.552633333333329</v>
      </c>
      <c r="CC28">
        <v>2.8629703333333341</v>
      </c>
      <c r="CD28">
        <v>1.9826216666666669</v>
      </c>
      <c r="CE28">
        <v>23.251720000000009</v>
      </c>
      <c r="CF28">
        <v>17.306229999999999</v>
      </c>
      <c r="CG28">
        <v>1755600079.5999999</v>
      </c>
      <c r="CH28" t="s">
        <v>340</v>
      </c>
      <c r="CI28">
        <v>1755600068.5999999</v>
      </c>
      <c r="CJ28">
        <v>1755600079.5999999</v>
      </c>
      <c r="CK28">
        <v>2</v>
      </c>
      <c r="CL28">
        <v>-0.55800000000000005</v>
      </c>
      <c r="CM28">
        <v>2.1000000000000001E-2</v>
      </c>
      <c r="CN28">
        <v>2.9209999999999998</v>
      </c>
      <c r="CO28">
        <v>0.255</v>
      </c>
      <c r="CP28">
        <v>450</v>
      </c>
      <c r="CQ28">
        <v>20</v>
      </c>
      <c r="CR28">
        <v>0.03</v>
      </c>
      <c r="CS28">
        <v>0.01</v>
      </c>
      <c r="CT28">
        <v>-122.26805</v>
      </c>
      <c r="CU28">
        <v>0.62679174484094347</v>
      </c>
      <c r="CV28">
        <v>0.1490053606418249</v>
      </c>
      <c r="CW28">
        <v>0</v>
      </c>
      <c r="CX28">
        <v>0</v>
      </c>
      <c r="CY28">
        <v>0</v>
      </c>
      <c r="CZ28">
        <v>0</v>
      </c>
      <c r="DA28">
        <v>-1</v>
      </c>
      <c r="DB28">
        <v>8.6845872499999999</v>
      </c>
      <c r="DC28">
        <v>-3.8884840525332857E-2</v>
      </c>
      <c r="DD28">
        <v>3.9023012361296509E-3</v>
      </c>
      <c r="DE28">
        <v>1</v>
      </c>
      <c r="DF28">
        <v>1</v>
      </c>
      <c r="DG28">
        <v>2</v>
      </c>
      <c r="DH28" t="s">
        <v>355</v>
      </c>
      <c r="DI28">
        <v>3.02454</v>
      </c>
      <c r="DJ28">
        <v>2.6913299999999998</v>
      </c>
      <c r="DK28">
        <v>0.22302900000000001</v>
      </c>
      <c r="DL28">
        <v>0.23633499999999999</v>
      </c>
      <c r="DM28">
        <v>0.13419400000000001</v>
      </c>
      <c r="DN28">
        <v>0.10487200000000001</v>
      </c>
      <c r="DO28">
        <v>21671.3</v>
      </c>
      <c r="DP28">
        <v>13803</v>
      </c>
      <c r="DQ28">
        <v>26461.200000000001</v>
      </c>
      <c r="DR28">
        <v>16412.8</v>
      </c>
      <c r="DS28">
        <v>32566.2</v>
      </c>
      <c r="DT28">
        <v>19164.8</v>
      </c>
      <c r="DU28">
        <v>38546.1</v>
      </c>
      <c r="DV28">
        <v>21721.4</v>
      </c>
      <c r="DW28">
        <v>1.8114399999999999</v>
      </c>
      <c r="DX28">
        <v>2.20716</v>
      </c>
      <c r="DY28">
        <v>8.2141199999999998E-2</v>
      </c>
      <c r="DZ28">
        <v>0</v>
      </c>
      <c r="EA28">
        <v>24.5045</v>
      </c>
      <c r="EB28">
        <v>999.9</v>
      </c>
      <c r="EC28">
        <v>57.1</v>
      </c>
      <c r="ED28">
        <v>31.6</v>
      </c>
      <c r="EE28">
        <v>26.2882</v>
      </c>
      <c r="EF28">
        <v>62.496099999999998</v>
      </c>
      <c r="EG28">
        <v>34.551299999999998</v>
      </c>
      <c r="EH28">
        <v>1</v>
      </c>
      <c r="EI28">
        <v>-1.21951E-4</v>
      </c>
      <c r="EJ28">
        <v>-0.32186700000000001</v>
      </c>
      <c r="EK28">
        <v>20.328600000000002</v>
      </c>
      <c r="EL28">
        <v>5.2519099999999996</v>
      </c>
      <c r="EM28">
        <v>11.962</v>
      </c>
      <c r="EN28">
        <v>4.9898800000000003</v>
      </c>
      <c r="EO28">
        <v>3.2915000000000001</v>
      </c>
      <c r="EP28">
        <v>9999</v>
      </c>
      <c r="EQ28">
        <v>9999</v>
      </c>
      <c r="ER28">
        <v>9999</v>
      </c>
      <c r="ES28">
        <v>999.9</v>
      </c>
      <c r="ET28">
        <v>4.9726900000000001</v>
      </c>
      <c r="EU28">
        <v>1.87191</v>
      </c>
      <c r="EV28">
        <v>1.87212</v>
      </c>
      <c r="EW28">
        <v>1.8771899999999999</v>
      </c>
      <c r="EX28">
        <v>1.87134</v>
      </c>
      <c r="EY28">
        <v>1.8721000000000001</v>
      </c>
      <c r="EZ28">
        <v>1.8717999999999999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342</v>
      </c>
      <c r="FG28" t="s">
        <v>343</v>
      </c>
      <c r="FH28" t="s">
        <v>344</v>
      </c>
      <c r="FI28" t="s">
        <v>344</v>
      </c>
      <c r="FJ28" t="s">
        <v>344</v>
      </c>
      <c r="FK28" t="s">
        <v>344</v>
      </c>
      <c r="FL28">
        <v>0</v>
      </c>
      <c r="FM28">
        <v>100</v>
      </c>
      <c r="FN28">
        <v>100</v>
      </c>
      <c r="FO28">
        <v>13.92</v>
      </c>
      <c r="FP28">
        <v>0.25490000000000002</v>
      </c>
      <c r="FQ28">
        <v>-0.67078220295760627</v>
      </c>
      <c r="FR28">
        <v>7.0338458001993282E-3</v>
      </c>
      <c r="FS28">
        <v>2.3387658340725169E-6</v>
      </c>
      <c r="FT28">
        <v>-2.2874075696057401E-10</v>
      </c>
      <c r="FU28">
        <v>0.25488999999999962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36.9</v>
      </c>
      <c r="GD28">
        <v>36.700000000000003</v>
      </c>
      <c r="GE28">
        <v>3.0969199999999999</v>
      </c>
      <c r="GF28">
        <v>2.6122999999999998</v>
      </c>
      <c r="GG28">
        <v>1.7981</v>
      </c>
      <c r="GH28">
        <v>2.3779300000000001</v>
      </c>
      <c r="GI28">
        <v>1.5979000000000001</v>
      </c>
      <c r="GJ28">
        <v>2.49878</v>
      </c>
      <c r="GK28">
        <v>34.944400000000002</v>
      </c>
      <c r="GL28">
        <v>24.157499999999999</v>
      </c>
      <c r="GM28">
        <v>18</v>
      </c>
      <c r="GN28">
        <v>367.61700000000002</v>
      </c>
      <c r="GO28">
        <v>679.43399999999997</v>
      </c>
      <c r="GP28">
        <v>25.829799999999999</v>
      </c>
      <c r="GQ28">
        <v>27.020600000000002</v>
      </c>
      <c r="GR28">
        <v>30.0001</v>
      </c>
      <c r="GS28">
        <v>26.957699999999999</v>
      </c>
      <c r="GT28">
        <v>26.994199999999999</v>
      </c>
      <c r="GU28">
        <v>61.8904</v>
      </c>
      <c r="GV28">
        <v>31.531700000000001</v>
      </c>
      <c r="GW28">
        <v>0</v>
      </c>
      <c r="GX28">
        <v>25.83</v>
      </c>
      <c r="GY28">
        <v>1600</v>
      </c>
      <c r="GZ28">
        <v>19.5</v>
      </c>
      <c r="HA28">
        <v>100.548</v>
      </c>
      <c r="HB28">
        <v>67.838499999999996</v>
      </c>
    </row>
    <row r="29" spans="1:210" x14ac:dyDescent="0.3">
      <c r="A29">
        <v>13</v>
      </c>
      <c r="B29">
        <v>1755602461</v>
      </c>
      <c r="C29">
        <v>2166.400000095367</v>
      </c>
      <c r="D29" t="s">
        <v>368</v>
      </c>
      <c r="E29" t="s">
        <v>369</v>
      </c>
      <c r="F29">
        <v>15</v>
      </c>
      <c r="G29">
        <v>1755602453.25</v>
      </c>
      <c r="H29">
        <f t="shared" si="0"/>
        <v>3.9740914338060335E-3</v>
      </c>
      <c r="I29">
        <f t="shared" si="1"/>
        <v>3.9740914338060334</v>
      </c>
      <c r="J29">
        <f t="shared" si="2"/>
        <v>33.279208238478823</v>
      </c>
      <c r="K29">
        <f t="shared" si="3"/>
        <v>371.78406666666672</v>
      </c>
      <c r="L29">
        <f t="shared" si="4"/>
        <v>305.50509794579477</v>
      </c>
      <c r="M29">
        <f t="shared" si="5"/>
        <v>31.005915281546024</v>
      </c>
      <c r="N29">
        <f t="shared" si="6"/>
        <v>37.732611833995094</v>
      </c>
      <c r="O29">
        <f t="shared" si="7"/>
        <v>0.9824885912808573</v>
      </c>
      <c r="P29">
        <f t="shared" si="8"/>
        <v>2.4162890975544742</v>
      </c>
      <c r="Q29">
        <f t="shared" si="9"/>
        <v>0.81545614293399848</v>
      </c>
      <c r="R29">
        <f t="shared" si="10"/>
        <v>0.52241326985558612</v>
      </c>
      <c r="S29">
        <f t="shared" si="11"/>
        <v>218.86682666666675</v>
      </c>
      <c r="T29">
        <f t="shared" si="12"/>
        <v>27.001684541333745</v>
      </c>
      <c r="U29">
        <f t="shared" si="13"/>
        <v>25.85666333333333</v>
      </c>
      <c r="V29">
        <f t="shared" si="14"/>
        <v>3.3457447668261087</v>
      </c>
      <c r="W29">
        <f t="shared" si="15"/>
        <v>81.534799409552861</v>
      </c>
      <c r="X29">
        <f t="shared" si="16"/>
        <v>2.8662712568991617</v>
      </c>
      <c r="Y29">
        <f t="shared" si="17"/>
        <v>3.5153962205778613</v>
      </c>
      <c r="Z29">
        <f t="shared" si="18"/>
        <v>0.47947350992694693</v>
      </c>
      <c r="AA29">
        <f t="shared" si="19"/>
        <v>-175.25743223084609</v>
      </c>
      <c r="AB29">
        <f t="shared" si="20"/>
        <v>109.11466019100958</v>
      </c>
      <c r="AC29">
        <f t="shared" si="21"/>
        <v>9.6751933955672644</v>
      </c>
      <c r="AD29">
        <f t="shared" si="22"/>
        <v>162.3992480223975</v>
      </c>
      <c r="AE29">
        <f t="shared" si="23"/>
        <v>33.279208238478823</v>
      </c>
      <c r="AF29">
        <f t="shared" si="24"/>
        <v>3.9740914338060334</v>
      </c>
      <c r="AG29">
        <f t="shared" si="25"/>
        <v>33.324834935035241</v>
      </c>
      <c r="AH29">
        <v>458.93583102081988</v>
      </c>
      <c r="AI29">
        <v>382.50215757575762</v>
      </c>
      <c r="AJ29">
        <v>-5.2138208733543828E-3</v>
      </c>
      <c r="AK29">
        <v>84.079453952093544</v>
      </c>
      <c r="AL29">
        <f t="shared" si="26"/>
        <v>3.9732199588578716</v>
      </c>
      <c r="AM29">
        <v>19.553286862803329</v>
      </c>
      <c r="AN29">
        <v>28.241799548872169</v>
      </c>
      <c r="AO29">
        <v>-1.0927478157557031E-4</v>
      </c>
      <c r="AP29">
        <v>90.496148263072342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53628.338959260822</v>
      </c>
      <c r="AV29">
        <f t="shared" si="30"/>
        <v>1151.9306666666671</v>
      </c>
      <c r="AW29">
        <f t="shared" si="31"/>
        <v>921.54453333333367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339</v>
      </c>
      <c r="BC29">
        <v>2</v>
      </c>
      <c r="BD29" t="b">
        <v>0</v>
      </c>
      <c r="BE29">
        <v>1755602453.25</v>
      </c>
      <c r="BF29">
        <v>371.78406666666672</v>
      </c>
      <c r="BG29">
        <v>449.98879999999991</v>
      </c>
      <c r="BH29">
        <v>28.241723333333329</v>
      </c>
      <c r="BI29">
        <v>19.552309999999991</v>
      </c>
      <c r="BJ29">
        <v>369.54770000000002</v>
      </c>
      <c r="BK29">
        <v>27.986836666666662</v>
      </c>
      <c r="BL29">
        <v>399.98910000000001</v>
      </c>
      <c r="BM29">
        <v>101.3906666666667</v>
      </c>
      <c r="BN29">
        <v>9.9997450000000002E-2</v>
      </c>
      <c r="BO29">
        <v>26.69428666666666</v>
      </c>
      <c r="BP29">
        <v>25.85666333333333</v>
      </c>
      <c r="BQ29">
        <v>999.9000000000002</v>
      </c>
      <c r="BR29">
        <v>0</v>
      </c>
      <c r="BS29">
        <v>0</v>
      </c>
      <c r="BT29">
        <v>9992.4500000000007</v>
      </c>
      <c r="BU29">
        <v>1151.9306666666671</v>
      </c>
      <c r="BV29">
        <v>13.740399999999999</v>
      </c>
      <c r="BW29">
        <v>-78.204750000000018</v>
      </c>
      <c r="BX29">
        <v>382.58883333333341</v>
      </c>
      <c r="BY29">
        <v>458.96249999999998</v>
      </c>
      <c r="BZ29">
        <v>8.6894090000000013</v>
      </c>
      <c r="CA29">
        <v>449.98879999999991</v>
      </c>
      <c r="CB29">
        <v>19.552309999999991</v>
      </c>
      <c r="CC29">
        <v>2.8634476666666671</v>
      </c>
      <c r="CD29">
        <v>1.9824223333333331</v>
      </c>
      <c r="CE29">
        <v>23.254493333333329</v>
      </c>
      <c r="CF29">
        <v>17.304636666666671</v>
      </c>
      <c r="CG29">
        <v>1755600079.5999999</v>
      </c>
      <c r="CH29" t="s">
        <v>340</v>
      </c>
      <c r="CI29">
        <v>1755600068.5999999</v>
      </c>
      <c r="CJ29">
        <v>1755600079.5999999</v>
      </c>
      <c r="CK29">
        <v>2</v>
      </c>
      <c r="CL29">
        <v>-0.55800000000000005</v>
      </c>
      <c r="CM29">
        <v>2.1000000000000001E-2</v>
      </c>
      <c r="CN29">
        <v>2.9209999999999998</v>
      </c>
      <c r="CO29">
        <v>0.255</v>
      </c>
      <c r="CP29">
        <v>450</v>
      </c>
      <c r="CQ29">
        <v>20</v>
      </c>
      <c r="CR29">
        <v>0.03</v>
      </c>
      <c r="CS29">
        <v>0.01</v>
      </c>
      <c r="CT29">
        <v>-78.166970731707323</v>
      </c>
      <c r="CU29">
        <v>-0.7875094076656074</v>
      </c>
      <c r="CV29">
        <v>8.2925438869262541E-2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8.6883821951219513</v>
      </c>
      <c r="DC29">
        <v>3.2436794425110382E-2</v>
      </c>
      <c r="DD29">
        <v>4.5327601628186547E-3</v>
      </c>
      <c r="DE29">
        <v>1</v>
      </c>
      <c r="DF29">
        <v>1</v>
      </c>
      <c r="DG29">
        <v>2</v>
      </c>
      <c r="DH29" t="s">
        <v>355</v>
      </c>
      <c r="DI29">
        <v>3.0245899999999999</v>
      </c>
      <c r="DJ29">
        <v>2.6912799999999999</v>
      </c>
      <c r="DK29">
        <v>8.8036600000000007E-2</v>
      </c>
      <c r="DL29">
        <v>0.102727</v>
      </c>
      <c r="DM29">
        <v>0.13422300000000001</v>
      </c>
      <c r="DN29">
        <v>0.104853</v>
      </c>
      <c r="DO29">
        <v>25434.6</v>
      </c>
      <c r="DP29">
        <v>16217.4</v>
      </c>
      <c r="DQ29">
        <v>26460.1</v>
      </c>
      <c r="DR29">
        <v>16412.8</v>
      </c>
      <c r="DS29">
        <v>32561.5</v>
      </c>
      <c r="DT29">
        <v>19162.7</v>
      </c>
      <c r="DU29">
        <v>38545.800000000003</v>
      </c>
      <c r="DV29">
        <v>21720.7</v>
      </c>
      <c r="DW29">
        <v>1.81094</v>
      </c>
      <c r="DX29">
        <v>2.2039599999999999</v>
      </c>
      <c r="DY29">
        <v>8.2188800000000006E-2</v>
      </c>
      <c r="DZ29">
        <v>0</v>
      </c>
      <c r="EA29">
        <v>24.502400000000002</v>
      </c>
      <c r="EB29">
        <v>999.9</v>
      </c>
      <c r="EC29">
        <v>57.1</v>
      </c>
      <c r="ED29">
        <v>31.6</v>
      </c>
      <c r="EE29">
        <v>26.2867</v>
      </c>
      <c r="EF29">
        <v>62.606099999999998</v>
      </c>
      <c r="EG29">
        <v>34.979999999999997</v>
      </c>
      <c r="EH29">
        <v>1</v>
      </c>
      <c r="EI29">
        <v>2.5406499999999999E-4</v>
      </c>
      <c r="EJ29">
        <v>-0.31867099999999998</v>
      </c>
      <c r="EK29">
        <v>20.328399999999998</v>
      </c>
      <c r="EL29">
        <v>5.24796</v>
      </c>
      <c r="EM29">
        <v>11.962</v>
      </c>
      <c r="EN29">
        <v>4.9897600000000004</v>
      </c>
      <c r="EO29">
        <v>3.2911999999999999</v>
      </c>
      <c r="EP29">
        <v>9999</v>
      </c>
      <c r="EQ29">
        <v>9999</v>
      </c>
      <c r="ER29">
        <v>9999</v>
      </c>
      <c r="ES29">
        <v>999.9</v>
      </c>
      <c r="ET29">
        <v>4.9726999999999997</v>
      </c>
      <c r="EU29">
        <v>1.8718999999999999</v>
      </c>
      <c r="EV29">
        <v>1.8721099999999999</v>
      </c>
      <c r="EW29">
        <v>1.8771899999999999</v>
      </c>
      <c r="EX29">
        <v>1.87134</v>
      </c>
      <c r="EY29">
        <v>1.8721000000000001</v>
      </c>
      <c r="EZ29">
        <v>1.8717900000000001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342</v>
      </c>
      <c r="FG29" t="s">
        <v>343</v>
      </c>
      <c r="FH29" t="s">
        <v>344</v>
      </c>
      <c r="FI29" t="s">
        <v>344</v>
      </c>
      <c r="FJ29" t="s">
        <v>344</v>
      </c>
      <c r="FK29" t="s">
        <v>344</v>
      </c>
      <c r="FL29">
        <v>0</v>
      </c>
      <c r="FM29">
        <v>100</v>
      </c>
      <c r="FN29">
        <v>100</v>
      </c>
      <c r="FO29">
        <v>2.2349999999999999</v>
      </c>
      <c r="FP29">
        <v>0.25490000000000002</v>
      </c>
      <c r="FQ29">
        <v>-0.67078220295760627</v>
      </c>
      <c r="FR29">
        <v>7.0338458001993282E-3</v>
      </c>
      <c r="FS29">
        <v>2.3387658340725169E-6</v>
      </c>
      <c r="FT29">
        <v>-2.2874075696057401E-10</v>
      </c>
      <c r="FU29">
        <v>0.25488999999999962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39.9</v>
      </c>
      <c r="GD29">
        <v>39.700000000000003</v>
      </c>
      <c r="GE29">
        <v>1.1035200000000001</v>
      </c>
      <c r="GF29">
        <v>2.6147499999999999</v>
      </c>
      <c r="GG29">
        <v>1.7981</v>
      </c>
      <c r="GH29">
        <v>2.3791500000000001</v>
      </c>
      <c r="GI29">
        <v>1.5979000000000001</v>
      </c>
      <c r="GJ29">
        <v>2.52563</v>
      </c>
      <c r="GK29">
        <v>34.944400000000002</v>
      </c>
      <c r="GL29">
        <v>24.1663</v>
      </c>
      <c r="GM29">
        <v>18</v>
      </c>
      <c r="GN29">
        <v>367.40600000000001</v>
      </c>
      <c r="GO29">
        <v>676.72400000000005</v>
      </c>
      <c r="GP29">
        <v>25.83</v>
      </c>
      <c r="GQ29">
        <v>27.0275</v>
      </c>
      <c r="GR29">
        <v>30.0001</v>
      </c>
      <c r="GS29">
        <v>26.964500000000001</v>
      </c>
      <c r="GT29">
        <v>27.001100000000001</v>
      </c>
      <c r="GU29">
        <v>22.0578</v>
      </c>
      <c r="GV29">
        <v>31.8064</v>
      </c>
      <c r="GW29">
        <v>0</v>
      </c>
      <c r="GX29">
        <v>25.83</v>
      </c>
      <c r="GY29">
        <v>450</v>
      </c>
      <c r="GZ29">
        <v>19.5</v>
      </c>
      <c r="HA29">
        <v>100.545</v>
      </c>
      <c r="HB29">
        <v>67.837299999999999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2025-08-19T11:28:37Z</dcterms:created>
  <dcterms:modified xsi:type="dcterms:W3CDTF">2025-12-01T11:42:44Z</dcterms:modified>
</cp:coreProperties>
</file>