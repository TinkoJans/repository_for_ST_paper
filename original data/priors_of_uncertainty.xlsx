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s008\repositories\ST_data_analysis\final measurements\"/>
    </mc:Choice>
  </mc:AlternateContent>
  <xr:revisionPtr revIDLastSave="0" documentId="13_ncr:1_{9584FAD2-703D-4887-8C4F-CCE5E866AE33}" xr6:coauthVersionLast="47" xr6:coauthVersionMax="47" xr10:uidLastSave="{00000000-0000-0000-0000-000000000000}"/>
  <bookViews>
    <workbookView xWindow="-108" yWindow="-108" windowWidth="23256" windowHeight="12456" xr2:uid="{ADECECC1-0586-4134-9A25-05340B67688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E23" i="1"/>
  <c r="D235" i="2"/>
  <c r="D234" i="2"/>
  <c r="E204" i="2"/>
  <c r="G13" i="2"/>
  <c r="G19" i="2" s="1"/>
  <c r="F2" i="1"/>
  <c r="B124" i="2"/>
  <c r="B123" i="2"/>
  <c r="F15" i="1"/>
  <c r="F21" i="1"/>
  <c r="E21" i="1"/>
  <c r="E214" i="2"/>
  <c r="E213" i="2"/>
  <c r="E212" i="2"/>
  <c r="E205" i="2"/>
  <c r="E206" i="2"/>
  <c r="E207" i="2"/>
  <c r="E208" i="2"/>
  <c r="E209" i="2"/>
  <c r="E210" i="2"/>
  <c r="E211" i="2"/>
  <c r="E2" i="1"/>
  <c r="E3" i="1"/>
  <c r="E10" i="1"/>
  <c r="F10" i="1"/>
  <c r="C185" i="2"/>
  <c r="D185" i="2" s="1"/>
  <c r="F162" i="2"/>
  <c r="G162" i="2" s="1"/>
  <c r="H162" i="2" s="1"/>
  <c r="F161" i="2"/>
  <c r="G161" i="2" s="1"/>
  <c r="H161" i="2" s="1"/>
  <c r="F159" i="2"/>
  <c r="G159" i="2" s="1"/>
  <c r="H159" i="2" s="1"/>
  <c r="F160" i="2"/>
  <c r="G160" i="2" s="1"/>
  <c r="H160" i="2" s="1"/>
  <c r="E158" i="2"/>
  <c r="F158" i="2" s="1"/>
  <c r="G158" i="2" s="1"/>
  <c r="H158" i="2" s="1"/>
  <c r="E157" i="2"/>
  <c r="F157" i="2" s="1"/>
  <c r="G157" i="2" s="1"/>
  <c r="H157" i="2" s="1"/>
  <c r="F156" i="2"/>
  <c r="G156" i="2" s="1"/>
  <c r="H156" i="2" s="1"/>
  <c r="F155" i="2"/>
  <c r="G155" i="2" s="1"/>
  <c r="H155" i="2" s="1"/>
  <c r="F150" i="2"/>
  <c r="G150" i="2" s="1"/>
  <c r="H150" i="2" s="1"/>
  <c r="F151" i="2"/>
  <c r="G151" i="2" s="1"/>
  <c r="H151" i="2" s="1"/>
  <c r="F152" i="2"/>
  <c r="G152" i="2" s="1"/>
  <c r="H152" i="2" s="1"/>
  <c r="F153" i="2"/>
  <c r="G153" i="2" s="1"/>
  <c r="H153" i="2" s="1"/>
  <c r="F154" i="2"/>
  <c r="G154" i="2" s="1"/>
  <c r="H154" i="2" s="1"/>
  <c r="F149" i="2"/>
  <c r="G149" i="2" s="1"/>
  <c r="H149" i="2" s="1"/>
  <c r="F11" i="1"/>
  <c r="E11" i="1"/>
  <c r="C195" i="2"/>
  <c r="D195" i="2" s="1"/>
  <c r="C194" i="2"/>
  <c r="D194" i="2" s="1"/>
  <c r="C171" i="2"/>
  <c r="C172" i="2" s="1"/>
  <c r="C180" i="2"/>
  <c r="D180" i="2" s="1"/>
  <c r="C181" i="2"/>
  <c r="D181" i="2" s="1"/>
  <c r="D188" i="2" s="1"/>
  <c r="C182" i="2"/>
  <c r="D182" i="2" s="1"/>
  <c r="C183" i="2"/>
  <c r="D183" i="2" s="1"/>
  <c r="C184" i="2"/>
  <c r="D184" i="2" s="1"/>
  <c r="C179" i="2"/>
  <c r="D179" i="2" s="1"/>
  <c r="F130" i="2"/>
  <c r="B131" i="2"/>
  <c r="B140" i="2"/>
  <c r="B139" i="2"/>
  <c r="B138" i="2"/>
  <c r="B137" i="2"/>
  <c r="B136" i="2"/>
  <c r="B135" i="2"/>
  <c r="B134" i="2"/>
  <c r="B133" i="2"/>
  <c r="B132" i="2"/>
  <c r="B130" i="2"/>
  <c r="B129" i="2"/>
  <c r="B128" i="2"/>
  <c r="E133" i="2"/>
  <c r="E132" i="2"/>
  <c r="E131" i="2"/>
  <c r="B111" i="2"/>
  <c r="B110" i="2"/>
  <c r="D79" i="2"/>
  <c r="E79" i="2" s="1"/>
  <c r="F79" i="2" s="1"/>
  <c r="D78" i="2"/>
  <c r="E78" i="2" s="1"/>
  <c r="F78" i="2" s="1"/>
  <c r="D77" i="2"/>
  <c r="E77" i="2" s="1"/>
  <c r="F77" i="2" s="1"/>
  <c r="D76" i="2"/>
  <c r="E76" i="2" s="1"/>
  <c r="F76" i="2" s="1"/>
  <c r="D75" i="2"/>
  <c r="E75" i="2" s="1"/>
  <c r="F75" i="2" s="1"/>
  <c r="D74" i="2"/>
  <c r="E74" i="2" s="1"/>
  <c r="F74" i="2" s="1"/>
  <c r="D73" i="2"/>
  <c r="E73" i="2" s="1"/>
  <c r="F73" i="2" s="1"/>
  <c r="D72" i="2"/>
  <c r="E72" i="2" s="1"/>
  <c r="F72" i="2" s="1"/>
  <c r="D71" i="2"/>
  <c r="E71" i="2" s="1"/>
  <c r="F71" i="2" s="1"/>
  <c r="D70" i="2"/>
  <c r="E70" i="2" s="1"/>
  <c r="F70" i="2" s="1"/>
  <c r="D69" i="2"/>
  <c r="E69" i="2" s="1"/>
  <c r="F69" i="2" s="1"/>
  <c r="D68" i="2"/>
  <c r="E68" i="2" s="1"/>
  <c r="F68" i="2" s="1"/>
  <c r="D67" i="2"/>
  <c r="E67" i="2" s="1"/>
  <c r="F67" i="2" s="1"/>
  <c r="D66" i="2"/>
  <c r="E66" i="2" s="1"/>
  <c r="F66" i="2" s="1"/>
  <c r="D63" i="2"/>
  <c r="E63" i="2" s="1"/>
  <c r="F63" i="2" s="1"/>
  <c r="D64" i="2"/>
  <c r="E64" i="2" s="1"/>
  <c r="F64" i="2" s="1"/>
  <c r="D65" i="2"/>
  <c r="E65" i="2" s="1"/>
  <c r="F65" i="2" s="1"/>
  <c r="D62" i="2"/>
  <c r="E62" i="2" s="1"/>
  <c r="F62" i="2" s="1"/>
  <c r="F14" i="1"/>
  <c r="E14" i="1"/>
  <c r="E15" i="1"/>
  <c r="F20" i="1"/>
  <c r="F22" i="1"/>
  <c r="E20" i="1"/>
  <c r="E22" i="1"/>
  <c r="F8" i="1"/>
  <c r="E8" i="1"/>
  <c r="E7" i="1"/>
  <c r="D39" i="2"/>
  <c r="E39" i="2" s="1"/>
  <c r="F39" i="2" s="1"/>
  <c r="D40" i="2"/>
  <c r="E40" i="2" s="1"/>
  <c r="F40" i="2" s="1"/>
  <c r="D41" i="2"/>
  <c r="E41" i="2" s="1"/>
  <c r="F41" i="2" s="1"/>
  <c r="D42" i="2"/>
  <c r="E42" i="2" s="1"/>
  <c r="F42" i="2" s="1"/>
  <c r="D43" i="2"/>
  <c r="E43" i="2" s="1"/>
  <c r="F43" i="2" s="1"/>
  <c r="D44" i="2"/>
  <c r="E44" i="2" s="1"/>
  <c r="F44" i="2" s="1"/>
  <c r="D45" i="2"/>
  <c r="E45" i="2" s="1"/>
  <c r="F45" i="2" s="1"/>
  <c r="D46" i="2"/>
  <c r="E46" i="2" s="1"/>
  <c r="F46" i="2" s="1"/>
  <c r="D47" i="2"/>
  <c r="E47" i="2" s="1"/>
  <c r="F47" i="2" s="1"/>
  <c r="D48" i="2"/>
  <c r="E48" i="2" s="1"/>
  <c r="F48" i="2" s="1"/>
  <c r="D49" i="2"/>
  <c r="E49" i="2" s="1"/>
  <c r="F49" i="2" s="1"/>
  <c r="D50" i="2"/>
  <c r="E50" i="2" s="1"/>
  <c r="F50" i="2" s="1"/>
  <c r="D51" i="2"/>
  <c r="E51" i="2" s="1"/>
  <c r="F51" i="2" s="1"/>
  <c r="D52" i="2"/>
  <c r="E52" i="2" s="1"/>
  <c r="F52" i="2" s="1"/>
  <c r="D53" i="2"/>
  <c r="E53" i="2" s="1"/>
  <c r="F53" i="2" s="1"/>
  <c r="D54" i="2"/>
  <c r="E54" i="2" s="1"/>
  <c r="D55" i="2"/>
  <c r="E55" i="2" s="1"/>
  <c r="F55" i="2" s="1"/>
  <c r="D38" i="2"/>
  <c r="E38" i="2" s="1"/>
  <c r="F38" i="2" s="1"/>
  <c r="E16" i="1"/>
  <c r="E9" i="1"/>
  <c r="D6" i="1"/>
  <c r="E6" i="1" s="1"/>
  <c r="D5" i="1"/>
  <c r="E5" i="1" s="1"/>
  <c r="E12" i="1"/>
  <c r="F3" i="1"/>
  <c r="F25" i="1"/>
  <c r="F26" i="1"/>
  <c r="F7" i="1"/>
  <c r="F9" i="1"/>
  <c r="F12" i="1"/>
  <c r="F13" i="1"/>
  <c r="F18" i="1"/>
  <c r="E17" i="1"/>
  <c r="B29" i="2"/>
  <c r="D29" i="2" s="1"/>
  <c r="C29" i="2" s="1"/>
  <c r="B18" i="2"/>
  <c r="C18" i="2"/>
  <c r="D18" i="2"/>
  <c r="E18" i="2"/>
  <c r="B20" i="2"/>
  <c r="C20" i="2"/>
  <c r="D20" i="2"/>
  <c r="E20" i="2"/>
  <c r="C17" i="2"/>
  <c r="D17" i="2"/>
  <c r="E17" i="2"/>
  <c r="B17" i="2"/>
  <c r="H14" i="2"/>
  <c r="I14" i="2" s="1"/>
  <c r="I20" i="2" s="1"/>
  <c r="G14" i="2"/>
  <c r="G20" i="2" s="1"/>
  <c r="C13" i="2"/>
  <c r="C19" i="2" s="1"/>
  <c r="D13" i="2"/>
  <c r="D19" i="2" s="1"/>
  <c r="E13" i="2"/>
  <c r="E19" i="2" s="1"/>
  <c r="B13" i="2"/>
  <c r="B19" i="2" s="1"/>
  <c r="E4" i="1"/>
  <c r="D189" i="2" l="1"/>
  <c r="E216" i="2"/>
  <c r="G164" i="2"/>
  <c r="G163" i="2"/>
  <c r="E215" i="2"/>
  <c r="D197" i="2"/>
  <c r="H164" i="2"/>
  <c r="H163" i="2"/>
  <c r="D198" i="2"/>
  <c r="B142" i="2"/>
  <c r="F133" i="2"/>
  <c r="F135" i="2" s="1"/>
  <c r="F81" i="2"/>
  <c r="F80" i="2"/>
  <c r="H13" i="2"/>
  <c r="I13" i="2" s="1"/>
  <c r="I19" i="2" s="1"/>
  <c r="F58" i="2"/>
  <c r="F17" i="1"/>
  <c r="F57" i="2"/>
  <c r="H20" i="2"/>
  <c r="F4" i="1"/>
  <c r="F16" i="1"/>
  <c r="F6" i="1"/>
  <c r="F5" i="1"/>
  <c r="H19" i="2" l="1"/>
</calcChain>
</file>

<file path=xl/sharedStrings.xml><?xml version="1.0" encoding="utf-8"?>
<sst xmlns="http://schemas.openxmlformats.org/spreadsheetml/2006/main" count="479" uniqueCount="257">
  <si>
    <t>alpha leaf</t>
  </si>
  <si>
    <t>alpha phot</t>
  </si>
  <si>
    <t>Vcmax</t>
  </si>
  <si>
    <t>gamma_star</t>
  </si>
  <si>
    <t>K_p2</t>
  </si>
  <si>
    <t>K_p1</t>
  </si>
  <si>
    <t>normal</t>
  </si>
  <si>
    <t>beta</t>
  </si>
  <si>
    <t>calculator for variance</t>
  </si>
  <si>
    <t>data from Ibrahim 2022</t>
  </si>
  <si>
    <t>PSII</t>
  </si>
  <si>
    <t>PSI</t>
  </si>
  <si>
    <t>CytB6F</t>
  </si>
  <si>
    <t>mmol/mol chl</t>
  </si>
  <si>
    <t>Cond 1</t>
  </si>
  <si>
    <t>Cond 2</t>
  </si>
  <si>
    <t>Cond 3</t>
  </si>
  <si>
    <t>Cond 4</t>
  </si>
  <si>
    <t>PS tot</t>
  </si>
  <si>
    <t xml:space="preserve">mu </t>
  </si>
  <si>
    <t>var</t>
  </si>
  <si>
    <t>std</t>
  </si>
  <si>
    <t>data from mattila</t>
  </si>
  <si>
    <t>mol PQ per chl</t>
  </si>
  <si>
    <t>mu</t>
  </si>
  <si>
    <t xml:space="preserve">mol active PQ per chl </t>
  </si>
  <si>
    <t>fraction of PQ active</t>
  </si>
  <si>
    <t>std guessed to 5%</t>
  </si>
  <si>
    <t>fraction (std/mean)</t>
  </si>
  <si>
    <t>difficult, leave out for now</t>
  </si>
  <si>
    <t>nvt</t>
  </si>
  <si>
    <t>defined as the relative contribution of 480 spectrum from taylor 2019, rest is 700 spectrum</t>
  </si>
  <si>
    <t>uniform</t>
  </si>
  <si>
    <t>probability_distribution</t>
  </si>
  <si>
    <t>model_parameter</t>
  </si>
  <si>
    <t>mean</t>
  </si>
  <si>
    <t>lower_limit</t>
  </si>
  <si>
    <t>upper_limit</t>
  </si>
  <si>
    <t>Chl_per_area</t>
  </si>
  <si>
    <t>CB6F_per_chl</t>
  </si>
  <si>
    <t>k_max_CB6F</t>
  </si>
  <si>
    <t>eta_LET</t>
  </si>
  <si>
    <t>eta_CET</t>
  </si>
  <si>
    <t>CO2_internal</t>
  </si>
  <si>
    <t>PSI_PSII_ratio</t>
  </si>
  <si>
    <t>PQ_per_chl</t>
  </si>
  <si>
    <t>MM_constant_oxy</t>
  </si>
  <si>
    <t>MM_constant_carboxy</t>
  </si>
  <si>
    <t>LHCII_per_PSII</t>
  </si>
  <si>
    <t>LHCII_per_PSI</t>
  </si>
  <si>
    <t>PS_per_chl</t>
  </si>
  <si>
    <t>red_contribution</t>
  </si>
  <si>
    <t>g_m</t>
  </si>
  <si>
    <t>K_N2</t>
  </si>
  <si>
    <t>R_d</t>
  </si>
  <si>
    <t>Source</t>
  </si>
  <si>
    <t>note</t>
  </si>
  <si>
    <t>Ibrahim 2022</t>
  </si>
  <si>
    <t>Taylor 2019</t>
  </si>
  <si>
    <t>data from Hermida 2016</t>
  </si>
  <si>
    <t>c</t>
  </si>
  <si>
    <t>T</t>
  </si>
  <si>
    <t>R</t>
  </si>
  <si>
    <t>delta_Ha_J</t>
  </si>
  <si>
    <t>delta_Ha_kJ</t>
  </si>
  <si>
    <t>param (ubar)</t>
  </si>
  <si>
    <t>param (umol/mol)</t>
  </si>
  <si>
    <t>Calculates means and stds for PS and cytb6f per chl</t>
  </si>
  <si>
    <t>Calculates means and stds for PQ per chl</t>
  </si>
  <si>
    <t>Calculates means and stds for gamma_star</t>
  </si>
  <si>
    <t>A. sativa</t>
  </si>
  <si>
    <t>B. vulgaris</t>
  </si>
  <si>
    <t>B. oleracea</t>
  </si>
  <si>
    <t>C. annuum</t>
  </si>
  <si>
    <t>C. arabica</t>
  </si>
  <si>
    <t>C. maxima</t>
  </si>
  <si>
    <t>G. max</t>
  </si>
  <si>
    <t>H. vulgare</t>
  </si>
  <si>
    <t>I. batatas</t>
  </si>
  <si>
    <t>L. sativa</t>
  </si>
  <si>
    <t>M. esculenta</t>
  </si>
  <si>
    <t>M. stativa</t>
  </si>
  <si>
    <t>O. sativa</t>
  </si>
  <si>
    <t>P. vulgaris</t>
  </si>
  <si>
    <t>S. lycopersicum</t>
  </si>
  <si>
    <t>S. tuberosum</t>
  </si>
  <si>
    <t>S. oleracea</t>
  </si>
  <si>
    <t>T. aestivum</t>
  </si>
  <si>
    <t xml:space="preserve">S.oleracea was removed as it was clearly an outlier, and the Sc/o is also very similar to others. This is probably a mistake from the orginal paper. The outlier also greatly influences the std, but is unrealistic. </t>
  </si>
  <si>
    <t>Chuckhutsina 2020, Bos 2017, Bos 2019, Van oort 2010</t>
  </si>
  <si>
    <t>Katge 2009</t>
  </si>
  <si>
    <t>Values were taken from C3 crop species</t>
  </si>
  <si>
    <t>data for  rate of CytB6F</t>
  </si>
  <si>
    <t>Dietrich 1999</t>
  </si>
  <si>
    <t>sd</t>
  </si>
  <si>
    <t>in vitro</t>
  </si>
  <si>
    <t>spinach in vitro</t>
  </si>
  <si>
    <t>zhang 2001</t>
  </si>
  <si>
    <t>Laisk 2005</t>
  </si>
  <si>
    <t>N. tabacum under various conditions</t>
  </si>
  <si>
    <t>-</t>
  </si>
  <si>
    <t>l. laminosus in vitro</t>
  </si>
  <si>
    <t xml:space="preserve">in vitro and in vivo  range between ~200 and 400 so and appropriate std Is decided to match this uncertainty. </t>
  </si>
  <si>
    <t>Dietrich 1999 zhang 2001 laisk 2005</t>
  </si>
  <si>
    <t>johnson and berry</t>
  </si>
  <si>
    <t>Matilla 2020</t>
  </si>
  <si>
    <t>M. sativa</t>
  </si>
  <si>
    <t>Calculates means and stds for Kc</t>
  </si>
  <si>
    <t>Hermida 2016, Bernacchi 2002</t>
  </si>
  <si>
    <t>Von Caemerrer 1994</t>
  </si>
  <si>
    <t>MM constant for oxygenation</t>
  </si>
  <si>
    <t>K_o (mbar)</t>
  </si>
  <si>
    <t>Atriplex glabriuscula</t>
  </si>
  <si>
    <t>spinacea oleracea</t>
  </si>
  <si>
    <t>glycine max</t>
  </si>
  <si>
    <t>tetragonium expansa</t>
  </si>
  <si>
    <t>Lolium perenne</t>
  </si>
  <si>
    <t>Nicotiana tabacum</t>
  </si>
  <si>
    <t>Triticum aestivum</t>
  </si>
  <si>
    <t>oryza sativa</t>
  </si>
  <si>
    <t>Bernacchi 2002, von caemerrer 1994</t>
  </si>
  <si>
    <t>Sakoda 2021, Clarke 2021</t>
  </si>
  <si>
    <t>Rd</t>
  </si>
  <si>
    <t>n</t>
  </si>
  <si>
    <t>Falcioni 2024</t>
  </si>
  <si>
    <t>zhang 2023</t>
  </si>
  <si>
    <t>Wang 2020</t>
  </si>
  <si>
    <t>Xie 2024</t>
  </si>
  <si>
    <t>backhouser 1999</t>
  </si>
  <si>
    <t>Backhouser 1999, falcioni 2024, zhang 2023, Wang 2020,</t>
  </si>
  <si>
    <t xml:space="preserve">A wide range of values was found, also within  a plant (backhauser 1999). Mu and std were chosen to reflect this fact. </t>
  </si>
  <si>
    <t>PSI PSII ratio</t>
  </si>
  <si>
    <t>Hogewoning 2012</t>
  </si>
  <si>
    <t>Kim 1993</t>
  </si>
  <si>
    <t>Fan 2007</t>
  </si>
  <si>
    <t>mean std</t>
  </si>
  <si>
    <t>Kim 1993, Fan 2007, Hogewoning 2012</t>
  </si>
  <si>
    <t xml:space="preserve">mean was taken from a wide range of measurements from different plants and measurement methods. Std was taken from limited measurements under various conditions. </t>
  </si>
  <si>
    <t>Chl content</t>
  </si>
  <si>
    <t>K_P1 and K_P2</t>
  </si>
  <si>
    <t>Van oort 2010</t>
  </si>
  <si>
    <t>Wientjes 2013 HL</t>
  </si>
  <si>
    <t>Wientjes 2013 ML</t>
  </si>
  <si>
    <t>Wientjes 2013 LL</t>
  </si>
  <si>
    <t>Farooq 2018</t>
  </si>
  <si>
    <t>K_F</t>
  </si>
  <si>
    <t>K_D</t>
  </si>
  <si>
    <t>K_P2</t>
  </si>
  <si>
    <t>K_P1</t>
  </si>
  <si>
    <t>Holzwarth 2009</t>
  </si>
  <si>
    <t>Palacios 2001 chlorophyll a</t>
  </si>
  <si>
    <t>tot PSII Wientjes 2017</t>
  </si>
  <si>
    <t>tau (ns) PSII</t>
  </si>
  <si>
    <t>K_d PSII</t>
  </si>
  <si>
    <t>K_tot PSII</t>
  </si>
  <si>
    <t>K_F (ns-1)</t>
  </si>
  <si>
    <t>k (ns-1)</t>
  </si>
  <si>
    <t>for analysis (Johnson and Berry 2021)</t>
  </si>
  <si>
    <t xml:space="preserve">K_tot </t>
  </si>
  <si>
    <t>Wientjes 2017 and refs</t>
  </si>
  <si>
    <t>tau PSI is between 50 and 80 ps</t>
  </si>
  <si>
    <t>tau (ns-1)</t>
  </si>
  <si>
    <t>in vivo tau (ns)</t>
  </si>
  <si>
    <t>in vivo k (ns-1)</t>
  </si>
  <si>
    <t>k_tot_PSI</t>
  </si>
  <si>
    <t>std (1/4 of reasonable range)</t>
  </si>
  <si>
    <t>Wientjes 2017, Palacios 2001</t>
  </si>
  <si>
    <t>This is the rate for NPQ under 600 uE. Here we assume that the value is lower than that but uniformly distributed</t>
  </si>
  <si>
    <t>source</t>
  </si>
  <si>
    <t>species</t>
  </si>
  <si>
    <t>unit</t>
  </si>
  <si>
    <t>chl content</t>
  </si>
  <si>
    <t>chl (mg m-2)</t>
  </si>
  <si>
    <t>chl (mol m-2)</t>
  </si>
  <si>
    <t>chl (umol m-2)</t>
  </si>
  <si>
    <t>lichtale 2021</t>
  </si>
  <si>
    <t>Fagus sylvatica</t>
  </si>
  <si>
    <t>mg m-2</t>
  </si>
  <si>
    <t>ginkgo biloba</t>
  </si>
  <si>
    <t>Quercus robur</t>
  </si>
  <si>
    <t>mg m-3</t>
  </si>
  <si>
    <t>Sun</t>
  </si>
  <si>
    <t>shade</t>
  </si>
  <si>
    <t>sun</t>
  </si>
  <si>
    <t>beech</t>
  </si>
  <si>
    <t>radish</t>
  </si>
  <si>
    <t>40 dif species</t>
  </si>
  <si>
    <t>Lichtaler 2004</t>
  </si>
  <si>
    <t>Ivanova 2018</t>
  </si>
  <si>
    <t>C3 desert species</t>
  </si>
  <si>
    <t>280 is a standard value (source?), and the maximum at the moment is 420 corresponding to infinite gs and ambient CO2</t>
  </si>
  <si>
    <t>Lichtentale 1996</t>
  </si>
  <si>
    <t>N. tabacum</t>
  </si>
  <si>
    <t>lichtenthaler 2021, Lichtenthaler 2004, ivanova 2018, lichtenthaler 1996</t>
  </si>
  <si>
    <t>Rizzo 2014</t>
  </si>
  <si>
    <t>Roelofs 1992</t>
  </si>
  <si>
    <t>Wientjes 2017, Van Oort 2010, Farooq 2018, Holzwarth 2009, Palacios 2001, Rizzo 2014, Roelofs 1992</t>
  </si>
  <si>
    <t>mol/mol chl</t>
  </si>
  <si>
    <t>NPQ</t>
  </si>
  <si>
    <t>Species</t>
  </si>
  <si>
    <t>A. thaliana</t>
  </si>
  <si>
    <t>LL</t>
  </si>
  <si>
    <t>ML</t>
  </si>
  <si>
    <t>HL</t>
  </si>
  <si>
    <t>around 100 uE</t>
  </si>
  <si>
    <t>Serodio 2011</t>
  </si>
  <si>
    <t>Treatment</t>
  </si>
  <si>
    <t>shade/sun</t>
  </si>
  <si>
    <t>Burrit 2003</t>
  </si>
  <si>
    <t>B. x erythrophylla</t>
  </si>
  <si>
    <t>Zostera marina</t>
  </si>
  <si>
    <t>Ralph and Gademann 2005</t>
  </si>
  <si>
    <t>k_N2</t>
  </si>
  <si>
    <t>kf</t>
  </si>
  <si>
    <t xml:space="preserve">kd </t>
  </si>
  <si>
    <t>zhang 2020</t>
  </si>
  <si>
    <t>cucumber</t>
  </si>
  <si>
    <t>Barley antonia</t>
  </si>
  <si>
    <t>Barley Vanessa</t>
  </si>
  <si>
    <t>schmidt 2016</t>
  </si>
  <si>
    <t>control</t>
  </si>
  <si>
    <t>gamma</t>
  </si>
  <si>
    <t>Serodio 2011, Burrit 2003, Ralph and Gademann 2005, Zhang 2020, Schmidt 2016</t>
  </si>
  <si>
    <t>chosen values</t>
  </si>
  <si>
    <t>A wide range of species is used to generate a std, but these are all with a model that does not take gm into account.</t>
  </si>
  <si>
    <t>A wide range of species is used to generate a std, but these are all with a model that does not take gm into account. In addition as the corrected mu is about half from the uncorrected mu, the std is also halved.</t>
  </si>
  <si>
    <t xml:space="preserve">chosen values </t>
  </si>
  <si>
    <t>chlorophyll a/b ratio</t>
  </si>
  <si>
    <t>a/b</t>
  </si>
  <si>
    <t>Lichtentaler 2021</t>
  </si>
  <si>
    <t>Shade</t>
  </si>
  <si>
    <t>Ginkgo biloba</t>
  </si>
  <si>
    <t xml:space="preserve">Rice </t>
  </si>
  <si>
    <t>High N</t>
  </si>
  <si>
    <t>Jinwen 2009</t>
  </si>
  <si>
    <t>Cucumber</t>
  </si>
  <si>
    <t>blue</t>
  </si>
  <si>
    <t>Chl_a_b</t>
  </si>
  <si>
    <t>lichtenthaler 2021, Jinwen 2009, Hogewoning 2012</t>
  </si>
  <si>
    <t>source_mean</t>
  </si>
  <si>
    <t>source_std</t>
  </si>
  <si>
    <t>Chl analysis</t>
  </si>
  <si>
    <t>Tech reps</t>
  </si>
  <si>
    <t>Literature</t>
  </si>
  <si>
    <t>DIRK</t>
  </si>
  <si>
    <t>From fit</t>
  </si>
  <si>
    <t>Aci-fit</t>
  </si>
  <si>
    <t>From Licor</t>
  </si>
  <si>
    <t>Streak</t>
  </si>
  <si>
    <t>SDS+chl</t>
  </si>
  <si>
    <t>??</t>
  </si>
  <si>
    <t>Spectrometer</t>
  </si>
  <si>
    <t>From induction</t>
  </si>
  <si>
    <t>Yin method</t>
  </si>
  <si>
    <t>K_D2</t>
  </si>
  <si>
    <t>streak</t>
  </si>
  <si>
    <t>tech reps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</si>
</sst>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563880</xdr:colOff>
      <xdr:row>27</xdr:row>
      <xdr:rowOff>30480</xdr:rowOff>
    </xdr:from>
    <xdr:to>
      <xdr:col>15</xdr:col>
      <xdr:colOff>225622</xdr:colOff>
      <xdr:row>31</xdr:row>
      <xdr:rowOff>3275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9B6128-4FA6-CD38-1E37-385293E5C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31080" y="4785360"/>
          <a:ext cx="5963482" cy="71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6EDF-4ADD-4113-AEC4-58D74D469FF7}">
  <dimension ref="A1:L26"/>
  <sheetViews>
    <sheetView tabSelected="1" workbookViewId="0">
      <selection activeCell="F17" sqref="F17"/>
    </sheetView>
  </sheetViews>
  <sheetFormatPr defaultRowHeight="14.4" x14ac:dyDescent="0.3"/>
  <cols>
    <col min="1" max="1" width="23.21875" customWidth="1"/>
    <col min="2" max="2" width="8.5546875" customWidth="1"/>
    <col min="3" max="3" width="17.33203125" customWidth="1"/>
    <col min="4" max="4" width="8.109375" bestFit="1" customWidth="1"/>
    <col min="5" max="5" width="8.109375" customWidth="1"/>
    <col min="6" max="6" width="19.6640625" bestFit="1" customWidth="1"/>
    <col min="7" max="7" width="11" bestFit="1" customWidth="1"/>
    <col min="8" max="8" width="11.109375" bestFit="1" customWidth="1"/>
    <col min="9" max="9" width="12.44140625" bestFit="1" customWidth="1"/>
    <col min="10" max="10" width="10.21875" bestFit="1" customWidth="1"/>
    <col min="11" max="11" width="72" customWidth="1"/>
    <col min="12" max="12" width="94.44140625" bestFit="1" customWidth="1"/>
  </cols>
  <sheetData>
    <row r="1" spans="1:12" x14ac:dyDescent="0.3">
      <c r="A1" t="s">
        <v>34</v>
      </c>
      <c r="B1" t="s">
        <v>33</v>
      </c>
      <c r="C1" t="s">
        <v>35</v>
      </c>
      <c r="D1" t="s">
        <v>21</v>
      </c>
      <c r="E1" t="s">
        <v>20</v>
      </c>
      <c r="F1" t="s">
        <v>28</v>
      </c>
      <c r="G1" t="s">
        <v>36</v>
      </c>
      <c r="H1" t="s">
        <v>37</v>
      </c>
      <c r="I1" t="s">
        <v>239</v>
      </c>
      <c r="J1" t="s">
        <v>240</v>
      </c>
      <c r="K1" t="s">
        <v>55</v>
      </c>
      <c r="L1" t="s">
        <v>56</v>
      </c>
    </row>
    <row r="2" spans="1:12" x14ac:dyDescent="0.3">
      <c r="A2" s="3" t="s">
        <v>38</v>
      </c>
      <c r="B2" t="s">
        <v>6</v>
      </c>
      <c r="C2">
        <v>4.2000000000000002E-4</v>
      </c>
      <c r="D2">
        <v>1.4999999999999999E-4</v>
      </c>
      <c r="E2">
        <f t="shared" ref="E2:E3" si="0">D2*D2</f>
        <v>2.2499999999999996E-8</v>
      </c>
      <c r="F2">
        <f>D2/C2</f>
        <v>0.3571428571428571</v>
      </c>
      <c r="G2">
        <v>0</v>
      </c>
      <c r="I2" t="s">
        <v>241</v>
      </c>
      <c r="J2" t="s">
        <v>242</v>
      </c>
      <c r="K2" t="s">
        <v>193</v>
      </c>
    </row>
    <row r="3" spans="1:12" x14ac:dyDescent="0.3">
      <c r="A3" s="3" t="s">
        <v>39</v>
      </c>
      <c r="B3" t="s">
        <v>6</v>
      </c>
      <c r="C3">
        <v>7.6000000000000004E-4</v>
      </c>
      <c r="D3">
        <v>1.1E-4</v>
      </c>
      <c r="E3">
        <f t="shared" si="0"/>
        <v>1.2100000000000001E-8</v>
      </c>
      <c r="F3">
        <f t="shared" ref="F3:F6" si="1">D3/C3</f>
        <v>0.14473684210526316</v>
      </c>
      <c r="G3">
        <v>0</v>
      </c>
      <c r="I3" t="s">
        <v>243</v>
      </c>
      <c r="J3" t="s">
        <v>243</v>
      </c>
      <c r="K3" t="s">
        <v>57</v>
      </c>
    </row>
    <row r="4" spans="1:12" x14ac:dyDescent="0.3">
      <c r="A4" s="3" t="s">
        <v>40</v>
      </c>
      <c r="B4" t="s">
        <v>6</v>
      </c>
      <c r="C4">
        <v>300</v>
      </c>
      <c r="D4">
        <v>50</v>
      </c>
      <c r="E4">
        <f>D4*D4</f>
        <v>2500</v>
      </c>
      <c r="F4">
        <f t="shared" si="1"/>
        <v>0.16666666666666666</v>
      </c>
      <c r="G4">
        <v>0</v>
      </c>
      <c r="I4" t="s">
        <v>244</v>
      </c>
      <c r="J4" t="s">
        <v>245</v>
      </c>
      <c r="K4" t="s">
        <v>103</v>
      </c>
      <c r="L4" t="s">
        <v>102</v>
      </c>
    </row>
    <row r="5" spans="1:12" x14ac:dyDescent="0.3">
      <c r="A5" s="3" t="s">
        <v>41</v>
      </c>
      <c r="B5" t="s">
        <v>6</v>
      </c>
      <c r="C5">
        <v>0.75</v>
      </c>
      <c r="D5">
        <f>C5*0.05</f>
        <v>3.7500000000000006E-2</v>
      </c>
      <c r="E5">
        <f t="shared" ref="E5:E6" si="2">D5*D5</f>
        <v>1.4062500000000004E-3</v>
      </c>
      <c r="F5">
        <f t="shared" si="1"/>
        <v>5.000000000000001E-2</v>
      </c>
      <c r="G5">
        <v>0</v>
      </c>
      <c r="I5" t="s">
        <v>243</v>
      </c>
      <c r="J5" t="s">
        <v>243</v>
      </c>
      <c r="K5" t="s">
        <v>104</v>
      </c>
      <c r="L5" t="s">
        <v>27</v>
      </c>
    </row>
    <row r="6" spans="1:12" x14ac:dyDescent="0.3">
      <c r="A6" s="3" t="s">
        <v>42</v>
      </c>
      <c r="B6" t="s">
        <v>6</v>
      </c>
      <c r="C6">
        <v>1</v>
      </c>
      <c r="D6">
        <f>C6*0.05</f>
        <v>0.05</v>
      </c>
      <c r="E6">
        <f t="shared" si="2"/>
        <v>2.5000000000000005E-3</v>
      </c>
      <c r="F6">
        <f t="shared" si="1"/>
        <v>0.05</v>
      </c>
      <c r="G6">
        <v>0</v>
      </c>
      <c r="I6" t="s">
        <v>243</v>
      </c>
      <c r="J6" t="s">
        <v>243</v>
      </c>
      <c r="K6" t="s">
        <v>104</v>
      </c>
      <c r="L6" t="s">
        <v>27</v>
      </c>
    </row>
    <row r="7" spans="1:12" x14ac:dyDescent="0.3">
      <c r="A7" s="3" t="s">
        <v>2</v>
      </c>
      <c r="B7" t="s">
        <v>6</v>
      </c>
      <c r="C7">
        <v>100</v>
      </c>
      <c r="D7">
        <v>37</v>
      </c>
      <c r="E7">
        <f>D7*D7</f>
        <v>1369</v>
      </c>
      <c r="F7">
        <f t="shared" ref="F7:F22" si="3">D7/C7</f>
        <v>0.37</v>
      </c>
      <c r="G7">
        <v>0</v>
      </c>
      <c r="I7" t="s">
        <v>246</v>
      </c>
      <c r="J7" t="s">
        <v>245</v>
      </c>
      <c r="K7" t="s">
        <v>90</v>
      </c>
      <c r="L7" t="s">
        <v>91</v>
      </c>
    </row>
    <row r="8" spans="1:12" x14ac:dyDescent="0.3">
      <c r="A8" s="3" t="s">
        <v>3</v>
      </c>
      <c r="B8" t="s">
        <v>6</v>
      </c>
      <c r="C8">
        <v>40</v>
      </c>
      <c r="D8">
        <v>2</v>
      </c>
      <c r="E8">
        <f>D8*D8</f>
        <v>4</v>
      </c>
      <c r="F8">
        <f t="shared" si="3"/>
        <v>0.05</v>
      </c>
      <c r="G8">
        <v>0</v>
      </c>
      <c r="I8" t="s">
        <v>243</v>
      </c>
      <c r="J8" t="s">
        <v>243</v>
      </c>
      <c r="K8" t="s">
        <v>108</v>
      </c>
      <c r="L8" t="s">
        <v>224</v>
      </c>
    </row>
    <row r="9" spans="1:12" x14ac:dyDescent="0.3">
      <c r="A9" s="3" t="s">
        <v>43</v>
      </c>
      <c r="B9" t="s">
        <v>6</v>
      </c>
      <c r="C9">
        <v>280</v>
      </c>
      <c r="D9">
        <v>50</v>
      </c>
      <c r="E9">
        <f t="shared" ref="E9:E12" si="4">D9*D9</f>
        <v>2500</v>
      </c>
      <c r="F9">
        <f t="shared" si="3"/>
        <v>0.17857142857142858</v>
      </c>
      <c r="G9">
        <v>0</v>
      </c>
      <c r="H9">
        <v>420</v>
      </c>
      <c r="I9" t="s">
        <v>247</v>
      </c>
      <c r="J9" t="s">
        <v>100</v>
      </c>
      <c r="L9" t="s">
        <v>190</v>
      </c>
    </row>
    <row r="10" spans="1:12" x14ac:dyDescent="0.3">
      <c r="A10" s="3" t="s">
        <v>4</v>
      </c>
      <c r="B10" t="s">
        <v>6</v>
      </c>
      <c r="C10">
        <v>3.3</v>
      </c>
      <c r="D10">
        <v>0.85</v>
      </c>
      <c r="E10">
        <f t="shared" ref="E10" si="5">D10*D10</f>
        <v>0.72249999999999992</v>
      </c>
      <c r="F10">
        <f t="shared" ref="F10" si="6">D10/C10</f>
        <v>0.25757575757575757</v>
      </c>
      <c r="G10">
        <v>0</v>
      </c>
      <c r="I10" t="s">
        <v>248</v>
      </c>
      <c r="J10" t="s">
        <v>242</v>
      </c>
      <c r="K10" t="s">
        <v>196</v>
      </c>
    </row>
    <row r="11" spans="1:12" x14ac:dyDescent="0.3">
      <c r="A11" s="3" t="s">
        <v>5</v>
      </c>
      <c r="B11" t="s">
        <v>6</v>
      </c>
      <c r="C11">
        <v>16</v>
      </c>
      <c r="D11">
        <v>1.9</v>
      </c>
      <c r="E11">
        <f t="shared" si="4"/>
        <v>3.61</v>
      </c>
      <c r="F11">
        <f t="shared" si="3"/>
        <v>0.11874999999999999</v>
      </c>
      <c r="G11">
        <v>0</v>
      </c>
      <c r="I11" t="s">
        <v>243</v>
      </c>
      <c r="J11" t="s">
        <v>243</v>
      </c>
      <c r="K11" t="s">
        <v>166</v>
      </c>
    </row>
    <row r="12" spans="1:12" x14ac:dyDescent="0.3">
      <c r="A12" s="3" t="s">
        <v>44</v>
      </c>
      <c r="B12" t="s">
        <v>6</v>
      </c>
      <c r="C12">
        <v>0.6</v>
      </c>
      <c r="D12">
        <v>0.15</v>
      </c>
      <c r="E12">
        <f t="shared" si="4"/>
        <v>2.2499999999999999E-2</v>
      </c>
      <c r="F12">
        <f t="shared" si="3"/>
        <v>0.25</v>
      </c>
      <c r="G12">
        <v>0</v>
      </c>
      <c r="I12" t="s">
        <v>249</v>
      </c>
      <c r="J12" t="s">
        <v>250</v>
      </c>
      <c r="K12" t="s">
        <v>136</v>
      </c>
      <c r="L12" t="s">
        <v>137</v>
      </c>
    </row>
    <row r="13" spans="1:12" x14ac:dyDescent="0.3">
      <c r="A13" s="3" t="s">
        <v>45</v>
      </c>
      <c r="B13" t="s">
        <v>6</v>
      </c>
      <c r="C13">
        <v>0.01</v>
      </c>
      <c r="D13">
        <v>2E-3</v>
      </c>
      <c r="E13">
        <v>2.7288245800000003E-6</v>
      </c>
      <c r="F13">
        <f t="shared" si="3"/>
        <v>0.2</v>
      </c>
      <c r="G13">
        <v>0</v>
      </c>
      <c r="I13" t="s">
        <v>243</v>
      </c>
      <c r="J13" t="s">
        <v>243</v>
      </c>
      <c r="K13" t="s">
        <v>105</v>
      </c>
    </row>
    <row r="14" spans="1:12" x14ac:dyDescent="0.3">
      <c r="A14" s="3" t="s">
        <v>46</v>
      </c>
      <c r="B14" t="s">
        <v>6</v>
      </c>
      <c r="C14">
        <v>175</v>
      </c>
      <c r="D14">
        <v>50</v>
      </c>
      <c r="E14">
        <f>D14*D14</f>
        <v>2500</v>
      </c>
      <c r="F14">
        <f>D14/C14</f>
        <v>0.2857142857142857</v>
      </c>
      <c r="G14">
        <v>0</v>
      </c>
      <c r="I14" t="s">
        <v>243</v>
      </c>
      <c r="J14" t="s">
        <v>243</v>
      </c>
      <c r="K14" t="s">
        <v>120</v>
      </c>
      <c r="L14" t="s">
        <v>225</v>
      </c>
    </row>
    <row r="15" spans="1:12" x14ac:dyDescent="0.3">
      <c r="A15" s="3" t="s">
        <v>47</v>
      </c>
      <c r="B15" t="s">
        <v>6</v>
      </c>
      <c r="C15">
        <v>300</v>
      </c>
      <c r="D15">
        <v>60</v>
      </c>
      <c r="E15">
        <f>D15*D15</f>
        <v>3600</v>
      </c>
      <c r="F15">
        <f>D15/C15</f>
        <v>0.2</v>
      </c>
      <c r="G15">
        <v>0</v>
      </c>
      <c r="I15" t="s">
        <v>243</v>
      </c>
      <c r="J15" t="s">
        <v>243</v>
      </c>
      <c r="K15" t="s">
        <v>108</v>
      </c>
      <c r="L15" t="s">
        <v>224</v>
      </c>
    </row>
    <row r="16" spans="1:12" x14ac:dyDescent="0.3">
      <c r="A16" s="3" t="s">
        <v>48</v>
      </c>
      <c r="B16" t="s">
        <v>7</v>
      </c>
      <c r="C16">
        <v>3</v>
      </c>
      <c r="D16">
        <v>0.5</v>
      </c>
      <c r="E16">
        <f>D16*D16</f>
        <v>0.25</v>
      </c>
      <c r="F16">
        <f t="shared" si="3"/>
        <v>0.16666666666666666</v>
      </c>
      <c r="G16">
        <v>2</v>
      </c>
      <c r="H16">
        <v>4</v>
      </c>
      <c r="I16" t="s">
        <v>249</v>
      </c>
      <c r="J16" t="s">
        <v>250</v>
      </c>
      <c r="K16" s="4" t="s">
        <v>89</v>
      </c>
    </row>
    <row r="17" spans="1:12" x14ac:dyDescent="0.3">
      <c r="A17" s="3" t="s">
        <v>49</v>
      </c>
      <c r="B17" t="s">
        <v>7</v>
      </c>
      <c r="C17">
        <v>1</v>
      </c>
      <c r="D17">
        <v>0.5</v>
      </c>
      <c r="E17">
        <f>D17*D17</f>
        <v>0.25</v>
      </c>
      <c r="F17">
        <f t="shared" si="3"/>
        <v>0.5</v>
      </c>
      <c r="G17">
        <v>0</v>
      </c>
      <c r="H17">
        <v>3</v>
      </c>
      <c r="I17" t="s">
        <v>249</v>
      </c>
      <c r="J17" t="s">
        <v>250</v>
      </c>
      <c r="K17" s="4" t="s">
        <v>89</v>
      </c>
    </row>
    <row r="18" spans="1:12" x14ac:dyDescent="0.3">
      <c r="A18" s="3" t="s">
        <v>50</v>
      </c>
      <c r="B18" t="s">
        <v>6</v>
      </c>
      <c r="C18">
        <v>4.5999999999999999E-3</v>
      </c>
      <c r="D18">
        <v>2.7999999999999998E-4</v>
      </c>
      <c r="E18">
        <v>7.6699999999999872E-5</v>
      </c>
      <c r="F18">
        <f t="shared" si="3"/>
        <v>6.08695652173913E-2</v>
      </c>
      <c r="G18">
        <v>0</v>
      </c>
      <c r="I18" t="s">
        <v>243</v>
      </c>
      <c r="J18" t="s">
        <v>243</v>
      </c>
      <c r="K18" t="s">
        <v>57</v>
      </c>
    </row>
    <row r="19" spans="1:12" x14ac:dyDescent="0.3">
      <c r="A19" s="3" t="s">
        <v>51</v>
      </c>
      <c r="B19" t="s">
        <v>32</v>
      </c>
      <c r="C19">
        <v>0.5</v>
      </c>
      <c r="D19" t="s">
        <v>30</v>
      </c>
      <c r="E19" t="s">
        <v>30</v>
      </c>
      <c r="F19" t="s">
        <v>30</v>
      </c>
      <c r="G19">
        <v>0</v>
      </c>
      <c r="H19">
        <v>1</v>
      </c>
      <c r="I19" t="s">
        <v>251</v>
      </c>
      <c r="J19" t="s">
        <v>250</v>
      </c>
      <c r="K19" t="s">
        <v>58</v>
      </c>
      <c r="L19" t="s">
        <v>31</v>
      </c>
    </row>
    <row r="20" spans="1:12" x14ac:dyDescent="0.3">
      <c r="A20" s="3" t="s">
        <v>52</v>
      </c>
      <c r="B20" t="s">
        <v>6</v>
      </c>
      <c r="C20">
        <v>0.3</v>
      </c>
      <c r="D20">
        <v>0.1</v>
      </c>
      <c r="E20">
        <f t="shared" ref="E20:E23" si="7">D20*D20</f>
        <v>1.0000000000000002E-2</v>
      </c>
      <c r="F20">
        <f t="shared" si="3"/>
        <v>0.33333333333333337</v>
      </c>
      <c r="G20">
        <v>0.01</v>
      </c>
      <c r="I20" t="s">
        <v>243</v>
      </c>
      <c r="J20" t="s">
        <v>243</v>
      </c>
      <c r="K20" t="s">
        <v>121</v>
      </c>
    </row>
    <row r="21" spans="1:12" x14ac:dyDescent="0.3">
      <c r="A21" s="3" t="s">
        <v>53</v>
      </c>
      <c r="B21" t="s">
        <v>221</v>
      </c>
      <c r="C21">
        <v>0.17</v>
      </c>
      <c r="D21">
        <v>0.17</v>
      </c>
      <c r="E21">
        <f t="shared" si="7"/>
        <v>2.8900000000000006E-2</v>
      </c>
      <c r="F21">
        <f t="shared" si="3"/>
        <v>1</v>
      </c>
      <c r="G21">
        <v>0</v>
      </c>
      <c r="I21" t="s">
        <v>252</v>
      </c>
      <c r="J21" t="s">
        <v>250</v>
      </c>
      <c r="K21" t="s">
        <v>222</v>
      </c>
      <c r="L21" t="s">
        <v>167</v>
      </c>
    </row>
    <row r="22" spans="1:12" x14ac:dyDescent="0.3">
      <c r="A22" s="3" t="s">
        <v>54</v>
      </c>
      <c r="B22" t="s">
        <v>6</v>
      </c>
      <c r="C22">
        <v>2</v>
      </c>
      <c r="D22">
        <v>1</v>
      </c>
      <c r="E22">
        <f t="shared" si="7"/>
        <v>1</v>
      </c>
      <c r="F22">
        <f t="shared" si="3"/>
        <v>0.5</v>
      </c>
      <c r="G22">
        <v>0</v>
      </c>
      <c r="I22" t="s">
        <v>253</v>
      </c>
      <c r="J22" t="s">
        <v>245</v>
      </c>
      <c r="K22" t="s">
        <v>129</v>
      </c>
      <c r="L22" t="s">
        <v>130</v>
      </c>
    </row>
    <row r="23" spans="1:12" x14ac:dyDescent="0.3">
      <c r="A23" s="3" t="s">
        <v>237</v>
      </c>
      <c r="B23" t="s">
        <v>221</v>
      </c>
      <c r="C23">
        <v>2.9</v>
      </c>
      <c r="D23">
        <v>0.3</v>
      </c>
      <c r="E23">
        <f t="shared" si="7"/>
        <v>0.09</v>
      </c>
      <c r="F23">
        <f>D23/C23</f>
        <v>0.10344827586206896</v>
      </c>
      <c r="G23">
        <v>0</v>
      </c>
      <c r="I23" t="s">
        <v>241</v>
      </c>
      <c r="J23" t="s">
        <v>242</v>
      </c>
      <c r="K23" t="s">
        <v>238</v>
      </c>
    </row>
    <row r="24" spans="1:12" x14ac:dyDescent="0.3">
      <c r="A24" s="3" t="s">
        <v>254</v>
      </c>
      <c r="B24" t="s">
        <v>6</v>
      </c>
      <c r="I24" t="s">
        <v>255</v>
      </c>
      <c r="J24" t="s">
        <v>256</v>
      </c>
    </row>
    <row r="25" spans="1:12" x14ac:dyDescent="0.3">
      <c r="A25" s="2" t="s">
        <v>0</v>
      </c>
      <c r="F25" t="e">
        <f>D25/C25</f>
        <v>#DIV/0!</v>
      </c>
      <c r="L25" t="s">
        <v>29</v>
      </c>
    </row>
    <row r="26" spans="1:12" x14ac:dyDescent="0.3">
      <c r="A26" s="2" t="s">
        <v>1</v>
      </c>
      <c r="F26" t="e">
        <f>D26/C26</f>
        <v>#DIV/0!</v>
      </c>
      <c r="K26" s="4"/>
      <c r="L26" t="s">
        <v>29</v>
      </c>
    </row>
  </sheetData>
  <conditionalFormatting sqref="J2:J24">
    <cfRule type="cellIs" dxfId="0" priority="1" operator="equal">
      <formula>"??"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66D59-1B84-49E8-B3F0-70FA525AA53B}">
  <dimension ref="A1:L235"/>
  <sheetViews>
    <sheetView topLeftCell="A220" workbookViewId="0">
      <selection activeCell="E233" sqref="E233"/>
    </sheetView>
  </sheetViews>
  <sheetFormatPr defaultRowHeight="14.4" x14ac:dyDescent="0.3"/>
  <cols>
    <col min="1" max="1" width="27" customWidth="1"/>
    <col min="2" max="2" width="15.21875" customWidth="1"/>
    <col min="3" max="3" width="12" bestFit="1" customWidth="1"/>
    <col min="4" max="4" width="15.77734375" customWidth="1"/>
    <col min="5" max="5" width="15.88671875" bestFit="1" customWidth="1"/>
    <col min="6" max="6" width="12" bestFit="1" customWidth="1"/>
    <col min="20" max="20" width="11.88671875" customWidth="1"/>
    <col min="21" max="21" width="15.5546875" customWidth="1"/>
    <col min="24" max="24" width="10" bestFit="1" customWidth="1"/>
    <col min="25" max="25" width="11.21875" bestFit="1" customWidth="1"/>
    <col min="26" max="26" width="11.77734375" bestFit="1" customWidth="1"/>
    <col min="27" max="27" width="13" bestFit="1" customWidth="1"/>
  </cols>
  <sheetData>
    <row r="1" spans="1:9" x14ac:dyDescent="0.3">
      <c r="A1" t="s">
        <v>8</v>
      </c>
    </row>
    <row r="9" spans="1:9" x14ac:dyDescent="0.3">
      <c r="A9" t="s">
        <v>9</v>
      </c>
      <c r="C9" t="s">
        <v>67</v>
      </c>
    </row>
    <row r="10" spans="1:9" x14ac:dyDescent="0.3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9" x14ac:dyDescent="0.3">
      <c r="A11" t="s">
        <v>10</v>
      </c>
      <c r="B11">
        <v>2.2799999999999998</v>
      </c>
      <c r="C11">
        <v>2.04</v>
      </c>
      <c r="D11">
        <v>2.29</v>
      </c>
      <c r="E11">
        <v>2.21</v>
      </c>
    </row>
    <row r="12" spans="1:9" x14ac:dyDescent="0.3">
      <c r="A12" t="s">
        <v>11</v>
      </c>
      <c r="B12">
        <v>2.58</v>
      </c>
      <c r="C12">
        <v>2.44</v>
      </c>
      <c r="D12">
        <v>2</v>
      </c>
      <c r="E12">
        <v>2.62</v>
      </c>
      <c r="G12" t="s">
        <v>19</v>
      </c>
      <c r="H12" t="s">
        <v>21</v>
      </c>
      <c r="I12" t="s">
        <v>20</v>
      </c>
    </row>
    <row r="13" spans="1:9" x14ac:dyDescent="0.3">
      <c r="A13" t="s">
        <v>18</v>
      </c>
      <c r="B13">
        <f>B11+B12</f>
        <v>4.8599999999999994</v>
      </c>
      <c r="C13">
        <f t="shared" ref="C13:E13" si="0">C11+C12</f>
        <v>4.4800000000000004</v>
      </c>
      <c r="D13">
        <f t="shared" si="0"/>
        <v>4.29</v>
      </c>
      <c r="E13">
        <f t="shared" si="0"/>
        <v>4.83</v>
      </c>
      <c r="G13">
        <f>AVERAGE(B13:E13)</f>
        <v>4.6150000000000002</v>
      </c>
      <c r="H13">
        <f>_xlfn.STDEV.S(B13:E13)</f>
        <v>0.27694764848252434</v>
      </c>
      <c r="I13">
        <f>H13*H13</f>
        <v>7.6699999999999866E-2</v>
      </c>
    </row>
    <row r="14" spans="1:9" x14ac:dyDescent="0.3">
      <c r="A14" t="s">
        <v>12</v>
      </c>
      <c r="B14">
        <v>0.86</v>
      </c>
      <c r="C14">
        <v>0.75</v>
      </c>
      <c r="D14">
        <v>0.6</v>
      </c>
      <c r="E14">
        <v>0.81</v>
      </c>
      <c r="G14">
        <f>AVERAGE(B14:E14)</f>
        <v>0.755</v>
      </c>
      <c r="H14">
        <f>_xlfn.STDEV.S(B14:E14)</f>
        <v>0.11269427669584649</v>
      </c>
      <c r="I14">
        <f>H14*H14</f>
        <v>1.2700000000000008E-2</v>
      </c>
    </row>
    <row r="16" spans="1:9" x14ac:dyDescent="0.3">
      <c r="A16" t="s">
        <v>197</v>
      </c>
      <c r="B16" t="s">
        <v>14</v>
      </c>
      <c r="C16" t="s">
        <v>15</v>
      </c>
      <c r="D16" t="s">
        <v>16</v>
      </c>
      <c r="E16" t="s">
        <v>17</v>
      </c>
    </row>
    <row r="17" spans="1:12" x14ac:dyDescent="0.3">
      <c r="A17" t="s">
        <v>10</v>
      </c>
      <c r="B17">
        <f>B11/1000</f>
        <v>2.2799999999999999E-3</v>
      </c>
      <c r="C17">
        <f t="shared" ref="C17:E17" si="1">C11/1000</f>
        <v>2.0400000000000001E-3</v>
      </c>
      <c r="D17">
        <f t="shared" si="1"/>
        <v>2.2899999999999999E-3</v>
      </c>
      <c r="E17">
        <f t="shared" si="1"/>
        <v>2.2100000000000002E-3</v>
      </c>
      <c r="K17" t="s">
        <v>223</v>
      </c>
    </row>
    <row r="18" spans="1:12" x14ac:dyDescent="0.3">
      <c r="A18" t="s">
        <v>11</v>
      </c>
      <c r="B18">
        <f t="shared" ref="B18:E18" si="2">B12/1000</f>
        <v>2.5800000000000003E-3</v>
      </c>
      <c r="C18">
        <f t="shared" si="2"/>
        <v>2.4399999999999999E-3</v>
      </c>
      <c r="D18">
        <f t="shared" si="2"/>
        <v>2E-3</v>
      </c>
      <c r="E18">
        <f t="shared" si="2"/>
        <v>2.6199999999999999E-3</v>
      </c>
      <c r="G18" t="s">
        <v>19</v>
      </c>
      <c r="H18" t="s">
        <v>21</v>
      </c>
      <c r="I18" t="s">
        <v>20</v>
      </c>
      <c r="K18" t="s">
        <v>19</v>
      </c>
      <c r="L18" t="s">
        <v>21</v>
      </c>
    </row>
    <row r="19" spans="1:12" x14ac:dyDescent="0.3">
      <c r="A19" t="s">
        <v>18</v>
      </c>
      <c r="B19">
        <f t="shared" ref="B19:E19" si="3">B13/1000</f>
        <v>4.8599999999999997E-3</v>
      </c>
      <c r="C19">
        <f t="shared" si="3"/>
        <v>4.4800000000000005E-3</v>
      </c>
      <c r="D19">
        <f t="shared" si="3"/>
        <v>4.2900000000000004E-3</v>
      </c>
      <c r="E19">
        <f t="shared" si="3"/>
        <v>4.8300000000000001E-3</v>
      </c>
      <c r="G19">
        <f>G13/1000</f>
        <v>4.6150000000000002E-3</v>
      </c>
      <c r="H19">
        <f t="shared" ref="H19:I19" si="4">H13/1000</f>
        <v>2.7694764848252434E-4</v>
      </c>
      <c r="I19">
        <f t="shared" si="4"/>
        <v>7.6699999999999872E-5</v>
      </c>
      <c r="K19">
        <v>4.5999999999999999E-3</v>
      </c>
      <c r="L19">
        <v>2.7999999999999998E-4</v>
      </c>
    </row>
    <row r="20" spans="1:12" x14ac:dyDescent="0.3">
      <c r="A20" t="s">
        <v>12</v>
      </c>
      <c r="B20">
        <f t="shared" ref="B20:E20" si="5">B14/1000</f>
        <v>8.5999999999999998E-4</v>
      </c>
      <c r="C20">
        <f t="shared" si="5"/>
        <v>7.5000000000000002E-4</v>
      </c>
      <c r="D20">
        <f t="shared" si="5"/>
        <v>5.9999999999999995E-4</v>
      </c>
      <c r="E20">
        <f t="shared" si="5"/>
        <v>8.1000000000000006E-4</v>
      </c>
      <c r="G20">
        <f>G14/1000</f>
        <v>7.5500000000000003E-4</v>
      </c>
      <c r="H20">
        <f t="shared" ref="H20:I20" si="6">H14/1000</f>
        <v>1.1269427669584648E-4</v>
      </c>
      <c r="I20">
        <f t="shared" si="6"/>
        <v>1.2700000000000009E-5</v>
      </c>
      <c r="K20">
        <v>7.6000000000000004E-4</v>
      </c>
      <c r="L20">
        <v>1.1E-4</v>
      </c>
    </row>
    <row r="23" spans="1:12" x14ac:dyDescent="0.3">
      <c r="A23" t="s">
        <v>22</v>
      </c>
      <c r="C23" t="s">
        <v>68</v>
      </c>
    </row>
    <row r="24" spans="1:12" x14ac:dyDescent="0.3">
      <c r="B24" t="s">
        <v>24</v>
      </c>
      <c r="C24" t="s">
        <v>21</v>
      </c>
    </row>
    <row r="25" spans="1:12" x14ac:dyDescent="0.3">
      <c r="A25" t="s">
        <v>23</v>
      </c>
      <c r="B25">
        <v>1.9300000000000001E-2</v>
      </c>
      <c r="C25">
        <v>1.2999999999999999E-3</v>
      </c>
    </row>
    <row r="26" spans="1:12" x14ac:dyDescent="0.3">
      <c r="A26" t="s">
        <v>26</v>
      </c>
      <c r="B26">
        <v>0.48899999999999999</v>
      </c>
      <c r="C26" s="1">
        <v>7.9000000000000001E-2</v>
      </c>
    </row>
    <row r="28" spans="1:12" x14ac:dyDescent="0.3">
      <c r="C28" t="s">
        <v>21</v>
      </c>
      <c r="D28" t="s">
        <v>20</v>
      </c>
    </row>
    <row r="29" spans="1:12" x14ac:dyDescent="0.3">
      <c r="A29" t="s">
        <v>25</v>
      </c>
      <c r="B29">
        <f>B25*B26</f>
        <v>9.4377000000000003E-3</v>
      </c>
      <c r="C29">
        <f>SQRT(D29)</f>
        <v>1.6519154276172859E-3</v>
      </c>
      <c r="D29">
        <f>B29^2 * ((C25/B25)^2 + (C26/B26)^2)</f>
        <v>2.7288245800000003E-6</v>
      </c>
    </row>
    <row r="30" spans="1:12" x14ac:dyDescent="0.3">
      <c r="A30" t="s">
        <v>223</v>
      </c>
      <c r="B30">
        <v>0.01</v>
      </c>
      <c r="C30">
        <v>2E-3</v>
      </c>
    </row>
    <row r="36" spans="1:10" x14ac:dyDescent="0.3">
      <c r="A36" t="s">
        <v>59</v>
      </c>
      <c r="C36" t="s">
        <v>69</v>
      </c>
    </row>
    <row r="37" spans="1:10" x14ac:dyDescent="0.3">
      <c r="B37" t="s">
        <v>60</v>
      </c>
      <c r="C37" t="s">
        <v>64</v>
      </c>
      <c r="D37" t="s">
        <v>63</v>
      </c>
      <c r="E37" t="s">
        <v>66</v>
      </c>
      <c r="F37" t="s">
        <v>65</v>
      </c>
      <c r="I37" t="s">
        <v>61</v>
      </c>
      <c r="J37">
        <v>298</v>
      </c>
    </row>
    <row r="38" spans="1:10" x14ac:dyDescent="0.3">
      <c r="A38" t="s">
        <v>70</v>
      </c>
      <c r="B38">
        <v>13.3</v>
      </c>
      <c r="C38">
        <v>23.6</v>
      </c>
      <c r="D38">
        <f>C38*1000</f>
        <v>23600</v>
      </c>
      <c r="E38">
        <f>EXP(B38-(D38/($J$37*$J$38)))</f>
        <v>43.577686431590763</v>
      </c>
      <c r="F38">
        <f>E38*1.013</f>
        <v>44.144196355201437</v>
      </c>
      <c r="I38" t="s">
        <v>62</v>
      </c>
      <c r="J38">
        <v>8.3140000000000001</v>
      </c>
    </row>
    <row r="39" spans="1:10" x14ac:dyDescent="0.3">
      <c r="A39" t="s">
        <v>71</v>
      </c>
      <c r="B39">
        <v>11.7</v>
      </c>
      <c r="C39">
        <v>19.8</v>
      </c>
      <c r="D39">
        <f t="shared" ref="D39:D55" si="7">C39*1000</f>
        <v>19800</v>
      </c>
      <c r="E39">
        <f t="shared" ref="E39:E55" si="8">EXP(B39-(D39/($J$37*$J$38)))</f>
        <v>40.784614102755718</v>
      </c>
      <c r="F39">
        <f t="shared" ref="F39:F55" si="9">E39*1.013</f>
        <v>41.314814086091538</v>
      </c>
    </row>
    <row r="40" spans="1:10" x14ac:dyDescent="0.3">
      <c r="A40" t="s">
        <v>72</v>
      </c>
      <c r="B40">
        <v>12.6</v>
      </c>
      <c r="C40">
        <v>21.8</v>
      </c>
      <c r="D40">
        <f t="shared" si="7"/>
        <v>21800</v>
      </c>
      <c r="E40">
        <f t="shared" si="8"/>
        <v>44.748726050564684</v>
      </c>
      <c r="F40">
        <f t="shared" si="9"/>
        <v>45.330459489222022</v>
      </c>
    </row>
    <row r="41" spans="1:10" x14ac:dyDescent="0.3">
      <c r="A41" t="s">
        <v>73</v>
      </c>
      <c r="B41">
        <v>13.4</v>
      </c>
      <c r="C41">
        <v>24.1</v>
      </c>
      <c r="D41">
        <f t="shared" si="7"/>
        <v>24100</v>
      </c>
      <c r="E41">
        <f t="shared" si="8"/>
        <v>39.359397240752614</v>
      </c>
      <c r="F41">
        <f t="shared" si="9"/>
        <v>39.871069404882391</v>
      </c>
    </row>
    <row r="42" spans="1:10" x14ac:dyDescent="0.3">
      <c r="A42" t="s">
        <v>74</v>
      </c>
      <c r="B42">
        <v>13.1</v>
      </c>
      <c r="C42">
        <v>23.4</v>
      </c>
      <c r="D42">
        <f t="shared" si="7"/>
        <v>23400</v>
      </c>
      <c r="E42">
        <f t="shared" si="8"/>
        <v>38.677940830381523</v>
      </c>
      <c r="F42">
        <f t="shared" si="9"/>
        <v>39.180754061176479</v>
      </c>
    </row>
    <row r="43" spans="1:10" x14ac:dyDescent="0.3">
      <c r="A43" t="s">
        <v>75</v>
      </c>
      <c r="B43">
        <v>12.2</v>
      </c>
      <c r="C43">
        <v>21.1</v>
      </c>
      <c r="D43">
        <f t="shared" si="7"/>
        <v>21100</v>
      </c>
      <c r="E43">
        <f t="shared" si="8"/>
        <v>39.789284853198474</v>
      </c>
      <c r="F43">
        <f t="shared" si="9"/>
        <v>40.306545556290047</v>
      </c>
    </row>
    <row r="44" spans="1:10" x14ac:dyDescent="0.3">
      <c r="A44" t="s">
        <v>76</v>
      </c>
      <c r="B44">
        <v>14.4</v>
      </c>
      <c r="C44">
        <v>26.5</v>
      </c>
      <c r="D44">
        <f t="shared" si="7"/>
        <v>26500</v>
      </c>
      <c r="E44">
        <f t="shared" si="8"/>
        <v>40.611222453042167</v>
      </c>
      <c r="F44">
        <f t="shared" si="9"/>
        <v>41.139168344931711</v>
      </c>
    </row>
    <row r="45" spans="1:10" x14ac:dyDescent="0.3">
      <c r="A45" t="s">
        <v>77</v>
      </c>
      <c r="B45">
        <v>12.3</v>
      </c>
      <c r="C45">
        <v>21.2</v>
      </c>
      <c r="D45">
        <f t="shared" si="7"/>
        <v>21200</v>
      </c>
      <c r="E45">
        <f t="shared" si="8"/>
        <v>42.234421115423771</v>
      </c>
      <c r="F45">
        <f t="shared" si="9"/>
        <v>42.783468589924276</v>
      </c>
    </row>
    <row r="46" spans="1:10" x14ac:dyDescent="0.3">
      <c r="A46" t="s">
        <v>78</v>
      </c>
      <c r="B46">
        <v>13</v>
      </c>
      <c r="C46">
        <v>22.8</v>
      </c>
      <c r="D46">
        <f t="shared" si="7"/>
        <v>22800</v>
      </c>
      <c r="E46">
        <f t="shared" si="8"/>
        <v>44.58698551186486</v>
      </c>
      <c r="F46">
        <f t="shared" si="9"/>
        <v>45.166616323519101</v>
      </c>
    </row>
    <row r="47" spans="1:10" x14ac:dyDescent="0.3">
      <c r="A47" t="s">
        <v>79</v>
      </c>
      <c r="B47">
        <v>12.3</v>
      </c>
      <c r="C47">
        <v>21.2</v>
      </c>
      <c r="D47">
        <f t="shared" si="7"/>
        <v>21200</v>
      </c>
      <c r="E47">
        <f t="shared" si="8"/>
        <v>42.234421115423771</v>
      </c>
      <c r="F47">
        <f t="shared" si="9"/>
        <v>42.783468589924276</v>
      </c>
    </row>
    <row r="48" spans="1:10" x14ac:dyDescent="0.3">
      <c r="A48" t="s">
        <v>80</v>
      </c>
      <c r="B48">
        <v>12.2</v>
      </c>
      <c r="C48">
        <v>21.1</v>
      </c>
      <c r="D48">
        <f t="shared" si="7"/>
        <v>21100</v>
      </c>
      <c r="E48">
        <f t="shared" si="8"/>
        <v>39.789284853198474</v>
      </c>
      <c r="F48">
        <f t="shared" si="9"/>
        <v>40.306545556290047</v>
      </c>
    </row>
    <row r="49" spans="1:7" x14ac:dyDescent="0.3">
      <c r="A49" t="s">
        <v>81</v>
      </c>
      <c r="B49">
        <v>11.8</v>
      </c>
      <c r="C49">
        <v>20.100000000000001</v>
      </c>
      <c r="D49">
        <f t="shared" si="7"/>
        <v>20100</v>
      </c>
      <c r="E49">
        <f t="shared" si="8"/>
        <v>39.93362159838901</v>
      </c>
      <c r="F49">
        <f t="shared" si="9"/>
        <v>40.452758679168063</v>
      </c>
    </row>
    <row r="50" spans="1:7" x14ac:dyDescent="0.3">
      <c r="A50" t="s">
        <v>82</v>
      </c>
      <c r="B50">
        <v>13.7</v>
      </c>
      <c r="C50">
        <v>24.6</v>
      </c>
      <c r="D50">
        <f t="shared" si="7"/>
        <v>24600</v>
      </c>
      <c r="E50">
        <f t="shared" si="8"/>
        <v>43.420178517940371</v>
      </c>
      <c r="F50">
        <f t="shared" si="9"/>
        <v>43.984640838673592</v>
      </c>
    </row>
    <row r="51" spans="1:7" x14ac:dyDescent="0.3">
      <c r="A51" t="s">
        <v>83</v>
      </c>
      <c r="B51">
        <v>13.4</v>
      </c>
      <c r="C51">
        <v>24.1</v>
      </c>
      <c r="D51">
        <f t="shared" si="7"/>
        <v>24100</v>
      </c>
      <c r="E51">
        <f t="shared" si="8"/>
        <v>39.359397240752614</v>
      </c>
      <c r="F51">
        <f t="shared" si="9"/>
        <v>39.871069404882391</v>
      </c>
    </row>
    <row r="52" spans="1:7" x14ac:dyDescent="0.3">
      <c r="A52" t="s">
        <v>84</v>
      </c>
      <c r="B52">
        <v>12.5</v>
      </c>
      <c r="C52">
        <v>21.8</v>
      </c>
      <c r="D52">
        <f t="shared" si="7"/>
        <v>21800</v>
      </c>
      <c r="E52">
        <f t="shared" si="8"/>
        <v>40.490321739991444</v>
      </c>
      <c r="F52">
        <f t="shared" si="9"/>
        <v>41.016695922611326</v>
      </c>
    </row>
    <row r="53" spans="1:7" x14ac:dyDescent="0.3">
      <c r="A53" t="s">
        <v>85</v>
      </c>
      <c r="B53">
        <v>13.7</v>
      </c>
      <c r="C53">
        <v>24.7</v>
      </c>
      <c r="D53">
        <f t="shared" si="7"/>
        <v>24700</v>
      </c>
      <c r="E53">
        <f t="shared" si="8"/>
        <v>41.702545888537735</v>
      </c>
      <c r="F53">
        <f t="shared" si="9"/>
        <v>42.244678985088719</v>
      </c>
    </row>
    <row r="54" spans="1:7" x14ac:dyDescent="0.3">
      <c r="A54" t="s">
        <v>86</v>
      </c>
      <c r="B54">
        <v>13.5</v>
      </c>
      <c r="C54">
        <v>25.2</v>
      </c>
      <c r="D54">
        <f t="shared" si="7"/>
        <v>25200</v>
      </c>
      <c r="E54">
        <f>EXP(B54-(D54/($J$37*$J$38)))</f>
        <v>27.903487952334661</v>
      </c>
    </row>
    <row r="55" spans="1:7" x14ac:dyDescent="0.3">
      <c r="A55" t="s">
        <v>87</v>
      </c>
      <c r="B55">
        <v>13.5</v>
      </c>
      <c r="C55">
        <v>24.2</v>
      </c>
      <c r="D55">
        <f t="shared" si="7"/>
        <v>24200</v>
      </c>
      <c r="E55">
        <f t="shared" si="8"/>
        <v>41.778115993998874</v>
      </c>
      <c r="F55">
        <f t="shared" si="9"/>
        <v>42.321231501920856</v>
      </c>
    </row>
    <row r="56" spans="1:7" x14ac:dyDescent="0.3">
      <c r="G56" t="s">
        <v>223</v>
      </c>
    </row>
    <row r="57" spans="1:7" x14ac:dyDescent="0.3">
      <c r="E57" t="s">
        <v>24</v>
      </c>
      <c r="F57">
        <f>AVERAGE(F38:F56)</f>
        <v>41.895187158223429</v>
      </c>
      <c r="G57">
        <v>40</v>
      </c>
    </row>
    <row r="58" spans="1:7" x14ac:dyDescent="0.3">
      <c r="E58" t="s">
        <v>21</v>
      </c>
      <c r="F58">
        <f>_xlfn.STDEV.S(F38:F55)</f>
        <v>1.9068873645816253</v>
      </c>
      <c r="G58">
        <v>2</v>
      </c>
    </row>
    <row r="59" spans="1:7" x14ac:dyDescent="0.3">
      <c r="A59" t="s">
        <v>88</v>
      </c>
    </row>
    <row r="60" spans="1:7" x14ac:dyDescent="0.3">
      <c r="C60" t="s">
        <v>107</v>
      </c>
    </row>
    <row r="61" spans="1:7" x14ac:dyDescent="0.3">
      <c r="B61" t="s">
        <v>60</v>
      </c>
      <c r="C61" t="s">
        <v>64</v>
      </c>
      <c r="D61" t="s">
        <v>63</v>
      </c>
      <c r="E61" t="s">
        <v>66</v>
      </c>
      <c r="F61" t="s">
        <v>65</v>
      </c>
    </row>
    <row r="62" spans="1:7" x14ac:dyDescent="0.3">
      <c r="A62" t="s">
        <v>70</v>
      </c>
      <c r="B62">
        <v>31.3</v>
      </c>
      <c r="C62">
        <v>63.4</v>
      </c>
      <c r="D62">
        <f>C62*1000</f>
        <v>63400</v>
      </c>
      <c r="E62">
        <f>EXP(B62-(D62/($J$37*$J$38)))</f>
        <v>302.00115966175218</v>
      </c>
      <c r="F62">
        <f>E62*1.013</f>
        <v>305.9271747373549</v>
      </c>
    </row>
    <row r="63" spans="1:7" x14ac:dyDescent="0.3">
      <c r="A63" t="s">
        <v>71</v>
      </c>
      <c r="B63">
        <v>28.7</v>
      </c>
      <c r="C63">
        <v>57</v>
      </c>
      <c r="D63">
        <f t="shared" ref="D63:D79" si="10">C63*1000</f>
        <v>57000</v>
      </c>
      <c r="E63">
        <f t="shared" ref="E63:E79" si="11">EXP(B63-(D63/($J$37*$J$38)))</f>
        <v>296.96225091849379</v>
      </c>
      <c r="F63">
        <f t="shared" ref="F63:F79" si="12">E63*1.013</f>
        <v>300.82276018043416</v>
      </c>
    </row>
    <row r="64" spans="1:7" x14ac:dyDescent="0.3">
      <c r="A64" t="s">
        <v>72</v>
      </c>
      <c r="B64">
        <v>28.1</v>
      </c>
      <c r="C64">
        <v>55.3</v>
      </c>
      <c r="D64">
        <f t="shared" si="10"/>
        <v>55300</v>
      </c>
      <c r="E64">
        <f t="shared" si="11"/>
        <v>323.68171404988016</v>
      </c>
      <c r="F64">
        <f t="shared" si="12"/>
        <v>327.88957633252858</v>
      </c>
    </row>
    <row r="65" spans="1:7" x14ac:dyDescent="0.3">
      <c r="A65" t="s">
        <v>73</v>
      </c>
      <c r="B65">
        <v>26.6</v>
      </c>
      <c r="C65">
        <v>51.8</v>
      </c>
      <c r="D65">
        <f t="shared" si="10"/>
        <v>51800</v>
      </c>
      <c r="E65">
        <f t="shared" si="11"/>
        <v>296.6147160537551</v>
      </c>
      <c r="F65">
        <f t="shared" si="12"/>
        <v>300.47070736245388</v>
      </c>
    </row>
    <row r="66" spans="1:7" x14ac:dyDescent="0.3">
      <c r="A66" t="s">
        <v>74</v>
      </c>
      <c r="B66">
        <v>34.700000000000003</v>
      </c>
      <c r="C66">
        <v>71.5</v>
      </c>
      <c r="D66">
        <f t="shared" si="10"/>
        <v>71500</v>
      </c>
      <c r="E66">
        <f t="shared" si="11"/>
        <v>344.15806588879531</v>
      </c>
      <c r="F66">
        <f t="shared" si="12"/>
        <v>348.6321207453496</v>
      </c>
    </row>
    <row r="67" spans="1:7" x14ac:dyDescent="0.3">
      <c r="A67" t="s">
        <v>75</v>
      </c>
      <c r="B67">
        <v>28.6</v>
      </c>
      <c r="C67">
        <v>57</v>
      </c>
      <c r="D67">
        <f t="shared" si="10"/>
        <v>57000</v>
      </c>
      <c r="E67">
        <f t="shared" si="11"/>
        <v>268.70255637523724</v>
      </c>
      <c r="F67">
        <f t="shared" si="12"/>
        <v>272.19568960811529</v>
      </c>
    </row>
    <row r="68" spans="1:7" x14ac:dyDescent="0.3">
      <c r="A68" t="s">
        <v>76</v>
      </c>
      <c r="B68">
        <v>34.200000000000003</v>
      </c>
      <c r="C68">
        <v>71.099999999999994</v>
      </c>
      <c r="D68">
        <f t="shared" si="10"/>
        <v>71100</v>
      </c>
      <c r="E68">
        <f t="shared" si="11"/>
        <v>245.31655345035941</v>
      </c>
      <c r="F68">
        <f t="shared" si="12"/>
        <v>248.50566864521406</v>
      </c>
    </row>
    <row r="69" spans="1:7" x14ac:dyDescent="0.3">
      <c r="A69" t="s">
        <v>77</v>
      </c>
      <c r="B69">
        <v>31.1</v>
      </c>
      <c r="C69">
        <v>63.4</v>
      </c>
      <c r="D69">
        <f t="shared" si="10"/>
        <v>63400</v>
      </c>
      <c r="E69">
        <f t="shared" si="11"/>
        <v>247.25763688029039</v>
      </c>
      <c r="F69">
        <f t="shared" si="12"/>
        <v>250.47198615973414</v>
      </c>
    </row>
    <row r="70" spans="1:7" x14ac:dyDescent="0.3">
      <c r="A70" t="s">
        <v>78</v>
      </c>
      <c r="B70">
        <v>23</v>
      </c>
      <c r="C70">
        <v>42.4</v>
      </c>
      <c r="D70">
        <f t="shared" si="10"/>
        <v>42400</v>
      </c>
      <c r="E70">
        <f t="shared" si="11"/>
        <v>360.13217239796074</v>
      </c>
      <c r="F70">
        <f t="shared" si="12"/>
        <v>364.81389063913417</v>
      </c>
    </row>
    <row r="71" spans="1:7" x14ac:dyDescent="0.3">
      <c r="A71" t="s">
        <v>79</v>
      </c>
      <c r="B71">
        <v>28.3</v>
      </c>
      <c r="C71">
        <v>55.8</v>
      </c>
      <c r="D71">
        <f t="shared" si="10"/>
        <v>55800</v>
      </c>
      <c r="E71">
        <f t="shared" si="11"/>
        <v>323.09622423817871</v>
      </c>
      <c r="F71">
        <f t="shared" si="12"/>
        <v>327.29647515327503</v>
      </c>
    </row>
    <row r="72" spans="1:7" x14ac:dyDescent="0.3">
      <c r="A72" t="s">
        <v>80</v>
      </c>
      <c r="B72">
        <v>33.700000000000003</v>
      </c>
      <c r="C72">
        <v>70.8</v>
      </c>
      <c r="D72">
        <f t="shared" si="10"/>
        <v>70800</v>
      </c>
      <c r="E72">
        <f t="shared" si="11"/>
        <v>167.94486160132104</v>
      </c>
      <c r="F72">
        <f t="shared" si="12"/>
        <v>170.12814480213819</v>
      </c>
    </row>
    <row r="73" spans="1:7" x14ac:dyDescent="0.3">
      <c r="A73" t="s">
        <v>106</v>
      </c>
      <c r="B73">
        <v>29.2</v>
      </c>
      <c r="C73">
        <v>58.8</v>
      </c>
      <c r="D73">
        <f t="shared" si="10"/>
        <v>58800</v>
      </c>
      <c r="E73">
        <f t="shared" si="11"/>
        <v>236.76954723292542</v>
      </c>
      <c r="F73">
        <f t="shared" si="12"/>
        <v>239.84755134695342</v>
      </c>
    </row>
    <row r="74" spans="1:7" x14ac:dyDescent="0.3">
      <c r="A74" t="s">
        <v>82</v>
      </c>
      <c r="B74">
        <v>38.9</v>
      </c>
      <c r="C74">
        <v>83.1</v>
      </c>
      <c r="D74">
        <f t="shared" si="10"/>
        <v>83100</v>
      </c>
      <c r="E74">
        <f t="shared" si="11"/>
        <v>212.533125029975</v>
      </c>
      <c r="F74">
        <f t="shared" si="12"/>
        <v>215.29605565536465</v>
      </c>
    </row>
    <row r="75" spans="1:7" x14ac:dyDescent="0.3">
      <c r="A75" t="s">
        <v>83</v>
      </c>
      <c r="B75">
        <v>31.5</v>
      </c>
      <c r="C75">
        <v>64.599999999999994</v>
      </c>
      <c r="D75">
        <f t="shared" si="10"/>
        <v>64599.999999999993</v>
      </c>
      <c r="E75">
        <f t="shared" si="11"/>
        <v>227.25794638389485</v>
      </c>
      <c r="F75">
        <f t="shared" si="12"/>
        <v>230.21229968688544</v>
      </c>
    </row>
    <row r="76" spans="1:7" x14ac:dyDescent="0.3">
      <c r="A76" t="s">
        <v>84</v>
      </c>
      <c r="B76">
        <v>30.8</v>
      </c>
      <c r="C76">
        <v>62.1</v>
      </c>
      <c r="D76">
        <f t="shared" si="10"/>
        <v>62100</v>
      </c>
      <c r="E76">
        <f t="shared" si="11"/>
        <v>309.55572086385899</v>
      </c>
      <c r="F76">
        <f t="shared" si="12"/>
        <v>313.57994523508916</v>
      </c>
    </row>
    <row r="77" spans="1:7" x14ac:dyDescent="0.3">
      <c r="A77" t="s">
        <v>85</v>
      </c>
      <c r="B77">
        <v>21.1</v>
      </c>
      <c r="C77">
        <v>38.200000000000003</v>
      </c>
      <c r="D77">
        <f t="shared" si="10"/>
        <v>38200</v>
      </c>
      <c r="E77">
        <f t="shared" si="11"/>
        <v>293.4417521392329</v>
      </c>
      <c r="F77">
        <f t="shared" si="12"/>
        <v>297.25649491704291</v>
      </c>
    </row>
    <row r="78" spans="1:7" x14ac:dyDescent="0.3">
      <c r="A78" t="s">
        <v>86</v>
      </c>
      <c r="B78">
        <v>34.299999999999997</v>
      </c>
      <c r="C78">
        <v>69.900000000000006</v>
      </c>
      <c r="D78">
        <f t="shared" si="10"/>
        <v>69900</v>
      </c>
      <c r="E78">
        <f t="shared" si="11"/>
        <v>440.05274236257873</v>
      </c>
      <c r="F78">
        <f t="shared" si="12"/>
        <v>445.77342801329223</v>
      </c>
    </row>
    <row r="79" spans="1:7" x14ac:dyDescent="0.3">
      <c r="A79" t="s">
        <v>87</v>
      </c>
      <c r="B79">
        <v>30.1</v>
      </c>
      <c r="C79">
        <v>60.9</v>
      </c>
      <c r="D79">
        <f t="shared" si="10"/>
        <v>60900</v>
      </c>
      <c r="E79">
        <f t="shared" si="11"/>
        <v>249.50607617367655</v>
      </c>
      <c r="F79">
        <f t="shared" si="12"/>
        <v>252.74965516393431</v>
      </c>
      <c r="G79" t="s">
        <v>223</v>
      </c>
    </row>
    <row r="80" spans="1:7" x14ac:dyDescent="0.3">
      <c r="E80" t="s">
        <v>24</v>
      </c>
      <c r="F80">
        <f>AVERAGE(F62:F79)</f>
        <v>289.54831246579408</v>
      </c>
      <c r="G80">
        <v>300</v>
      </c>
    </row>
    <row r="81" spans="1:7" x14ac:dyDescent="0.3">
      <c r="E81" t="s">
        <v>21</v>
      </c>
      <c r="F81">
        <f>_xlfn.STDEV.S(F62:F79)</f>
        <v>63.357480588965963</v>
      </c>
      <c r="G81">
        <v>60</v>
      </c>
    </row>
    <row r="83" spans="1:7" x14ac:dyDescent="0.3">
      <c r="A83" t="s">
        <v>92</v>
      </c>
      <c r="C83" t="s">
        <v>103</v>
      </c>
    </row>
    <row r="84" spans="1:7" x14ac:dyDescent="0.3">
      <c r="B84" t="s">
        <v>24</v>
      </c>
      <c r="C84" t="s">
        <v>94</v>
      </c>
      <c r="E84" t="s">
        <v>56</v>
      </c>
    </row>
    <row r="85" spans="1:7" x14ac:dyDescent="0.3">
      <c r="A85" t="s">
        <v>93</v>
      </c>
      <c r="B85">
        <v>450</v>
      </c>
      <c r="C85">
        <v>60</v>
      </c>
      <c r="E85" t="s">
        <v>95</v>
      </c>
    </row>
    <row r="86" spans="1:7" x14ac:dyDescent="0.3">
      <c r="A86" t="s">
        <v>97</v>
      </c>
      <c r="B86">
        <v>290</v>
      </c>
      <c r="C86">
        <v>60</v>
      </c>
      <c r="E86" t="s">
        <v>96</v>
      </c>
    </row>
    <row r="87" spans="1:7" x14ac:dyDescent="0.3">
      <c r="A87" t="s">
        <v>97</v>
      </c>
      <c r="B87">
        <v>340</v>
      </c>
      <c r="C87">
        <v>50</v>
      </c>
      <c r="E87" t="s">
        <v>101</v>
      </c>
    </row>
    <row r="88" spans="1:7" x14ac:dyDescent="0.3">
      <c r="A88" t="s">
        <v>98</v>
      </c>
      <c r="B88">
        <v>203</v>
      </c>
      <c r="C88">
        <v>31</v>
      </c>
      <c r="E88" t="s">
        <v>99</v>
      </c>
    </row>
    <row r="89" spans="1:7" x14ac:dyDescent="0.3">
      <c r="A89" t="s">
        <v>98</v>
      </c>
      <c r="B89">
        <v>170</v>
      </c>
      <c r="C89">
        <v>24</v>
      </c>
      <c r="E89" t="s">
        <v>100</v>
      </c>
    </row>
    <row r="90" spans="1:7" x14ac:dyDescent="0.3">
      <c r="A90" t="s">
        <v>98</v>
      </c>
      <c r="B90">
        <v>216</v>
      </c>
      <c r="C90">
        <v>29</v>
      </c>
      <c r="E90" t="s">
        <v>100</v>
      </c>
    </row>
    <row r="91" spans="1:7" x14ac:dyDescent="0.3">
      <c r="A91" t="s">
        <v>98</v>
      </c>
      <c r="B91">
        <v>165</v>
      </c>
      <c r="C91">
        <v>28</v>
      </c>
      <c r="E91" t="s">
        <v>100</v>
      </c>
    </row>
    <row r="95" spans="1:7" x14ac:dyDescent="0.3">
      <c r="A95" t="s">
        <v>109</v>
      </c>
      <c r="C95" t="s">
        <v>110</v>
      </c>
    </row>
    <row r="97" spans="1:3" x14ac:dyDescent="0.3">
      <c r="B97" t="s">
        <v>111</v>
      </c>
    </row>
    <row r="98" spans="1:3" x14ac:dyDescent="0.3">
      <c r="A98" t="s">
        <v>112</v>
      </c>
      <c r="B98">
        <v>260</v>
      </c>
    </row>
    <row r="99" spans="1:3" x14ac:dyDescent="0.3">
      <c r="A99" t="s">
        <v>113</v>
      </c>
      <c r="B99">
        <v>280</v>
      </c>
    </row>
    <row r="100" spans="1:3" x14ac:dyDescent="0.3">
      <c r="B100">
        <v>156</v>
      </c>
    </row>
    <row r="101" spans="1:3" x14ac:dyDescent="0.3">
      <c r="A101" t="s">
        <v>114</v>
      </c>
      <c r="B101">
        <v>341</v>
      </c>
    </row>
    <row r="102" spans="1:3" x14ac:dyDescent="0.3">
      <c r="A102" t="s">
        <v>115</v>
      </c>
      <c r="B102">
        <v>476</v>
      </c>
    </row>
    <row r="103" spans="1:3" x14ac:dyDescent="0.3">
      <c r="A103" t="s">
        <v>86</v>
      </c>
      <c r="B103">
        <v>381</v>
      </c>
    </row>
    <row r="104" spans="1:3" x14ac:dyDescent="0.3">
      <c r="A104" t="s">
        <v>116</v>
      </c>
      <c r="B104">
        <v>397</v>
      </c>
    </row>
    <row r="105" spans="1:3" x14ac:dyDescent="0.3">
      <c r="A105" t="s">
        <v>117</v>
      </c>
      <c r="B105">
        <v>516</v>
      </c>
    </row>
    <row r="106" spans="1:3" x14ac:dyDescent="0.3">
      <c r="A106" t="s">
        <v>86</v>
      </c>
      <c r="B106">
        <v>397</v>
      </c>
    </row>
    <row r="107" spans="1:3" x14ac:dyDescent="0.3">
      <c r="A107" t="s">
        <v>118</v>
      </c>
      <c r="B107">
        <v>304</v>
      </c>
    </row>
    <row r="108" spans="1:3" x14ac:dyDescent="0.3">
      <c r="A108" t="s">
        <v>119</v>
      </c>
      <c r="B108">
        <v>266</v>
      </c>
    </row>
    <row r="109" spans="1:3" x14ac:dyDescent="0.3">
      <c r="C109" t="s">
        <v>223</v>
      </c>
    </row>
    <row r="110" spans="1:3" x14ac:dyDescent="0.3">
      <c r="A110" t="s">
        <v>24</v>
      </c>
      <c r="B110">
        <f>AVERAGE(B98:B108)</f>
        <v>343.09090909090907</v>
      </c>
      <c r="C110">
        <v>350</v>
      </c>
    </row>
    <row r="111" spans="1:3" x14ac:dyDescent="0.3">
      <c r="A111" t="s">
        <v>21</v>
      </c>
      <c r="B111">
        <f>_xlfn.STDEV.S(B98:B108)</f>
        <v>104.00716758517615</v>
      </c>
      <c r="C111">
        <v>100</v>
      </c>
    </row>
    <row r="114" spans="1:6" x14ac:dyDescent="0.3">
      <c r="A114" t="s">
        <v>122</v>
      </c>
    </row>
    <row r="115" spans="1:6" x14ac:dyDescent="0.3">
      <c r="B115" t="s">
        <v>24</v>
      </c>
      <c r="C115" t="s">
        <v>21</v>
      </c>
      <c r="D115" t="s">
        <v>123</v>
      </c>
    </row>
    <row r="116" spans="1:6" x14ac:dyDescent="0.3">
      <c r="A116" t="s">
        <v>124</v>
      </c>
      <c r="B116">
        <v>2.7</v>
      </c>
      <c r="C116">
        <v>0.23</v>
      </c>
      <c r="D116">
        <v>10</v>
      </c>
    </row>
    <row r="117" spans="1:6" x14ac:dyDescent="0.3">
      <c r="A117" t="s">
        <v>125</v>
      </c>
      <c r="B117">
        <v>1.1100000000000001</v>
      </c>
      <c r="C117">
        <v>0.2</v>
      </c>
    </row>
    <row r="118" spans="1:6" x14ac:dyDescent="0.3">
      <c r="A118" t="s">
        <v>126</v>
      </c>
      <c r="B118">
        <v>1.1499999999999999</v>
      </c>
    </row>
    <row r="119" spans="1:6" x14ac:dyDescent="0.3">
      <c r="A119" t="s">
        <v>127</v>
      </c>
      <c r="B119">
        <v>3.21</v>
      </c>
      <c r="C119">
        <v>1.1200000000000001</v>
      </c>
    </row>
    <row r="120" spans="1:6" x14ac:dyDescent="0.3">
      <c r="A120" t="s">
        <v>128</v>
      </c>
      <c r="B120">
        <v>2.5</v>
      </c>
      <c r="C120">
        <v>0.75</v>
      </c>
    </row>
    <row r="122" spans="1:6" x14ac:dyDescent="0.3">
      <c r="C122" t="s">
        <v>223</v>
      </c>
    </row>
    <row r="123" spans="1:6" x14ac:dyDescent="0.3">
      <c r="A123" t="s">
        <v>35</v>
      </c>
      <c r="B123">
        <f>AVERAGE(B116:B120)</f>
        <v>2.1340000000000003</v>
      </c>
      <c r="C123">
        <v>2</v>
      </c>
      <c r="D123" s="5"/>
    </row>
    <row r="124" spans="1:6" x14ac:dyDescent="0.3">
      <c r="A124" t="s">
        <v>21</v>
      </c>
      <c r="B124">
        <f>_xlfn.STDEV.S(B116:B120)</f>
        <v>0.95248622037276653</v>
      </c>
      <c r="C124">
        <v>1</v>
      </c>
    </row>
    <row r="126" spans="1:6" x14ac:dyDescent="0.3">
      <c r="A126" t="s">
        <v>131</v>
      </c>
    </row>
    <row r="127" spans="1:6" x14ac:dyDescent="0.3">
      <c r="F127" t="s">
        <v>21</v>
      </c>
    </row>
    <row r="128" spans="1:6" x14ac:dyDescent="0.3">
      <c r="A128" t="s">
        <v>134</v>
      </c>
      <c r="B128">
        <f>1/1.5</f>
        <v>0.66666666666666663</v>
      </c>
      <c r="D128" t="s">
        <v>132</v>
      </c>
      <c r="E128">
        <v>0.9</v>
      </c>
    </row>
    <row r="129" spans="1:6" x14ac:dyDescent="0.3">
      <c r="B129">
        <f>1/1.58</f>
        <v>0.63291139240506322</v>
      </c>
      <c r="D129" t="s">
        <v>132</v>
      </c>
      <c r="E129">
        <v>0.64</v>
      </c>
    </row>
    <row r="130" spans="1:6" x14ac:dyDescent="0.3">
      <c r="B130">
        <f>1/1.81</f>
        <v>0.5524861878453039</v>
      </c>
      <c r="D130" t="s">
        <v>132</v>
      </c>
      <c r="E130">
        <v>0.9</v>
      </c>
      <c r="F130">
        <f>_xlfn.STDEV.S(E128:E130)</f>
        <v>0.15011106998930332</v>
      </c>
    </row>
    <row r="131" spans="1:6" x14ac:dyDescent="0.3">
      <c r="B131">
        <f>1/2.12</f>
        <v>0.47169811320754712</v>
      </c>
      <c r="D131" t="s">
        <v>133</v>
      </c>
      <c r="E131">
        <f>1/1.4</f>
        <v>0.7142857142857143</v>
      </c>
    </row>
    <row r="132" spans="1:6" x14ac:dyDescent="0.3">
      <c r="B132">
        <f>1/1.67</f>
        <v>0.5988023952095809</v>
      </c>
      <c r="D132" t="s">
        <v>133</v>
      </c>
      <c r="E132">
        <f>1/1.9</f>
        <v>0.52631578947368418</v>
      </c>
    </row>
    <row r="133" spans="1:6" x14ac:dyDescent="0.3">
      <c r="B133">
        <f>1/1.61</f>
        <v>0.6211180124223602</v>
      </c>
      <c r="D133" t="s">
        <v>133</v>
      </c>
      <c r="E133">
        <f>1/2.7</f>
        <v>0.37037037037037035</v>
      </c>
      <c r="F133">
        <f>_xlfn.STDEV.S(E131:E133)</f>
        <v>0.17220599590488417</v>
      </c>
    </row>
    <row r="134" spans="1:6" x14ac:dyDescent="0.3">
      <c r="B134">
        <f>1/1.54</f>
        <v>0.64935064935064934</v>
      </c>
    </row>
    <row r="135" spans="1:6" x14ac:dyDescent="0.3">
      <c r="B135">
        <f>1/1.66</f>
        <v>0.60240963855421692</v>
      </c>
      <c r="E135" t="s">
        <v>135</v>
      </c>
      <c r="F135">
        <f>AVERAGE(F130:F133)</f>
        <v>0.16115853294709376</v>
      </c>
    </row>
    <row r="136" spans="1:6" x14ac:dyDescent="0.3">
      <c r="B136">
        <f>1/1.46</f>
        <v>0.68493150684931503</v>
      </c>
    </row>
    <row r="137" spans="1:6" x14ac:dyDescent="0.3">
      <c r="B137">
        <f>1/1.62</f>
        <v>0.61728395061728392</v>
      </c>
    </row>
    <row r="138" spans="1:6" x14ac:dyDescent="0.3">
      <c r="B138">
        <f>1/1.72</f>
        <v>0.58139534883720934</v>
      </c>
    </row>
    <row r="139" spans="1:6" x14ac:dyDescent="0.3">
      <c r="B139">
        <f>1/1.89</f>
        <v>0.52910052910052918</v>
      </c>
    </row>
    <row r="140" spans="1:6" x14ac:dyDescent="0.3">
      <c r="B140">
        <f>1/1.68</f>
        <v>0.59523809523809523</v>
      </c>
      <c r="D140" t="s">
        <v>226</v>
      </c>
      <c r="E140">
        <v>0.6</v>
      </c>
    </row>
    <row r="141" spans="1:6" x14ac:dyDescent="0.3">
      <c r="E141">
        <v>0.15</v>
      </c>
    </row>
    <row r="142" spans="1:6" x14ac:dyDescent="0.3">
      <c r="A142" t="s">
        <v>35</v>
      </c>
      <c r="B142">
        <f>AVERAGE(B128:B140)</f>
        <v>0.6002609604849094</v>
      </c>
    </row>
    <row r="145" spans="1:8" x14ac:dyDescent="0.3">
      <c r="A145" t="s">
        <v>138</v>
      </c>
    </row>
    <row r="148" spans="1:8" x14ac:dyDescent="0.3">
      <c r="A148" t="s">
        <v>168</v>
      </c>
      <c r="B148" t="s">
        <v>169</v>
      </c>
      <c r="C148" t="s">
        <v>170</v>
      </c>
      <c r="D148" t="s">
        <v>56</v>
      </c>
      <c r="E148" t="s">
        <v>171</v>
      </c>
      <c r="F148" t="s">
        <v>172</v>
      </c>
      <c r="G148" t="s">
        <v>173</v>
      </c>
      <c r="H148" t="s">
        <v>174</v>
      </c>
    </row>
    <row r="149" spans="1:8" x14ac:dyDescent="0.3">
      <c r="A149" t="s">
        <v>175</v>
      </c>
      <c r="B149" t="s">
        <v>176</v>
      </c>
      <c r="C149" t="s">
        <v>177</v>
      </c>
      <c r="D149" t="s">
        <v>181</v>
      </c>
      <c r="E149">
        <v>521</v>
      </c>
      <c r="F149">
        <f>E149</f>
        <v>521</v>
      </c>
      <c r="G149">
        <f>F149/1000/900</f>
        <v>5.7888888888888888E-4</v>
      </c>
      <c r="H149">
        <f>G149*1000000</f>
        <v>578.88888888888891</v>
      </c>
    </row>
    <row r="150" spans="1:8" x14ac:dyDescent="0.3">
      <c r="A150" t="s">
        <v>175</v>
      </c>
      <c r="B150" t="s">
        <v>176</v>
      </c>
      <c r="C150" t="s">
        <v>177</v>
      </c>
      <c r="D150" t="s">
        <v>182</v>
      </c>
      <c r="E150">
        <v>383</v>
      </c>
      <c r="F150">
        <f t="shared" ref="F150:F162" si="13">E150</f>
        <v>383</v>
      </c>
      <c r="G150">
        <f t="shared" ref="G150:G162" si="14">F150/1000/900</f>
        <v>4.2555555555555554E-4</v>
      </c>
      <c r="H150">
        <f t="shared" ref="H150:H162" si="15">G150*1000000</f>
        <v>425.55555555555554</v>
      </c>
    </row>
    <row r="151" spans="1:8" x14ac:dyDescent="0.3">
      <c r="A151" t="s">
        <v>175</v>
      </c>
      <c r="B151" t="s">
        <v>178</v>
      </c>
      <c r="C151" t="s">
        <v>177</v>
      </c>
      <c r="D151" t="s">
        <v>183</v>
      </c>
      <c r="E151">
        <v>487</v>
      </c>
      <c r="F151">
        <f t="shared" si="13"/>
        <v>487</v>
      </c>
      <c r="G151">
        <f t="shared" si="14"/>
        <v>5.4111111111111113E-4</v>
      </c>
      <c r="H151">
        <f t="shared" si="15"/>
        <v>541.11111111111109</v>
      </c>
    </row>
    <row r="152" spans="1:8" x14ac:dyDescent="0.3">
      <c r="A152" t="s">
        <v>175</v>
      </c>
      <c r="B152" t="s">
        <v>178</v>
      </c>
      <c r="C152" t="s">
        <v>177</v>
      </c>
      <c r="D152" t="s">
        <v>182</v>
      </c>
      <c r="E152">
        <v>327</v>
      </c>
      <c r="F152">
        <f t="shared" si="13"/>
        <v>327</v>
      </c>
      <c r="G152">
        <f t="shared" si="14"/>
        <v>3.6333333333333335E-4</v>
      </c>
      <c r="H152">
        <f t="shared" si="15"/>
        <v>363.33333333333337</v>
      </c>
    </row>
    <row r="153" spans="1:8" x14ac:dyDescent="0.3">
      <c r="A153" t="s">
        <v>175</v>
      </c>
      <c r="B153" t="s">
        <v>179</v>
      </c>
      <c r="C153" t="s">
        <v>177</v>
      </c>
      <c r="D153" t="s">
        <v>183</v>
      </c>
      <c r="E153">
        <v>435</v>
      </c>
      <c r="F153">
        <f t="shared" si="13"/>
        <v>435</v>
      </c>
      <c r="G153">
        <f t="shared" si="14"/>
        <v>4.8333333333333334E-4</v>
      </c>
      <c r="H153">
        <f t="shared" si="15"/>
        <v>483.33333333333331</v>
      </c>
    </row>
    <row r="154" spans="1:8" x14ac:dyDescent="0.3">
      <c r="A154" t="s">
        <v>175</v>
      </c>
      <c r="B154" t="s">
        <v>179</v>
      </c>
      <c r="C154" t="s">
        <v>177</v>
      </c>
      <c r="D154" t="s">
        <v>182</v>
      </c>
      <c r="E154">
        <v>317</v>
      </c>
      <c r="F154">
        <f t="shared" si="13"/>
        <v>317</v>
      </c>
      <c r="G154">
        <f t="shared" si="14"/>
        <v>3.5222222222222225E-4</v>
      </c>
      <c r="H154">
        <f t="shared" si="15"/>
        <v>352.22222222222223</v>
      </c>
    </row>
    <row r="155" spans="1:8" x14ac:dyDescent="0.3">
      <c r="A155" t="s">
        <v>187</v>
      </c>
      <c r="B155" t="s">
        <v>184</v>
      </c>
      <c r="C155" t="s">
        <v>177</v>
      </c>
      <c r="D155" t="s">
        <v>183</v>
      </c>
      <c r="E155">
        <v>600</v>
      </c>
      <c r="F155">
        <f t="shared" si="13"/>
        <v>600</v>
      </c>
      <c r="G155">
        <f t="shared" si="14"/>
        <v>6.6666666666666664E-4</v>
      </c>
      <c r="H155">
        <f t="shared" si="15"/>
        <v>666.66666666666663</v>
      </c>
    </row>
    <row r="156" spans="1:8" x14ac:dyDescent="0.3">
      <c r="A156" t="s">
        <v>187</v>
      </c>
      <c r="B156" t="s">
        <v>184</v>
      </c>
      <c r="C156" t="s">
        <v>177</v>
      </c>
      <c r="D156" t="s">
        <v>182</v>
      </c>
      <c r="E156">
        <v>425</v>
      </c>
      <c r="F156">
        <f t="shared" si="13"/>
        <v>425</v>
      </c>
      <c r="G156">
        <f t="shared" si="14"/>
        <v>4.7222222222222218E-4</v>
      </c>
      <c r="H156">
        <f t="shared" si="15"/>
        <v>472.22222222222217</v>
      </c>
    </row>
    <row r="157" spans="1:8" x14ac:dyDescent="0.3">
      <c r="A157" t="s">
        <v>187</v>
      </c>
      <c r="B157" t="s">
        <v>185</v>
      </c>
      <c r="C157" t="s">
        <v>177</v>
      </c>
      <c r="D157" t="s">
        <v>183</v>
      </c>
      <c r="E157">
        <f>6.34*3.1*10</f>
        <v>196.54</v>
      </c>
      <c r="F157">
        <f t="shared" si="13"/>
        <v>196.54</v>
      </c>
      <c r="G157">
        <f t="shared" si="14"/>
        <v>2.1837777777777777E-4</v>
      </c>
      <c r="H157">
        <f t="shared" si="15"/>
        <v>218.37777777777777</v>
      </c>
    </row>
    <row r="158" spans="1:8" x14ac:dyDescent="0.3">
      <c r="A158" t="s">
        <v>187</v>
      </c>
      <c r="B158" t="s">
        <v>185</v>
      </c>
      <c r="C158" t="s">
        <v>177</v>
      </c>
      <c r="D158" t="s">
        <v>182</v>
      </c>
      <c r="E158">
        <f>5.1*1.7*10</f>
        <v>86.7</v>
      </c>
      <c r="F158">
        <f t="shared" si="13"/>
        <v>86.7</v>
      </c>
      <c r="G158">
        <f t="shared" si="14"/>
        <v>9.6333333333333335E-5</v>
      </c>
      <c r="H158">
        <f t="shared" si="15"/>
        <v>96.333333333333329</v>
      </c>
    </row>
    <row r="159" spans="1:8" x14ac:dyDescent="0.3">
      <c r="A159" t="s">
        <v>187</v>
      </c>
      <c r="B159" t="s">
        <v>186</v>
      </c>
      <c r="C159" t="s">
        <v>177</v>
      </c>
      <c r="D159" t="s">
        <v>183</v>
      </c>
      <c r="E159">
        <v>550</v>
      </c>
      <c r="F159">
        <f t="shared" si="13"/>
        <v>550</v>
      </c>
      <c r="G159">
        <f t="shared" si="14"/>
        <v>6.1111111111111121E-4</v>
      </c>
      <c r="H159">
        <f t="shared" si="15"/>
        <v>611.1111111111112</v>
      </c>
    </row>
    <row r="160" spans="1:8" x14ac:dyDescent="0.3">
      <c r="A160" t="s">
        <v>187</v>
      </c>
      <c r="B160" t="s">
        <v>186</v>
      </c>
      <c r="C160" t="s">
        <v>177</v>
      </c>
      <c r="D160" t="s">
        <v>182</v>
      </c>
      <c r="E160">
        <v>375</v>
      </c>
      <c r="F160">
        <f t="shared" si="13"/>
        <v>375</v>
      </c>
      <c r="G160">
        <f t="shared" si="14"/>
        <v>4.1666666666666669E-4</v>
      </c>
      <c r="H160">
        <f t="shared" si="15"/>
        <v>416.66666666666669</v>
      </c>
    </row>
    <row r="161" spans="1:9" x14ac:dyDescent="0.3">
      <c r="A161" t="s">
        <v>188</v>
      </c>
      <c r="B161" t="s">
        <v>189</v>
      </c>
      <c r="C161" t="s">
        <v>177</v>
      </c>
      <c r="E161">
        <v>280</v>
      </c>
      <c r="F161">
        <f t="shared" si="13"/>
        <v>280</v>
      </c>
      <c r="G161">
        <f t="shared" si="14"/>
        <v>3.1111111111111113E-4</v>
      </c>
      <c r="H161">
        <f t="shared" si="15"/>
        <v>311.11111111111114</v>
      </c>
    </row>
    <row r="162" spans="1:9" x14ac:dyDescent="0.3">
      <c r="A162" t="s">
        <v>191</v>
      </c>
      <c r="B162" t="s">
        <v>192</v>
      </c>
      <c r="C162" t="s">
        <v>180</v>
      </c>
      <c r="E162">
        <v>360</v>
      </c>
      <c r="F162">
        <f t="shared" si="13"/>
        <v>360</v>
      </c>
      <c r="G162">
        <f t="shared" si="14"/>
        <v>3.9999999999999996E-4</v>
      </c>
      <c r="H162">
        <f t="shared" si="15"/>
        <v>399.99999999999994</v>
      </c>
      <c r="I162" t="s">
        <v>223</v>
      </c>
    </row>
    <row r="163" spans="1:9" x14ac:dyDescent="0.3">
      <c r="F163" t="s">
        <v>24</v>
      </c>
      <c r="G163">
        <f>AVERAGE(G149:G162)</f>
        <v>4.2406666666666666E-4</v>
      </c>
      <c r="H163">
        <f>AVERAGE(H149:H162)</f>
        <v>424.06666666666672</v>
      </c>
      <c r="I163">
        <v>420</v>
      </c>
    </row>
    <row r="164" spans="1:9" x14ac:dyDescent="0.3">
      <c r="F164" t="s">
        <v>21</v>
      </c>
      <c r="G164">
        <f>_xlfn.STDEV.S(G149:G162)</f>
        <v>1.5424844083644683E-4</v>
      </c>
      <c r="H164">
        <f>_xlfn.STDEV.S(H149:H162)</f>
        <v>154.24844083644658</v>
      </c>
      <c r="I164">
        <v>150</v>
      </c>
    </row>
    <row r="167" spans="1:9" x14ac:dyDescent="0.3">
      <c r="A167" t="s">
        <v>139</v>
      </c>
    </row>
    <row r="169" spans="1:9" x14ac:dyDescent="0.3">
      <c r="A169" t="s">
        <v>150</v>
      </c>
      <c r="B169" t="s">
        <v>155</v>
      </c>
      <c r="C169">
        <v>0.05</v>
      </c>
    </row>
    <row r="170" spans="1:9" x14ac:dyDescent="0.3">
      <c r="A170" t="s">
        <v>151</v>
      </c>
      <c r="B170" t="s">
        <v>152</v>
      </c>
      <c r="C170">
        <v>1.6</v>
      </c>
    </row>
    <row r="171" spans="1:9" x14ac:dyDescent="0.3">
      <c r="A171" t="s">
        <v>154</v>
      </c>
      <c r="B171" t="s">
        <v>156</v>
      </c>
      <c r="C171">
        <f>1/C170</f>
        <v>0.625</v>
      </c>
    </row>
    <row r="172" spans="1:9" x14ac:dyDescent="0.3">
      <c r="A172" t="s">
        <v>153</v>
      </c>
      <c r="B172" t="s">
        <v>156</v>
      </c>
      <c r="C172">
        <f>C171-C169</f>
        <v>0.57499999999999996</v>
      </c>
    </row>
    <row r="174" spans="1:9" x14ac:dyDescent="0.3">
      <c r="C174" t="s">
        <v>157</v>
      </c>
    </row>
    <row r="175" spans="1:9" x14ac:dyDescent="0.3">
      <c r="C175" t="s">
        <v>145</v>
      </c>
      <c r="D175">
        <v>0.05</v>
      </c>
    </row>
    <row r="176" spans="1:9" x14ac:dyDescent="0.3">
      <c r="C176" t="s">
        <v>146</v>
      </c>
      <c r="D176">
        <v>0.55000000000000004</v>
      </c>
    </row>
    <row r="177" spans="1:5" x14ac:dyDescent="0.3">
      <c r="B177" t="s">
        <v>162</v>
      </c>
      <c r="C177" t="s">
        <v>163</v>
      </c>
    </row>
    <row r="178" spans="1:5" x14ac:dyDescent="0.3">
      <c r="C178" t="s">
        <v>158</v>
      </c>
      <c r="D178" t="s">
        <v>147</v>
      </c>
    </row>
    <row r="179" spans="1:5" x14ac:dyDescent="0.3">
      <c r="A179" t="s">
        <v>140</v>
      </c>
      <c r="B179">
        <v>0.33</v>
      </c>
      <c r="C179">
        <f t="shared" ref="C179:C185" si="16">1/B179</f>
        <v>3.0303030303030303</v>
      </c>
      <c r="D179">
        <f t="shared" ref="D179:D185" si="17">C179-$D$175-$D$176</f>
        <v>2.4303030303030306</v>
      </c>
    </row>
    <row r="180" spans="1:5" x14ac:dyDescent="0.3">
      <c r="A180" t="s">
        <v>144</v>
      </c>
      <c r="B180">
        <v>0.28599999999999998</v>
      </c>
      <c r="C180">
        <f t="shared" si="16"/>
        <v>3.4965034965034967</v>
      </c>
      <c r="D180">
        <f t="shared" si="17"/>
        <v>2.896503496503497</v>
      </c>
    </row>
    <row r="181" spans="1:5" x14ac:dyDescent="0.3">
      <c r="A181" t="s">
        <v>141</v>
      </c>
      <c r="B181">
        <v>0.17899999999999999</v>
      </c>
      <c r="C181">
        <f t="shared" si="16"/>
        <v>5.5865921787709496</v>
      </c>
      <c r="D181">
        <f t="shared" si="17"/>
        <v>4.98659217877095</v>
      </c>
    </row>
    <row r="182" spans="1:5" x14ac:dyDescent="0.3">
      <c r="A182" t="s">
        <v>142</v>
      </c>
      <c r="B182">
        <v>0.224</v>
      </c>
      <c r="C182">
        <f t="shared" si="16"/>
        <v>4.4642857142857144</v>
      </c>
      <c r="D182">
        <f t="shared" si="17"/>
        <v>3.8642857142857148</v>
      </c>
    </row>
    <row r="183" spans="1:5" x14ac:dyDescent="0.3">
      <c r="A183" t="s">
        <v>143</v>
      </c>
      <c r="B183">
        <v>0.32700000000000001</v>
      </c>
      <c r="C183">
        <f t="shared" si="16"/>
        <v>3.0581039755351682</v>
      </c>
      <c r="D183">
        <f t="shared" si="17"/>
        <v>2.4581039755351686</v>
      </c>
    </row>
    <row r="184" spans="1:5" x14ac:dyDescent="0.3">
      <c r="A184" t="s">
        <v>149</v>
      </c>
      <c r="B184">
        <v>0.21</v>
      </c>
      <c r="C184">
        <f t="shared" si="16"/>
        <v>4.7619047619047619</v>
      </c>
      <c r="D184">
        <f t="shared" si="17"/>
        <v>4.1619047619047622</v>
      </c>
    </row>
    <row r="185" spans="1:5" x14ac:dyDescent="0.3">
      <c r="A185" t="s">
        <v>194</v>
      </c>
      <c r="B185">
        <v>0.27</v>
      </c>
      <c r="C185">
        <f t="shared" si="16"/>
        <v>3.7037037037037033</v>
      </c>
      <c r="D185">
        <f t="shared" si="17"/>
        <v>3.1037037037037036</v>
      </c>
    </row>
    <row r="186" spans="1:5" x14ac:dyDescent="0.3">
      <c r="A186" t="s">
        <v>195</v>
      </c>
      <c r="D186">
        <v>3</v>
      </c>
    </row>
    <row r="187" spans="1:5" x14ac:dyDescent="0.3">
      <c r="A187" t="s">
        <v>195</v>
      </c>
      <c r="D187">
        <v>2.9</v>
      </c>
      <c r="E187" t="s">
        <v>223</v>
      </c>
    </row>
    <row r="188" spans="1:5" x14ac:dyDescent="0.3">
      <c r="C188" t="s">
        <v>24</v>
      </c>
      <c r="D188">
        <f>AVERAGE(D179:D187)</f>
        <v>3.3112663178896469</v>
      </c>
      <c r="E188">
        <v>3.3</v>
      </c>
    </row>
    <row r="189" spans="1:5" x14ac:dyDescent="0.3">
      <c r="C189" t="s">
        <v>21</v>
      </c>
      <c r="D189">
        <f>_xlfn.STDEV.S(D179:D187)</f>
        <v>0.85302787128752533</v>
      </c>
      <c r="E189">
        <v>0.85</v>
      </c>
    </row>
    <row r="193" spans="1:7" x14ac:dyDescent="0.3">
      <c r="B193" t="s">
        <v>161</v>
      </c>
      <c r="C193" t="s">
        <v>164</v>
      </c>
      <c r="D193" t="s">
        <v>148</v>
      </c>
    </row>
    <row r="194" spans="1:7" x14ac:dyDescent="0.3">
      <c r="A194" t="s">
        <v>159</v>
      </c>
      <c r="B194">
        <v>0.05</v>
      </c>
      <c r="C194">
        <f>1/B194</f>
        <v>20</v>
      </c>
      <c r="D194">
        <f>C194-$D$175-$D$176</f>
        <v>19.399999999999999</v>
      </c>
    </row>
    <row r="195" spans="1:7" x14ac:dyDescent="0.3">
      <c r="A195" t="s">
        <v>160</v>
      </c>
      <c r="B195">
        <v>0.08</v>
      </c>
      <c r="C195">
        <f>1/B195</f>
        <v>12.5</v>
      </c>
      <c r="D195">
        <f>C195-$D$175-$D$176</f>
        <v>11.899999999999999</v>
      </c>
    </row>
    <row r="196" spans="1:7" x14ac:dyDescent="0.3">
      <c r="E196" t="s">
        <v>223</v>
      </c>
    </row>
    <row r="197" spans="1:7" x14ac:dyDescent="0.3">
      <c r="C197" t="s">
        <v>19</v>
      </c>
      <c r="D197">
        <f>AVERAGE(D194:D195)</f>
        <v>15.649999999999999</v>
      </c>
      <c r="E197">
        <v>16</v>
      </c>
    </row>
    <row r="198" spans="1:7" x14ac:dyDescent="0.3">
      <c r="C198" t="s">
        <v>165</v>
      </c>
      <c r="D198">
        <f>(D194-D195)/4</f>
        <v>1.875</v>
      </c>
      <c r="E198">
        <v>1.9</v>
      </c>
    </row>
    <row r="201" spans="1:7" x14ac:dyDescent="0.3">
      <c r="F201" t="s">
        <v>213</v>
      </c>
      <c r="G201">
        <v>0.05</v>
      </c>
    </row>
    <row r="202" spans="1:7" x14ac:dyDescent="0.3">
      <c r="A202" t="s">
        <v>198</v>
      </c>
      <c r="B202" t="s">
        <v>204</v>
      </c>
      <c r="F202" t="s">
        <v>214</v>
      </c>
      <c r="G202">
        <v>0.55000000000000004</v>
      </c>
    </row>
    <row r="203" spans="1:7" x14ac:dyDescent="0.3">
      <c r="A203" t="s">
        <v>55</v>
      </c>
      <c r="B203" t="s">
        <v>199</v>
      </c>
      <c r="C203" t="s">
        <v>206</v>
      </c>
      <c r="D203" t="s">
        <v>198</v>
      </c>
      <c r="E203" t="s">
        <v>212</v>
      </c>
    </row>
    <row r="204" spans="1:7" x14ac:dyDescent="0.3">
      <c r="A204" t="s">
        <v>205</v>
      </c>
      <c r="B204" t="s">
        <v>200</v>
      </c>
      <c r="C204" t="s">
        <v>201</v>
      </c>
      <c r="D204">
        <v>1</v>
      </c>
      <c r="E204">
        <f>D204*($G$201+$G$202)</f>
        <v>0.60000000000000009</v>
      </c>
    </row>
    <row r="205" spans="1:7" x14ac:dyDescent="0.3">
      <c r="A205" t="s">
        <v>205</v>
      </c>
      <c r="C205" t="s">
        <v>202</v>
      </c>
      <c r="D205">
        <v>0.55000000000000004</v>
      </c>
      <c r="E205">
        <f t="shared" ref="E205:E214" si="18">D205*($G$201+$G$202)</f>
        <v>0.33000000000000007</v>
      </c>
    </row>
    <row r="206" spans="1:7" x14ac:dyDescent="0.3">
      <c r="A206" t="s">
        <v>205</v>
      </c>
      <c r="C206" t="s">
        <v>203</v>
      </c>
      <c r="D206">
        <v>0.5</v>
      </c>
      <c r="E206">
        <f t="shared" si="18"/>
        <v>0.30000000000000004</v>
      </c>
    </row>
    <row r="207" spans="1:7" x14ac:dyDescent="0.3">
      <c r="A207" t="s">
        <v>208</v>
      </c>
      <c r="B207" t="s">
        <v>209</v>
      </c>
      <c r="C207" t="s">
        <v>182</v>
      </c>
      <c r="D207">
        <v>0.1</v>
      </c>
      <c r="E207">
        <f t="shared" si="18"/>
        <v>6.0000000000000012E-2</v>
      </c>
    </row>
    <row r="208" spans="1:7" x14ac:dyDescent="0.3">
      <c r="A208" t="s">
        <v>208</v>
      </c>
      <c r="C208" t="s">
        <v>207</v>
      </c>
      <c r="D208">
        <v>0.1</v>
      </c>
      <c r="E208">
        <f t="shared" si="18"/>
        <v>6.0000000000000012E-2</v>
      </c>
    </row>
    <row r="209" spans="1:6" x14ac:dyDescent="0.3">
      <c r="A209" t="s">
        <v>208</v>
      </c>
      <c r="C209" t="s">
        <v>183</v>
      </c>
      <c r="D209">
        <v>0.1</v>
      </c>
      <c r="E209">
        <f t="shared" si="18"/>
        <v>6.0000000000000012E-2</v>
      </c>
    </row>
    <row r="210" spans="1:6" x14ac:dyDescent="0.3">
      <c r="A210" t="s">
        <v>211</v>
      </c>
      <c r="B210" t="s">
        <v>210</v>
      </c>
      <c r="C210" t="s">
        <v>203</v>
      </c>
      <c r="D210">
        <v>0.1</v>
      </c>
      <c r="E210">
        <f t="shared" si="18"/>
        <v>6.0000000000000012E-2</v>
      </c>
    </row>
    <row r="211" spans="1:6" x14ac:dyDescent="0.3">
      <c r="A211" t="s">
        <v>211</v>
      </c>
      <c r="C211" t="s">
        <v>201</v>
      </c>
      <c r="D211">
        <v>0.05</v>
      </c>
      <c r="E211">
        <f t="shared" si="18"/>
        <v>3.0000000000000006E-2</v>
      </c>
    </row>
    <row r="212" spans="1:6" x14ac:dyDescent="0.3">
      <c r="A212" t="s">
        <v>215</v>
      </c>
      <c r="B212" t="s">
        <v>216</v>
      </c>
      <c r="D212">
        <v>0.15</v>
      </c>
      <c r="E212">
        <f t="shared" si="18"/>
        <v>9.0000000000000011E-2</v>
      </c>
    </row>
    <row r="213" spans="1:6" x14ac:dyDescent="0.3">
      <c r="A213" t="s">
        <v>219</v>
      </c>
      <c r="B213" t="s">
        <v>217</v>
      </c>
      <c r="C213" t="s">
        <v>220</v>
      </c>
      <c r="D213">
        <v>0.27</v>
      </c>
      <c r="E213">
        <f t="shared" si="18"/>
        <v>0.16200000000000003</v>
      </c>
    </row>
    <row r="214" spans="1:6" x14ac:dyDescent="0.3">
      <c r="A214" t="s">
        <v>219</v>
      </c>
      <c r="B214" t="s">
        <v>218</v>
      </c>
      <c r="C214" t="s">
        <v>220</v>
      </c>
      <c r="D214">
        <v>0.26</v>
      </c>
      <c r="E214">
        <f t="shared" si="18"/>
        <v>0.15600000000000003</v>
      </c>
      <c r="F214" t="s">
        <v>223</v>
      </c>
    </row>
    <row r="215" spans="1:6" x14ac:dyDescent="0.3">
      <c r="D215" t="s">
        <v>35</v>
      </c>
      <c r="E215">
        <f>AVERAGE(E204:E214)</f>
        <v>0.17345454545454553</v>
      </c>
      <c r="F215">
        <v>0.17</v>
      </c>
    </row>
    <row r="216" spans="1:6" x14ac:dyDescent="0.3">
      <c r="D216" t="s">
        <v>21</v>
      </c>
      <c r="E216">
        <f>_xlfn.STDEV.S(E204:E214)</f>
        <v>0.17376096433685198</v>
      </c>
      <c r="F216">
        <v>0.17</v>
      </c>
    </row>
    <row r="219" spans="1:6" x14ac:dyDescent="0.3">
      <c r="A219" t="s">
        <v>227</v>
      </c>
    </row>
    <row r="220" spans="1:6" x14ac:dyDescent="0.3">
      <c r="A220" t="s">
        <v>55</v>
      </c>
      <c r="B220" t="s">
        <v>199</v>
      </c>
      <c r="C220" t="s">
        <v>206</v>
      </c>
      <c r="D220" t="s">
        <v>228</v>
      </c>
    </row>
    <row r="221" spans="1:6" x14ac:dyDescent="0.3">
      <c r="A221" t="s">
        <v>229</v>
      </c>
      <c r="B221" t="s">
        <v>176</v>
      </c>
      <c r="C221" t="s">
        <v>181</v>
      </c>
      <c r="D221">
        <v>3.31</v>
      </c>
    </row>
    <row r="222" spans="1:6" x14ac:dyDescent="0.3">
      <c r="A222" t="s">
        <v>229</v>
      </c>
      <c r="B222" t="s">
        <v>176</v>
      </c>
      <c r="C222" t="s">
        <v>230</v>
      </c>
      <c r="D222">
        <v>2.65</v>
      </c>
    </row>
    <row r="223" spans="1:6" x14ac:dyDescent="0.3">
      <c r="A223" t="s">
        <v>229</v>
      </c>
      <c r="B223" t="s">
        <v>231</v>
      </c>
      <c r="C223" t="s">
        <v>181</v>
      </c>
      <c r="D223">
        <v>3.14</v>
      </c>
    </row>
    <row r="224" spans="1:6" x14ac:dyDescent="0.3">
      <c r="A224" t="s">
        <v>229</v>
      </c>
      <c r="B224" t="s">
        <v>231</v>
      </c>
      <c r="C224" t="s">
        <v>230</v>
      </c>
      <c r="D224">
        <v>2.72</v>
      </c>
    </row>
    <row r="225" spans="1:4" x14ac:dyDescent="0.3">
      <c r="A225" t="s">
        <v>229</v>
      </c>
      <c r="B225" t="s">
        <v>179</v>
      </c>
      <c r="C225" t="s">
        <v>181</v>
      </c>
      <c r="D225">
        <v>3.24</v>
      </c>
    </row>
    <row r="226" spans="1:4" x14ac:dyDescent="0.3">
      <c r="A226" t="s">
        <v>229</v>
      </c>
      <c r="B226" t="s">
        <v>179</v>
      </c>
      <c r="C226" t="s">
        <v>230</v>
      </c>
      <c r="D226">
        <v>2.62</v>
      </c>
    </row>
    <row r="227" spans="1:4" x14ac:dyDescent="0.3">
      <c r="A227" t="s">
        <v>234</v>
      </c>
      <c r="B227" t="s">
        <v>232</v>
      </c>
      <c r="C227" t="s">
        <v>233</v>
      </c>
      <c r="D227">
        <v>2.34</v>
      </c>
    </row>
    <row r="228" spans="1:4" x14ac:dyDescent="0.3">
      <c r="A228" t="s">
        <v>132</v>
      </c>
      <c r="B228" t="s">
        <v>235</v>
      </c>
      <c r="C228" t="s">
        <v>183</v>
      </c>
      <c r="D228">
        <v>2.98</v>
      </c>
    </row>
    <row r="229" spans="1:4" x14ac:dyDescent="0.3">
      <c r="A229" t="s">
        <v>132</v>
      </c>
      <c r="B229" t="s">
        <v>235</v>
      </c>
      <c r="C229" t="s">
        <v>182</v>
      </c>
      <c r="D229">
        <v>2.67</v>
      </c>
    </row>
    <row r="230" spans="1:4" x14ac:dyDescent="0.3">
      <c r="A230" t="s">
        <v>132</v>
      </c>
      <c r="B230" t="s">
        <v>235</v>
      </c>
      <c r="C230" t="s">
        <v>236</v>
      </c>
      <c r="D230">
        <v>3.1</v>
      </c>
    </row>
    <row r="234" spans="1:4" x14ac:dyDescent="0.3">
      <c r="C234" t="s">
        <v>35</v>
      </c>
      <c r="D234">
        <f>AVERAGE(D221:D233)</f>
        <v>2.8770000000000002</v>
      </c>
    </row>
    <row r="235" spans="1:4" x14ac:dyDescent="0.3">
      <c r="C235" t="s">
        <v>21</v>
      </c>
      <c r="D235">
        <f>_xlfn.STDEV.P(D221:D233)</f>
        <v>0.30367910695337152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Wageningen University and Research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Jans, Tinko</dc:creator>
  <cp:lastModifiedBy>Jans, Tinko</cp:lastModifiedBy>
  <dcterms:created xsi:type="dcterms:W3CDTF">2024-11-26T13:14:37Z</dcterms:created>
  <dcterms:modified xsi:type="dcterms:W3CDTF">2025-12-17T15:58:35Z</dcterms:modified>
</cp:coreProperties>
</file>